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usuario\Documents\Fabi\Rappi_project\RAIZ\"/>
    </mc:Choice>
  </mc:AlternateContent>
  <xr:revisionPtr revIDLastSave="0" documentId="13_ncr:1_{82EA66E7-18AD-4606-B488-F3A963697382}" xr6:coauthVersionLast="47" xr6:coauthVersionMax="47" xr10:uidLastSave="{00000000-0000-0000-0000-000000000000}"/>
  <bookViews>
    <workbookView xWindow="-120" yWindow="-120" windowWidth="29040" windowHeight="15840" tabRatio="599" xr2:uid="{00000000-000D-0000-FFFF-FFFF00000000}"/>
  </bookViews>
  <sheets>
    <sheet name="Datos" sheetId="1" r:id="rId1"/>
    <sheet name="Resumen_por_dia" sheetId="3" r:id="rId2"/>
    <sheet name="KPIs" sheetId="7" r:id="rId3"/>
    <sheet name="Hoja1" sheetId="20" r:id="rId4"/>
    <sheet name="Resumen_por_hora" sheetId="5" state="hidden" r:id="rId5"/>
  </sheets>
  <definedNames>
    <definedName name="_xlnm._FilterDatabase" localSheetId="0" hidden="1">Datos!$A$1:$T$1056</definedName>
    <definedName name="_xlnm._FilterDatabase" localSheetId="1" hidden="1">Resumen_por_dia!$A$1:$T$91</definedName>
  </definedNames>
  <calcPr calcId="191029"/>
</workbook>
</file>

<file path=xl/calcChain.xml><?xml version="1.0" encoding="utf-8"?>
<calcChain xmlns="http://schemas.openxmlformats.org/spreadsheetml/2006/main">
  <c r="S1087" i="1" l="1"/>
  <c r="Q1116" i="1"/>
  <c r="P1116" i="1"/>
  <c r="O1116" i="1"/>
  <c r="N1116" i="1"/>
  <c r="Q1115" i="1"/>
  <c r="P1115" i="1"/>
  <c r="O1115" i="1"/>
  <c r="N1115" i="1"/>
  <c r="Q1114" i="1"/>
  <c r="P1114" i="1"/>
  <c r="O1114" i="1"/>
  <c r="N1114" i="1"/>
  <c r="Q1113" i="1"/>
  <c r="P1113" i="1"/>
  <c r="O1113" i="1"/>
  <c r="N1113" i="1"/>
  <c r="Q1112" i="1"/>
  <c r="P1112" i="1"/>
  <c r="O1112" i="1"/>
  <c r="N1112" i="1"/>
  <c r="Q1111" i="1"/>
  <c r="P1111" i="1"/>
  <c r="O1111" i="1"/>
  <c r="N1111" i="1"/>
  <c r="Q1110" i="1"/>
  <c r="P1110" i="1"/>
  <c r="O1110" i="1"/>
  <c r="N1110" i="1"/>
  <c r="Q1109" i="1"/>
  <c r="P1109" i="1"/>
  <c r="O1109" i="1"/>
  <c r="N1109" i="1"/>
  <c r="Q1108" i="1"/>
  <c r="P1108" i="1"/>
  <c r="O1108" i="1"/>
  <c r="N1108" i="1"/>
  <c r="Q1107" i="1"/>
  <c r="P1107" i="1"/>
  <c r="O1107" i="1"/>
  <c r="N1107" i="1"/>
  <c r="Q1106" i="1"/>
  <c r="P1106" i="1"/>
  <c r="O1106" i="1"/>
  <c r="N1106" i="1"/>
  <c r="Q1105" i="1"/>
  <c r="P1105" i="1"/>
  <c r="O1105" i="1"/>
  <c r="N1105" i="1"/>
  <c r="Q1104" i="1"/>
  <c r="P1104" i="1"/>
  <c r="O1104" i="1"/>
  <c r="N1104" i="1"/>
  <c r="Q1103" i="1"/>
  <c r="P1103" i="1"/>
  <c r="O1103" i="1"/>
  <c r="N1103" i="1"/>
  <c r="Q1102" i="1"/>
  <c r="P1102" i="1"/>
  <c r="O1102" i="1"/>
  <c r="N1102" i="1"/>
  <c r="Q1101" i="1"/>
  <c r="P1101" i="1"/>
  <c r="O1101" i="1"/>
  <c r="N1101" i="1"/>
  <c r="Q1100" i="1"/>
  <c r="P1100" i="1"/>
  <c r="O1100" i="1"/>
  <c r="N1100" i="1"/>
  <c r="Q1099" i="1"/>
  <c r="P1099" i="1"/>
  <c r="O1099" i="1"/>
  <c r="N1099" i="1"/>
  <c r="Q1098" i="1"/>
  <c r="P1098" i="1"/>
  <c r="O1098" i="1"/>
  <c r="N1098" i="1"/>
  <c r="Q1097" i="1"/>
  <c r="P1097" i="1"/>
  <c r="O1097" i="1"/>
  <c r="N1097" i="1"/>
  <c r="Q1096" i="1"/>
  <c r="P1096" i="1"/>
  <c r="O1096" i="1"/>
  <c r="N1096" i="1"/>
  <c r="Q1095" i="1"/>
  <c r="P1095" i="1"/>
  <c r="O1095" i="1"/>
  <c r="N1095" i="1"/>
  <c r="Q1094" i="1"/>
  <c r="P1094" i="1"/>
  <c r="O1094" i="1"/>
  <c r="N1094" i="1"/>
  <c r="Q1093" i="1"/>
  <c r="P1093" i="1"/>
  <c r="O1093" i="1"/>
  <c r="N1093" i="1"/>
  <c r="Q1092" i="1"/>
  <c r="P1092" i="1"/>
  <c r="O1092" i="1"/>
  <c r="N1092" i="1"/>
  <c r="Q1091" i="1"/>
  <c r="P1091" i="1"/>
  <c r="O1091" i="1"/>
  <c r="N1091" i="1"/>
  <c r="Q1090" i="1"/>
  <c r="P1090" i="1"/>
  <c r="O1090" i="1"/>
  <c r="N1090" i="1"/>
  <c r="Q1089" i="1"/>
  <c r="P1089" i="1"/>
  <c r="O1089" i="1"/>
  <c r="N1089" i="1"/>
  <c r="Q1088" i="1"/>
  <c r="P1088" i="1"/>
  <c r="O1088" i="1"/>
  <c r="N1088" i="1"/>
  <c r="Q1087" i="1"/>
  <c r="P1087" i="1"/>
  <c r="O1087" i="1"/>
  <c r="N1087" i="1"/>
  <c r="Q1086" i="1"/>
  <c r="P1086" i="1"/>
  <c r="O1086" i="1"/>
  <c r="N1086" i="1"/>
  <c r="Q1085" i="1"/>
  <c r="P1085" i="1"/>
  <c r="O1085" i="1"/>
  <c r="N1085" i="1"/>
  <c r="Q1084" i="1"/>
  <c r="P1084" i="1"/>
  <c r="O1084" i="1"/>
  <c r="N1084" i="1"/>
  <c r="Q1083" i="1"/>
  <c r="P1083" i="1"/>
  <c r="O1083" i="1"/>
  <c r="N1083" i="1"/>
  <c r="Q1082" i="1"/>
  <c r="P1082" i="1"/>
  <c r="O1082" i="1"/>
  <c r="N1082" i="1"/>
  <c r="Q1081" i="1"/>
  <c r="P1081" i="1"/>
  <c r="O1081" i="1"/>
  <c r="N1081" i="1"/>
  <c r="Q1080" i="1"/>
  <c r="P1080" i="1"/>
  <c r="O1080" i="1"/>
  <c r="N1080" i="1"/>
  <c r="Q1079" i="1"/>
  <c r="P1079" i="1"/>
  <c r="O1079" i="1"/>
  <c r="N1079" i="1"/>
  <c r="Q1078" i="1"/>
  <c r="P1078" i="1"/>
  <c r="O1078" i="1"/>
  <c r="N1078" i="1"/>
  <c r="Q1077" i="1"/>
  <c r="P1077" i="1"/>
  <c r="O1077" i="1"/>
  <c r="N1077" i="1"/>
  <c r="Q1076" i="1"/>
  <c r="P1076" i="1"/>
  <c r="O1076" i="1"/>
  <c r="N1076" i="1"/>
  <c r="Q1075" i="1"/>
  <c r="P1075" i="1"/>
  <c r="O1075" i="1"/>
  <c r="N1075" i="1"/>
  <c r="Q1074" i="1"/>
  <c r="P1074" i="1"/>
  <c r="O1074" i="1"/>
  <c r="N1074" i="1"/>
  <c r="Q1073" i="1"/>
  <c r="P1073" i="1"/>
  <c r="O1073" i="1"/>
  <c r="N1073" i="1"/>
  <c r="Q1072" i="1"/>
  <c r="P1072" i="1"/>
  <c r="O1072" i="1"/>
  <c r="N1072" i="1"/>
  <c r="Q1071" i="1"/>
  <c r="P1071" i="1"/>
  <c r="O1071" i="1"/>
  <c r="N1071" i="1"/>
  <c r="Q1070" i="1"/>
  <c r="P1070" i="1"/>
  <c r="O1070" i="1"/>
  <c r="N1070" i="1"/>
  <c r="Q1069" i="1"/>
  <c r="P1069" i="1"/>
  <c r="O1069" i="1"/>
  <c r="N1069" i="1"/>
  <c r="Q1068" i="1"/>
  <c r="P1068" i="1"/>
  <c r="O1068" i="1"/>
  <c r="N1068" i="1"/>
  <c r="Q1067" i="1"/>
  <c r="P1067" i="1"/>
  <c r="O1067" i="1"/>
  <c r="N1067" i="1"/>
  <c r="Q1066" i="1"/>
  <c r="P1066" i="1"/>
  <c r="O1066" i="1"/>
  <c r="N1066" i="1"/>
  <c r="Q1065" i="1"/>
  <c r="P1065" i="1"/>
  <c r="O1065" i="1"/>
  <c r="N1065" i="1"/>
  <c r="Q1064" i="1"/>
  <c r="P1064" i="1"/>
  <c r="O1064" i="1"/>
  <c r="N1064" i="1"/>
  <c r="Q1063" i="1"/>
  <c r="P1063" i="1"/>
  <c r="O1063" i="1"/>
  <c r="N1063" i="1"/>
  <c r="Q1062" i="1"/>
  <c r="P1062" i="1"/>
  <c r="O1062" i="1"/>
  <c r="N1062" i="1"/>
  <c r="Q1061" i="1"/>
  <c r="P1061" i="1"/>
  <c r="O1061" i="1"/>
  <c r="N1061" i="1"/>
  <c r="Q1060" i="1"/>
  <c r="P1060" i="1"/>
  <c r="O1060" i="1"/>
  <c r="N1060" i="1"/>
  <c r="Q1059" i="1"/>
  <c r="P1059" i="1"/>
  <c r="O1059" i="1"/>
  <c r="N1059" i="1"/>
  <c r="Q1058" i="1"/>
  <c r="P1058" i="1"/>
  <c r="O1058" i="1"/>
  <c r="N1058" i="1"/>
  <c r="Q1057" i="1"/>
  <c r="P1057" i="1"/>
  <c r="O1057" i="1"/>
  <c r="N1057" i="1"/>
  <c r="G83" i="3"/>
  <c r="C83" i="3"/>
  <c r="B83" i="3"/>
  <c r="F83" i="3"/>
  <c r="E83" i="3"/>
  <c r="G91" i="3"/>
  <c r="C91" i="3"/>
  <c r="B91" i="3"/>
  <c r="G90" i="3"/>
  <c r="C90" i="3"/>
  <c r="B90" i="3"/>
  <c r="G89" i="3"/>
  <c r="C89" i="3"/>
  <c r="B89" i="3"/>
  <c r="G88" i="3"/>
  <c r="C88" i="3"/>
  <c r="B88" i="3"/>
  <c r="F91" i="3"/>
  <c r="E91" i="3"/>
  <c r="F90" i="3"/>
  <c r="E90" i="3"/>
  <c r="E89" i="3"/>
  <c r="F88" i="3"/>
  <c r="E88" i="3"/>
  <c r="G87" i="3"/>
  <c r="C87" i="3"/>
  <c r="B87" i="3"/>
  <c r="G86" i="3"/>
  <c r="C86" i="3"/>
  <c r="B86" i="3"/>
  <c r="G85" i="3"/>
  <c r="C85" i="3"/>
  <c r="B85" i="3"/>
  <c r="G84" i="3"/>
  <c r="C84" i="3"/>
  <c r="B84" i="3"/>
  <c r="F87" i="3"/>
  <c r="E87" i="3"/>
  <c r="F86" i="3"/>
  <c r="E86" i="3"/>
  <c r="F85" i="3"/>
  <c r="E85" i="3"/>
  <c r="F84" i="3"/>
  <c r="E84" i="3"/>
  <c r="D98" i="3"/>
  <c r="Q1056" i="1"/>
  <c r="P1056" i="1"/>
  <c r="O1056" i="1"/>
  <c r="N1056" i="1"/>
  <c r="Q1055" i="1"/>
  <c r="P1055" i="1"/>
  <c r="O1055" i="1"/>
  <c r="N1055" i="1"/>
  <c r="Q1054" i="1"/>
  <c r="P1054" i="1"/>
  <c r="O1054" i="1"/>
  <c r="N1054" i="1"/>
  <c r="Q1053" i="1"/>
  <c r="P1053" i="1"/>
  <c r="O1053" i="1"/>
  <c r="N1053" i="1"/>
  <c r="Q1052" i="1"/>
  <c r="P1052" i="1"/>
  <c r="O1052" i="1"/>
  <c r="N1052" i="1"/>
  <c r="Q1051" i="1"/>
  <c r="P1051" i="1"/>
  <c r="O1051" i="1"/>
  <c r="N1051" i="1"/>
  <c r="Q1050" i="1"/>
  <c r="P1050" i="1"/>
  <c r="O1050" i="1"/>
  <c r="N1050" i="1"/>
  <c r="Q1049" i="1"/>
  <c r="P1049" i="1"/>
  <c r="O1049" i="1"/>
  <c r="N1049" i="1"/>
  <c r="Q1048" i="1"/>
  <c r="P1048" i="1"/>
  <c r="O1048" i="1"/>
  <c r="N1048" i="1"/>
  <c r="Q1047" i="1"/>
  <c r="P1047" i="1"/>
  <c r="O1047" i="1"/>
  <c r="N1047" i="1"/>
  <c r="Q1046" i="1"/>
  <c r="P1046" i="1"/>
  <c r="O1046" i="1"/>
  <c r="N1046" i="1"/>
  <c r="Q1045" i="1"/>
  <c r="P1045" i="1"/>
  <c r="O1045" i="1"/>
  <c r="N1045" i="1"/>
  <c r="Q1044" i="1"/>
  <c r="P1044" i="1"/>
  <c r="O1044" i="1"/>
  <c r="N1044" i="1"/>
  <c r="Q1043" i="1"/>
  <c r="P1043" i="1"/>
  <c r="O1043" i="1"/>
  <c r="N1043" i="1"/>
  <c r="Q1042" i="1"/>
  <c r="P1042" i="1"/>
  <c r="O1042" i="1"/>
  <c r="N1042" i="1"/>
  <c r="Q1041" i="1"/>
  <c r="P1041" i="1"/>
  <c r="O1041" i="1"/>
  <c r="N1041" i="1"/>
  <c r="Q1040" i="1"/>
  <c r="P1040" i="1"/>
  <c r="O1040" i="1"/>
  <c r="N1040" i="1"/>
  <c r="Q1039" i="1"/>
  <c r="P1039" i="1"/>
  <c r="O1039" i="1"/>
  <c r="N1039" i="1"/>
  <c r="Q1034" i="1"/>
  <c r="P1034" i="1"/>
  <c r="O1034" i="1"/>
  <c r="N1034" i="1"/>
  <c r="Q1033" i="1"/>
  <c r="P1033" i="1"/>
  <c r="O1033" i="1"/>
  <c r="N1033" i="1"/>
  <c r="Q1032" i="1"/>
  <c r="P1032" i="1"/>
  <c r="O1032" i="1"/>
  <c r="N1032" i="1"/>
  <c r="Q1031" i="1"/>
  <c r="P1031" i="1"/>
  <c r="O1031" i="1"/>
  <c r="N1031" i="1"/>
  <c r="Q1030" i="1"/>
  <c r="P1030" i="1"/>
  <c r="O1030" i="1"/>
  <c r="N1030" i="1"/>
  <c r="Q1029" i="1"/>
  <c r="P1029" i="1"/>
  <c r="O1029" i="1"/>
  <c r="N1029" i="1"/>
  <c r="Q1028" i="1"/>
  <c r="P1028" i="1"/>
  <c r="O1028" i="1"/>
  <c r="N1028" i="1"/>
  <c r="Q1027" i="1"/>
  <c r="P1027" i="1"/>
  <c r="O1027" i="1"/>
  <c r="N1027" i="1"/>
  <c r="Q1026" i="1"/>
  <c r="P1026" i="1"/>
  <c r="O1026" i="1"/>
  <c r="N1026" i="1"/>
  <c r="Q1025" i="1"/>
  <c r="P1025" i="1"/>
  <c r="O1025" i="1"/>
  <c r="N1025" i="1"/>
  <c r="Q1024" i="1"/>
  <c r="P1024" i="1"/>
  <c r="O1024" i="1"/>
  <c r="N1024" i="1"/>
  <c r="Q1023" i="1"/>
  <c r="P1023" i="1"/>
  <c r="O1023" i="1"/>
  <c r="N1023" i="1"/>
  <c r="Q1022" i="1"/>
  <c r="P1022" i="1"/>
  <c r="O1022" i="1"/>
  <c r="N1022" i="1"/>
  <c r="Q1021" i="1"/>
  <c r="P1021" i="1"/>
  <c r="O1021" i="1"/>
  <c r="N1021" i="1"/>
  <c r="Q1020" i="1"/>
  <c r="P1020" i="1"/>
  <c r="O1020" i="1"/>
  <c r="N1020" i="1"/>
  <c r="Q1019" i="1"/>
  <c r="P1019" i="1"/>
  <c r="O1019" i="1"/>
  <c r="N1019" i="1"/>
  <c r="Q1018" i="1"/>
  <c r="P1018" i="1"/>
  <c r="O1018" i="1"/>
  <c r="N1018" i="1"/>
  <c r="Q1017" i="1"/>
  <c r="P1017" i="1"/>
  <c r="O1017" i="1"/>
  <c r="N1017" i="1"/>
  <c r="Q1038" i="1"/>
  <c r="P1038" i="1"/>
  <c r="O1038" i="1"/>
  <c r="N1038" i="1"/>
  <c r="Q1037" i="1"/>
  <c r="P1037" i="1"/>
  <c r="O1037" i="1"/>
  <c r="N1037" i="1"/>
  <c r="Q1036" i="1"/>
  <c r="P1036" i="1"/>
  <c r="O1036" i="1"/>
  <c r="N1036" i="1"/>
  <c r="Q1035" i="1"/>
  <c r="P1035" i="1"/>
  <c r="O1035" i="1"/>
  <c r="N1035" i="1"/>
  <c r="Q1016" i="1"/>
  <c r="P1016" i="1"/>
  <c r="O1016" i="1"/>
  <c r="N1016" i="1"/>
  <c r="Q1015" i="1"/>
  <c r="P1015" i="1"/>
  <c r="O1015" i="1"/>
  <c r="N1015" i="1"/>
  <c r="Q1014" i="1"/>
  <c r="P1014" i="1"/>
  <c r="O1014" i="1"/>
  <c r="N1014" i="1"/>
  <c r="Q1013" i="1"/>
  <c r="P1013" i="1"/>
  <c r="O1013" i="1"/>
  <c r="N1013" i="1"/>
  <c r="Q1012" i="1"/>
  <c r="P1012" i="1"/>
  <c r="O1012" i="1"/>
  <c r="N1012" i="1"/>
  <c r="Q1011" i="1"/>
  <c r="P1011" i="1"/>
  <c r="O1011" i="1"/>
  <c r="N1011" i="1"/>
  <c r="Q1010" i="1"/>
  <c r="P1010" i="1"/>
  <c r="O1010" i="1"/>
  <c r="N1010" i="1"/>
  <c r="Q1009" i="1"/>
  <c r="P1009" i="1"/>
  <c r="O1009" i="1"/>
  <c r="N1009" i="1"/>
  <c r="Q1008" i="1"/>
  <c r="P1008" i="1"/>
  <c r="O1008" i="1"/>
  <c r="N1008" i="1"/>
  <c r="Q1007" i="1"/>
  <c r="P1007" i="1"/>
  <c r="O1007" i="1"/>
  <c r="N1007" i="1"/>
  <c r="Q1006" i="1"/>
  <c r="P1006" i="1"/>
  <c r="O1006" i="1"/>
  <c r="N1006" i="1"/>
  <c r="Q1005" i="1"/>
  <c r="P1005" i="1"/>
  <c r="O1005" i="1"/>
  <c r="N1005" i="1"/>
  <c r="Q1004" i="1"/>
  <c r="P1004" i="1"/>
  <c r="O1004" i="1"/>
  <c r="N1004" i="1"/>
  <c r="Q1003" i="1"/>
  <c r="P1003" i="1"/>
  <c r="O1003" i="1"/>
  <c r="N1003" i="1"/>
  <c r="Q1002" i="1"/>
  <c r="P1002" i="1"/>
  <c r="O1002" i="1"/>
  <c r="N1002" i="1"/>
  <c r="Q1001" i="1"/>
  <c r="P1001" i="1"/>
  <c r="O1001" i="1"/>
  <c r="N1001" i="1"/>
  <c r="Q1000" i="1"/>
  <c r="P1000" i="1"/>
  <c r="O1000" i="1"/>
  <c r="N1000" i="1"/>
  <c r="Q999" i="1"/>
  <c r="P999" i="1"/>
  <c r="O999" i="1"/>
  <c r="N999" i="1"/>
  <c r="Q998" i="1"/>
  <c r="P998" i="1"/>
  <c r="O998" i="1"/>
  <c r="N998" i="1"/>
  <c r="Q997" i="1"/>
  <c r="P997" i="1"/>
  <c r="O997" i="1"/>
  <c r="N997" i="1"/>
  <c r="Q996" i="1"/>
  <c r="P996" i="1"/>
  <c r="O996" i="1"/>
  <c r="N996" i="1"/>
  <c r="Q995" i="1"/>
  <c r="P995" i="1"/>
  <c r="O995" i="1"/>
  <c r="N995" i="1"/>
  <c r="S995" i="1"/>
  <c r="Q994" i="1"/>
  <c r="P994" i="1"/>
  <c r="O994" i="1"/>
  <c r="N994" i="1"/>
  <c r="Q993" i="1"/>
  <c r="P993" i="1"/>
  <c r="O993" i="1"/>
  <c r="N993" i="1"/>
  <c r="Q992" i="1"/>
  <c r="P992" i="1"/>
  <c r="O992" i="1"/>
  <c r="N992" i="1"/>
  <c r="Q991" i="1"/>
  <c r="P991" i="1"/>
  <c r="O991" i="1"/>
  <c r="N991" i="1"/>
  <c r="Q990" i="1"/>
  <c r="P990" i="1"/>
  <c r="O990" i="1"/>
  <c r="N990" i="1"/>
  <c r="Q989" i="1"/>
  <c r="P989" i="1"/>
  <c r="O989" i="1"/>
  <c r="N989" i="1"/>
  <c r="Q988" i="1"/>
  <c r="P988" i="1"/>
  <c r="O988" i="1"/>
  <c r="N988" i="1"/>
  <c r="Q987" i="1"/>
  <c r="P987" i="1"/>
  <c r="O987" i="1"/>
  <c r="N987" i="1"/>
  <c r="Q986" i="1"/>
  <c r="P986" i="1"/>
  <c r="O986" i="1"/>
  <c r="N986" i="1"/>
  <c r="Q985" i="1"/>
  <c r="P985" i="1"/>
  <c r="O985" i="1"/>
  <c r="N985" i="1"/>
  <c r="Q984" i="1"/>
  <c r="P984" i="1"/>
  <c r="O984" i="1"/>
  <c r="N984" i="1"/>
  <c r="Q983" i="1"/>
  <c r="P983" i="1"/>
  <c r="O983" i="1"/>
  <c r="N983" i="1"/>
  <c r="Q982" i="1"/>
  <c r="P982" i="1"/>
  <c r="O982" i="1"/>
  <c r="N982" i="1"/>
  <c r="Q981" i="1"/>
  <c r="P981" i="1"/>
  <c r="O981" i="1"/>
  <c r="N981" i="1"/>
  <c r="Q980" i="1"/>
  <c r="P980" i="1"/>
  <c r="O980" i="1"/>
  <c r="N980" i="1"/>
  <c r="Q979" i="1"/>
  <c r="P979" i="1"/>
  <c r="O979" i="1"/>
  <c r="N979" i="1"/>
  <c r="Q978" i="1"/>
  <c r="P978" i="1"/>
  <c r="O978" i="1"/>
  <c r="N978" i="1"/>
  <c r="Q977" i="1"/>
  <c r="P977" i="1"/>
  <c r="O977" i="1"/>
  <c r="N977" i="1"/>
  <c r="Q976" i="1"/>
  <c r="P976" i="1"/>
  <c r="O976" i="1"/>
  <c r="N976" i="1"/>
  <c r="Q975" i="1"/>
  <c r="P975" i="1"/>
  <c r="O975" i="1"/>
  <c r="N975" i="1"/>
  <c r="Q974" i="1"/>
  <c r="P974" i="1"/>
  <c r="O974" i="1"/>
  <c r="N974" i="1"/>
  <c r="Q973" i="1"/>
  <c r="P973" i="1"/>
  <c r="O973" i="1"/>
  <c r="N973" i="1"/>
  <c r="Q972" i="1"/>
  <c r="P972" i="1"/>
  <c r="O972" i="1"/>
  <c r="N972" i="1"/>
  <c r="Q971" i="1"/>
  <c r="P971" i="1"/>
  <c r="O971" i="1"/>
  <c r="N971" i="1"/>
  <c r="Q970" i="1"/>
  <c r="P970" i="1"/>
  <c r="O970" i="1"/>
  <c r="N970" i="1"/>
  <c r="Q969" i="1"/>
  <c r="P969" i="1"/>
  <c r="O969" i="1"/>
  <c r="N969" i="1"/>
  <c r="Q968" i="1"/>
  <c r="P968" i="1"/>
  <c r="O968" i="1"/>
  <c r="N968" i="1"/>
  <c r="Q967" i="1"/>
  <c r="P967" i="1"/>
  <c r="O967" i="1"/>
  <c r="N967" i="1"/>
  <c r="Q966" i="1"/>
  <c r="P966" i="1"/>
  <c r="O966" i="1"/>
  <c r="N966" i="1"/>
  <c r="Q965" i="1"/>
  <c r="P965" i="1"/>
  <c r="O965" i="1"/>
  <c r="N965" i="1"/>
  <c r="Q964" i="1"/>
  <c r="P964" i="1"/>
  <c r="O964" i="1"/>
  <c r="N964" i="1"/>
  <c r="Q963" i="1"/>
  <c r="P963" i="1"/>
  <c r="O963" i="1"/>
  <c r="N963" i="1"/>
  <c r="Q962" i="1"/>
  <c r="P962" i="1"/>
  <c r="O962" i="1"/>
  <c r="N962" i="1"/>
  <c r="Q961" i="1"/>
  <c r="P961" i="1"/>
  <c r="O961" i="1"/>
  <c r="N961" i="1"/>
  <c r="Q960" i="1"/>
  <c r="P960" i="1"/>
  <c r="O960" i="1"/>
  <c r="N960" i="1"/>
  <c r="Q959" i="1"/>
  <c r="P959" i="1"/>
  <c r="O959" i="1"/>
  <c r="N959" i="1"/>
  <c r="Q958" i="1"/>
  <c r="P958" i="1"/>
  <c r="O958" i="1"/>
  <c r="N958" i="1"/>
  <c r="Q957" i="1"/>
  <c r="P957" i="1"/>
  <c r="O957" i="1"/>
  <c r="N957" i="1"/>
  <c r="Q956" i="1"/>
  <c r="P956" i="1"/>
  <c r="O956" i="1"/>
  <c r="N956" i="1"/>
  <c r="Q955" i="1"/>
  <c r="P955" i="1"/>
  <c r="O955" i="1"/>
  <c r="N955" i="1"/>
  <c r="Q954" i="1"/>
  <c r="P954" i="1"/>
  <c r="O954" i="1"/>
  <c r="N954" i="1"/>
  <c r="Q953" i="1"/>
  <c r="P953" i="1"/>
  <c r="O953" i="1"/>
  <c r="N953" i="1"/>
  <c r="Q952" i="1"/>
  <c r="P952" i="1"/>
  <c r="O952" i="1"/>
  <c r="N952" i="1"/>
  <c r="Q951" i="1"/>
  <c r="P951" i="1"/>
  <c r="O951" i="1"/>
  <c r="N951" i="1"/>
  <c r="Q950" i="1"/>
  <c r="P950" i="1"/>
  <c r="O950" i="1"/>
  <c r="N950" i="1"/>
  <c r="Q949" i="1"/>
  <c r="P949" i="1"/>
  <c r="O949" i="1"/>
  <c r="N949" i="1"/>
  <c r="Q948" i="1"/>
  <c r="P948" i="1"/>
  <c r="O948" i="1"/>
  <c r="N948" i="1"/>
  <c r="Q947" i="1"/>
  <c r="P947" i="1"/>
  <c r="O947" i="1"/>
  <c r="N947" i="1"/>
  <c r="Q946" i="1"/>
  <c r="P946" i="1"/>
  <c r="O946" i="1"/>
  <c r="N946" i="1"/>
  <c r="Q945" i="1"/>
  <c r="P945" i="1"/>
  <c r="O945" i="1"/>
  <c r="N945" i="1"/>
  <c r="Q944" i="1"/>
  <c r="P944" i="1"/>
  <c r="O944" i="1"/>
  <c r="N944" i="1"/>
  <c r="Q943" i="1"/>
  <c r="P943" i="1"/>
  <c r="O943" i="1"/>
  <c r="N943" i="1"/>
  <c r="Q942" i="1"/>
  <c r="P942" i="1"/>
  <c r="O942" i="1"/>
  <c r="N942" i="1"/>
  <c r="Q941" i="1"/>
  <c r="P941" i="1"/>
  <c r="O941" i="1"/>
  <c r="N941" i="1"/>
  <c r="Q940" i="1"/>
  <c r="P940" i="1"/>
  <c r="O940" i="1"/>
  <c r="N940" i="1"/>
  <c r="Q939" i="1"/>
  <c r="P939" i="1"/>
  <c r="O939" i="1"/>
  <c r="N939" i="1"/>
  <c r="Q938" i="1"/>
  <c r="P938" i="1"/>
  <c r="O938" i="1"/>
  <c r="N938" i="1"/>
  <c r="Q937" i="1"/>
  <c r="P937" i="1"/>
  <c r="O937" i="1"/>
  <c r="N937" i="1"/>
  <c r="Q936" i="1"/>
  <c r="P936" i="1"/>
  <c r="O936" i="1"/>
  <c r="N936" i="1"/>
  <c r="Q935" i="1"/>
  <c r="P935" i="1"/>
  <c r="O935" i="1"/>
  <c r="N935" i="1"/>
  <c r="B67" i="3"/>
  <c r="G68" i="3"/>
  <c r="C68" i="3"/>
  <c r="E68" i="3" s="1"/>
  <c r="B68" i="3"/>
  <c r="F68" i="3"/>
  <c r="G67" i="3"/>
  <c r="C67" i="3"/>
  <c r="E67" i="3" s="1"/>
  <c r="F67" i="3"/>
  <c r="G66" i="3"/>
  <c r="C66" i="3"/>
  <c r="E66" i="3" s="1"/>
  <c r="B66" i="3"/>
  <c r="G65" i="3"/>
  <c r="C65" i="3"/>
  <c r="B65" i="3"/>
  <c r="F65" i="3"/>
  <c r="E65" i="3"/>
  <c r="G64" i="3"/>
  <c r="C64" i="3"/>
  <c r="E64" i="3" s="1"/>
  <c r="B64" i="3"/>
  <c r="F64" i="3"/>
  <c r="G63" i="3"/>
  <c r="C63" i="3"/>
  <c r="E63" i="3" s="1"/>
  <c r="B63" i="3"/>
  <c r="F63" i="3"/>
  <c r="G62" i="3"/>
  <c r="C62" i="3"/>
  <c r="E62" i="3" s="1"/>
  <c r="B62" i="3"/>
  <c r="F62" i="3"/>
  <c r="B72" i="3"/>
  <c r="C72" i="3"/>
  <c r="E72" i="3" s="1"/>
  <c r="G72" i="3"/>
  <c r="G58" i="3"/>
  <c r="C58" i="3"/>
  <c r="E58" i="3" s="1"/>
  <c r="B58" i="3"/>
  <c r="F58" i="3"/>
  <c r="G57" i="3"/>
  <c r="C57" i="3"/>
  <c r="E57" i="3" s="1"/>
  <c r="B57" i="3"/>
  <c r="G56" i="3"/>
  <c r="C56" i="3"/>
  <c r="E56" i="3" s="1"/>
  <c r="B56" i="3"/>
  <c r="F56" i="3"/>
  <c r="G82" i="3"/>
  <c r="C82" i="3"/>
  <c r="E82" i="3" s="1"/>
  <c r="B82" i="3"/>
  <c r="G81" i="3"/>
  <c r="C81" i="3"/>
  <c r="E81" i="3" s="1"/>
  <c r="B81" i="3"/>
  <c r="G80" i="3"/>
  <c r="C80" i="3"/>
  <c r="E80" i="3" s="1"/>
  <c r="B80" i="3"/>
  <c r="G79" i="3"/>
  <c r="C79" i="3"/>
  <c r="B79" i="3"/>
  <c r="G78" i="3"/>
  <c r="C78" i="3"/>
  <c r="E78" i="3" s="1"/>
  <c r="B78" i="3"/>
  <c r="G77" i="3"/>
  <c r="C77" i="3"/>
  <c r="E77" i="3" s="1"/>
  <c r="B77" i="3"/>
  <c r="G76" i="3"/>
  <c r="C76" i="3"/>
  <c r="B76" i="3"/>
  <c r="G75" i="3"/>
  <c r="C75" i="3"/>
  <c r="B75" i="3"/>
  <c r="G74" i="3"/>
  <c r="C74" i="3"/>
  <c r="E74" i="3" s="1"/>
  <c r="B74" i="3"/>
  <c r="B4" i="7"/>
  <c r="B3" i="7"/>
  <c r="G73" i="3"/>
  <c r="C73" i="3"/>
  <c r="E73" i="3" s="1"/>
  <c r="B73" i="3"/>
  <c r="F81" i="3"/>
  <c r="F80" i="3"/>
  <c r="F79" i="3"/>
  <c r="E79" i="3"/>
  <c r="F78" i="3"/>
  <c r="F77" i="3"/>
  <c r="E76" i="3"/>
  <c r="F75" i="3"/>
  <c r="E75" i="3"/>
  <c r="F74" i="3"/>
  <c r="F73" i="3"/>
  <c r="Q934" i="1"/>
  <c r="P934" i="1"/>
  <c r="O934" i="1"/>
  <c r="N934" i="1"/>
  <c r="Q933" i="1"/>
  <c r="P933" i="1"/>
  <c r="O933" i="1"/>
  <c r="N933" i="1"/>
  <c r="Q921" i="1"/>
  <c r="P921" i="1"/>
  <c r="O921" i="1"/>
  <c r="N921" i="1"/>
  <c r="Q920" i="1"/>
  <c r="P920" i="1"/>
  <c r="O920" i="1"/>
  <c r="N920" i="1"/>
  <c r="Q919" i="1"/>
  <c r="P919" i="1"/>
  <c r="O919" i="1"/>
  <c r="N919" i="1"/>
  <c r="Q918" i="1"/>
  <c r="P918" i="1"/>
  <c r="O918" i="1"/>
  <c r="N918" i="1"/>
  <c r="Q917" i="1"/>
  <c r="P917" i="1"/>
  <c r="O917" i="1"/>
  <c r="N917" i="1"/>
  <c r="Q916" i="1"/>
  <c r="P916" i="1"/>
  <c r="O916" i="1"/>
  <c r="N916" i="1"/>
  <c r="Q915" i="1"/>
  <c r="P915" i="1"/>
  <c r="O915" i="1"/>
  <c r="N915" i="1"/>
  <c r="Q914" i="1"/>
  <c r="P914" i="1"/>
  <c r="O914" i="1"/>
  <c r="N914" i="1"/>
  <c r="Q913" i="1"/>
  <c r="P913" i="1"/>
  <c r="O913" i="1"/>
  <c r="N913" i="1"/>
  <c r="Q912" i="1"/>
  <c r="P912" i="1"/>
  <c r="O912" i="1"/>
  <c r="N912" i="1"/>
  <c r="Q911" i="1"/>
  <c r="P911" i="1"/>
  <c r="O911" i="1"/>
  <c r="N911" i="1"/>
  <c r="Q910" i="1"/>
  <c r="P910" i="1"/>
  <c r="O910" i="1"/>
  <c r="N910" i="1"/>
  <c r="Q932" i="1"/>
  <c r="P932" i="1"/>
  <c r="O932" i="1"/>
  <c r="N932" i="1"/>
  <c r="Q931" i="1"/>
  <c r="P931" i="1"/>
  <c r="O931" i="1"/>
  <c r="N931" i="1"/>
  <c r="Q930" i="1"/>
  <c r="P930" i="1"/>
  <c r="O930" i="1"/>
  <c r="N930" i="1"/>
  <c r="Q929" i="1"/>
  <c r="P929" i="1"/>
  <c r="O929" i="1"/>
  <c r="N929" i="1"/>
  <c r="Q928" i="1"/>
  <c r="P928" i="1"/>
  <c r="O928" i="1"/>
  <c r="N928" i="1"/>
  <c r="Q927" i="1"/>
  <c r="P927" i="1"/>
  <c r="O927" i="1"/>
  <c r="N927" i="1"/>
  <c r="Q926" i="1"/>
  <c r="P926" i="1"/>
  <c r="O926" i="1"/>
  <c r="N926" i="1"/>
  <c r="Q925" i="1"/>
  <c r="P925" i="1"/>
  <c r="O925" i="1"/>
  <c r="N925" i="1"/>
  <c r="Q924" i="1"/>
  <c r="P924" i="1"/>
  <c r="O924" i="1"/>
  <c r="N924" i="1"/>
  <c r="Q923" i="1"/>
  <c r="P923" i="1"/>
  <c r="O923" i="1"/>
  <c r="N923" i="1"/>
  <c r="Q922" i="1"/>
  <c r="P922" i="1"/>
  <c r="O922" i="1"/>
  <c r="N922" i="1"/>
  <c r="Q909" i="1"/>
  <c r="P909" i="1"/>
  <c r="O909" i="1"/>
  <c r="N909" i="1"/>
  <c r="Q908" i="1"/>
  <c r="P908" i="1"/>
  <c r="O908" i="1"/>
  <c r="N908" i="1"/>
  <c r="Q907" i="1"/>
  <c r="P907" i="1"/>
  <c r="O907" i="1"/>
  <c r="N907" i="1"/>
  <c r="Q906" i="1"/>
  <c r="P906" i="1"/>
  <c r="O906" i="1"/>
  <c r="N906" i="1"/>
  <c r="Q905" i="1"/>
  <c r="P905" i="1"/>
  <c r="O905" i="1"/>
  <c r="N905" i="1"/>
  <c r="Q904" i="1"/>
  <c r="P904" i="1"/>
  <c r="O904" i="1"/>
  <c r="N904" i="1"/>
  <c r="Q903" i="1"/>
  <c r="P903" i="1"/>
  <c r="O903" i="1"/>
  <c r="N903" i="1"/>
  <c r="Q902" i="1"/>
  <c r="P902" i="1"/>
  <c r="O902" i="1"/>
  <c r="N902" i="1"/>
  <c r="Q901" i="1"/>
  <c r="P901" i="1"/>
  <c r="O901" i="1"/>
  <c r="N901" i="1"/>
  <c r="Q900" i="1"/>
  <c r="P900" i="1"/>
  <c r="O900" i="1"/>
  <c r="N900" i="1"/>
  <c r="Q899" i="1"/>
  <c r="P899" i="1"/>
  <c r="O899" i="1"/>
  <c r="N899" i="1"/>
  <c r="Q898" i="1"/>
  <c r="P898" i="1"/>
  <c r="O898" i="1"/>
  <c r="N898" i="1"/>
  <c r="Q897" i="1"/>
  <c r="P897" i="1"/>
  <c r="O897" i="1"/>
  <c r="N897" i="1"/>
  <c r="Q896" i="1"/>
  <c r="P896" i="1"/>
  <c r="O896" i="1"/>
  <c r="N896" i="1"/>
  <c r="Q895" i="1"/>
  <c r="P895" i="1"/>
  <c r="O895" i="1"/>
  <c r="N895" i="1"/>
  <c r="Q894" i="1"/>
  <c r="P894" i="1"/>
  <c r="O894" i="1"/>
  <c r="N894" i="1"/>
  <c r="Q893" i="1"/>
  <c r="P893" i="1"/>
  <c r="O893" i="1"/>
  <c r="N893" i="1"/>
  <c r="Q892" i="1"/>
  <c r="P892" i="1"/>
  <c r="O892" i="1"/>
  <c r="N892" i="1"/>
  <c r="Q891" i="1"/>
  <c r="P891" i="1"/>
  <c r="O891" i="1"/>
  <c r="N891" i="1"/>
  <c r="Q890" i="1"/>
  <c r="P890" i="1"/>
  <c r="O890" i="1"/>
  <c r="N890" i="1"/>
  <c r="Q889" i="1"/>
  <c r="P889" i="1"/>
  <c r="O889" i="1"/>
  <c r="N889" i="1"/>
  <c r="Q888" i="1"/>
  <c r="P888" i="1"/>
  <c r="O888" i="1"/>
  <c r="N888" i="1"/>
  <c r="Q887" i="1"/>
  <c r="P887" i="1"/>
  <c r="O887" i="1"/>
  <c r="N887" i="1"/>
  <c r="Q886" i="1"/>
  <c r="P886" i="1"/>
  <c r="O886" i="1"/>
  <c r="N886" i="1"/>
  <c r="Q885" i="1"/>
  <c r="P885" i="1"/>
  <c r="O885" i="1"/>
  <c r="N885" i="1"/>
  <c r="Q884" i="1"/>
  <c r="P884" i="1"/>
  <c r="O884" i="1"/>
  <c r="N884" i="1"/>
  <c r="Q883" i="1"/>
  <c r="P883" i="1"/>
  <c r="O883" i="1"/>
  <c r="N883" i="1"/>
  <c r="Q882" i="1"/>
  <c r="P882" i="1"/>
  <c r="O882" i="1"/>
  <c r="N882" i="1"/>
  <c r="Q881" i="1"/>
  <c r="P881" i="1"/>
  <c r="O881" i="1"/>
  <c r="N881" i="1"/>
  <c r="Q880" i="1"/>
  <c r="P880" i="1"/>
  <c r="O880" i="1"/>
  <c r="N880" i="1"/>
  <c r="S836" i="1"/>
  <c r="S830" i="1"/>
  <c r="Q879" i="1"/>
  <c r="P879" i="1"/>
  <c r="O879" i="1"/>
  <c r="N879" i="1"/>
  <c r="Q878" i="1"/>
  <c r="P878" i="1"/>
  <c r="O878" i="1"/>
  <c r="N878" i="1"/>
  <c r="Q877" i="1"/>
  <c r="P877" i="1"/>
  <c r="O877" i="1"/>
  <c r="N877" i="1"/>
  <c r="Q876" i="1"/>
  <c r="P876" i="1"/>
  <c r="O876" i="1"/>
  <c r="N876" i="1"/>
  <c r="Q875" i="1"/>
  <c r="P875" i="1"/>
  <c r="O875" i="1"/>
  <c r="N875" i="1"/>
  <c r="Q874" i="1"/>
  <c r="P874" i="1"/>
  <c r="O874" i="1"/>
  <c r="N874" i="1"/>
  <c r="Q873" i="1"/>
  <c r="P873" i="1"/>
  <c r="O873" i="1"/>
  <c r="N873" i="1"/>
  <c r="Q872" i="1"/>
  <c r="P872" i="1"/>
  <c r="O872" i="1"/>
  <c r="N872" i="1"/>
  <c r="Q871" i="1"/>
  <c r="P871" i="1"/>
  <c r="O871" i="1"/>
  <c r="N871" i="1"/>
  <c r="Q870" i="1"/>
  <c r="P870" i="1"/>
  <c r="O870" i="1"/>
  <c r="N870" i="1"/>
  <c r="Q869" i="1"/>
  <c r="P869" i="1"/>
  <c r="O869" i="1"/>
  <c r="N869" i="1"/>
  <c r="Q868" i="1"/>
  <c r="P868" i="1"/>
  <c r="O868" i="1"/>
  <c r="N868" i="1"/>
  <c r="Q867" i="1"/>
  <c r="P867" i="1"/>
  <c r="O867" i="1"/>
  <c r="N867" i="1"/>
  <c r="Q866" i="1"/>
  <c r="P866" i="1"/>
  <c r="O866" i="1"/>
  <c r="N866" i="1"/>
  <c r="Q865" i="1"/>
  <c r="P865" i="1"/>
  <c r="O865" i="1"/>
  <c r="N865" i="1"/>
  <c r="Q864" i="1"/>
  <c r="P864" i="1"/>
  <c r="O864" i="1"/>
  <c r="N864" i="1"/>
  <c r="Q863" i="1"/>
  <c r="P863" i="1"/>
  <c r="O863" i="1"/>
  <c r="N863" i="1"/>
  <c r="Q862" i="1"/>
  <c r="P862" i="1"/>
  <c r="O862" i="1"/>
  <c r="N862" i="1"/>
  <c r="Q861" i="1"/>
  <c r="P861" i="1"/>
  <c r="O861" i="1"/>
  <c r="N861" i="1"/>
  <c r="Q860" i="1"/>
  <c r="P860" i="1"/>
  <c r="O860" i="1"/>
  <c r="N860" i="1"/>
  <c r="Q859" i="1"/>
  <c r="P859" i="1"/>
  <c r="O859" i="1"/>
  <c r="N859" i="1"/>
  <c r="Q858" i="1"/>
  <c r="P858" i="1"/>
  <c r="O858" i="1"/>
  <c r="N858" i="1"/>
  <c r="Q857" i="1"/>
  <c r="P857" i="1"/>
  <c r="O857" i="1"/>
  <c r="N857" i="1"/>
  <c r="Q856" i="1"/>
  <c r="P856" i="1"/>
  <c r="O856" i="1"/>
  <c r="N856" i="1"/>
  <c r="Q855" i="1"/>
  <c r="P855" i="1"/>
  <c r="O855" i="1"/>
  <c r="N855" i="1"/>
  <c r="Q854" i="1"/>
  <c r="P854" i="1"/>
  <c r="O854" i="1"/>
  <c r="N854" i="1"/>
  <c r="Q853" i="1"/>
  <c r="P853" i="1"/>
  <c r="O853" i="1"/>
  <c r="N853" i="1"/>
  <c r="Q852" i="1"/>
  <c r="P852" i="1"/>
  <c r="O852" i="1"/>
  <c r="N852" i="1"/>
  <c r="Q851" i="1"/>
  <c r="P851" i="1"/>
  <c r="O851" i="1"/>
  <c r="N851" i="1"/>
  <c r="Q850" i="1"/>
  <c r="P850" i="1"/>
  <c r="O850" i="1"/>
  <c r="N850" i="1"/>
  <c r="Q849" i="1"/>
  <c r="P849" i="1"/>
  <c r="O849" i="1"/>
  <c r="N849" i="1"/>
  <c r="Q848" i="1"/>
  <c r="P848" i="1"/>
  <c r="O848" i="1"/>
  <c r="N848" i="1"/>
  <c r="Q847" i="1"/>
  <c r="P847" i="1"/>
  <c r="O847" i="1"/>
  <c r="N847" i="1"/>
  <c r="Q846" i="1"/>
  <c r="P846" i="1"/>
  <c r="O846" i="1"/>
  <c r="N846" i="1"/>
  <c r="Q845" i="1"/>
  <c r="P845" i="1"/>
  <c r="O845" i="1"/>
  <c r="N845" i="1"/>
  <c r="Q844" i="1"/>
  <c r="P844" i="1"/>
  <c r="O844" i="1"/>
  <c r="N844" i="1"/>
  <c r="Q843" i="1"/>
  <c r="P843" i="1"/>
  <c r="O843" i="1"/>
  <c r="N843" i="1"/>
  <c r="Q842" i="1"/>
  <c r="P842" i="1"/>
  <c r="O842" i="1"/>
  <c r="N842" i="1"/>
  <c r="Q841" i="1"/>
  <c r="P841" i="1"/>
  <c r="O841" i="1"/>
  <c r="N841" i="1"/>
  <c r="Q840" i="1"/>
  <c r="P840" i="1"/>
  <c r="O840" i="1"/>
  <c r="N840" i="1"/>
  <c r="Q839" i="1"/>
  <c r="P839" i="1"/>
  <c r="O839" i="1"/>
  <c r="N839" i="1"/>
  <c r="Q838" i="1"/>
  <c r="P838" i="1"/>
  <c r="O838" i="1"/>
  <c r="N838" i="1"/>
  <c r="Q837" i="1"/>
  <c r="P837" i="1"/>
  <c r="O837" i="1"/>
  <c r="N837" i="1"/>
  <c r="Q836" i="1"/>
  <c r="P836" i="1"/>
  <c r="O836" i="1"/>
  <c r="N836" i="1"/>
  <c r="Q835" i="1"/>
  <c r="P835" i="1"/>
  <c r="O835" i="1"/>
  <c r="N835" i="1"/>
  <c r="Q834" i="1"/>
  <c r="P834" i="1"/>
  <c r="O834" i="1"/>
  <c r="N834" i="1"/>
  <c r="Q833" i="1"/>
  <c r="P833" i="1"/>
  <c r="O833" i="1"/>
  <c r="N833" i="1"/>
  <c r="Q832" i="1"/>
  <c r="P832" i="1"/>
  <c r="O832" i="1"/>
  <c r="N832" i="1"/>
  <c r="Q831" i="1"/>
  <c r="P831" i="1"/>
  <c r="O831" i="1"/>
  <c r="N831" i="1"/>
  <c r="Q830" i="1"/>
  <c r="P830" i="1"/>
  <c r="O830" i="1"/>
  <c r="N830" i="1"/>
  <c r="Q829" i="1"/>
  <c r="P829" i="1"/>
  <c r="O829" i="1"/>
  <c r="N829" i="1"/>
  <c r="Q828" i="1"/>
  <c r="P828" i="1"/>
  <c r="O828" i="1"/>
  <c r="N828" i="1"/>
  <c r="Q827" i="1"/>
  <c r="P827" i="1"/>
  <c r="O827" i="1"/>
  <c r="N827" i="1"/>
  <c r="Q826" i="1"/>
  <c r="P826" i="1"/>
  <c r="O826" i="1"/>
  <c r="N826" i="1"/>
  <c r="Q825" i="1"/>
  <c r="P825" i="1"/>
  <c r="O825" i="1"/>
  <c r="N825" i="1"/>
  <c r="Q824" i="1"/>
  <c r="P824" i="1"/>
  <c r="O824" i="1"/>
  <c r="N824" i="1"/>
  <c r="Q780" i="1"/>
  <c r="P780" i="1"/>
  <c r="O780" i="1"/>
  <c r="N780" i="1"/>
  <c r="Q779" i="1"/>
  <c r="P779" i="1"/>
  <c r="O779" i="1"/>
  <c r="N779" i="1"/>
  <c r="Q778" i="1"/>
  <c r="P778" i="1"/>
  <c r="O778" i="1"/>
  <c r="N778" i="1"/>
  <c r="Q777" i="1"/>
  <c r="P777" i="1"/>
  <c r="O777" i="1"/>
  <c r="N777" i="1"/>
  <c r="Q776" i="1"/>
  <c r="P776" i="1"/>
  <c r="O776" i="1"/>
  <c r="N776" i="1"/>
  <c r="Q775" i="1"/>
  <c r="P775" i="1"/>
  <c r="O775" i="1"/>
  <c r="N775" i="1"/>
  <c r="Q762" i="1"/>
  <c r="P762" i="1"/>
  <c r="O762" i="1"/>
  <c r="N762" i="1"/>
  <c r="Q761" i="1"/>
  <c r="P761" i="1"/>
  <c r="O761" i="1"/>
  <c r="N761" i="1"/>
  <c r="Q760" i="1"/>
  <c r="P760" i="1"/>
  <c r="O760" i="1"/>
  <c r="N760" i="1"/>
  <c r="Q774" i="1"/>
  <c r="P774" i="1"/>
  <c r="O774" i="1"/>
  <c r="N774" i="1"/>
  <c r="Q773" i="1"/>
  <c r="P773" i="1"/>
  <c r="O773" i="1"/>
  <c r="N773" i="1"/>
  <c r="Q772" i="1"/>
  <c r="P772" i="1"/>
  <c r="O772" i="1"/>
  <c r="N772" i="1"/>
  <c r="Q771" i="1"/>
  <c r="P771" i="1"/>
  <c r="O771" i="1"/>
  <c r="N771" i="1"/>
  <c r="Q770" i="1"/>
  <c r="P770" i="1"/>
  <c r="O770" i="1"/>
  <c r="N770" i="1"/>
  <c r="Q769" i="1"/>
  <c r="P769" i="1"/>
  <c r="O769" i="1"/>
  <c r="N769" i="1"/>
  <c r="Q768" i="1"/>
  <c r="P768" i="1"/>
  <c r="O768" i="1"/>
  <c r="N768" i="1"/>
  <c r="Q767" i="1"/>
  <c r="P767" i="1"/>
  <c r="O767" i="1"/>
  <c r="N767" i="1"/>
  <c r="Q766" i="1"/>
  <c r="P766" i="1"/>
  <c r="O766" i="1"/>
  <c r="N766" i="1"/>
  <c r="Q765" i="1"/>
  <c r="P765" i="1"/>
  <c r="O765" i="1"/>
  <c r="N765" i="1"/>
  <c r="Q764" i="1"/>
  <c r="P764" i="1"/>
  <c r="O764" i="1"/>
  <c r="N764" i="1"/>
  <c r="Q763" i="1"/>
  <c r="P763" i="1"/>
  <c r="O763" i="1"/>
  <c r="N763" i="1"/>
  <c r="Q759" i="1"/>
  <c r="P759" i="1"/>
  <c r="O759" i="1"/>
  <c r="N759" i="1"/>
  <c r="Q758" i="1"/>
  <c r="P758" i="1"/>
  <c r="O758" i="1"/>
  <c r="N758" i="1"/>
  <c r="Q757" i="1"/>
  <c r="P757" i="1"/>
  <c r="O757" i="1"/>
  <c r="N757" i="1"/>
  <c r="Q756" i="1"/>
  <c r="P756" i="1"/>
  <c r="O756" i="1"/>
  <c r="N756" i="1"/>
  <c r="Q755" i="1"/>
  <c r="P755" i="1"/>
  <c r="O755" i="1"/>
  <c r="N755" i="1"/>
  <c r="Q754" i="1"/>
  <c r="P754" i="1"/>
  <c r="O754" i="1"/>
  <c r="N754" i="1"/>
  <c r="Q753" i="1"/>
  <c r="P753" i="1"/>
  <c r="O753" i="1"/>
  <c r="N753" i="1"/>
  <c r="Q752" i="1"/>
  <c r="P752" i="1"/>
  <c r="O752" i="1"/>
  <c r="N752" i="1"/>
  <c r="Q751" i="1"/>
  <c r="P751" i="1"/>
  <c r="O751" i="1"/>
  <c r="N751" i="1"/>
  <c r="Q750" i="1"/>
  <c r="P750" i="1"/>
  <c r="O750" i="1"/>
  <c r="N750" i="1"/>
  <c r="Q749" i="1"/>
  <c r="P749" i="1"/>
  <c r="O749" i="1"/>
  <c r="N749" i="1"/>
  <c r="Q748" i="1"/>
  <c r="P748" i="1"/>
  <c r="O748" i="1"/>
  <c r="N748" i="1"/>
  <c r="Q747" i="1"/>
  <c r="P747" i="1"/>
  <c r="O747" i="1"/>
  <c r="N747" i="1"/>
  <c r="Q746" i="1"/>
  <c r="P746" i="1"/>
  <c r="O746" i="1"/>
  <c r="N746" i="1"/>
  <c r="Q745" i="1"/>
  <c r="P745" i="1"/>
  <c r="O745" i="1"/>
  <c r="N745" i="1"/>
  <c r="Q744" i="1"/>
  <c r="P744" i="1"/>
  <c r="O744" i="1"/>
  <c r="N744" i="1"/>
  <c r="Q743" i="1"/>
  <c r="P743" i="1"/>
  <c r="O743" i="1"/>
  <c r="N743" i="1"/>
  <c r="Q742" i="1"/>
  <c r="P742" i="1"/>
  <c r="O742" i="1"/>
  <c r="N742" i="1"/>
  <c r="Q741" i="1"/>
  <c r="P741" i="1"/>
  <c r="O741" i="1"/>
  <c r="N741" i="1"/>
  <c r="Q740" i="1"/>
  <c r="P740" i="1"/>
  <c r="O740" i="1"/>
  <c r="N740" i="1"/>
  <c r="Q739" i="1"/>
  <c r="P739" i="1"/>
  <c r="O739" i="1"/>
  <c r="N739" i="1"/>
  <c r="Q738" i="1"/>
  <c r="P738" i="1"/>
  <c r="O738" i="1"/>
  <c r="N738" i="1"/>
  <c r="Q737" i="1"/>
  <c r="P737" i="1"/>
  <c r="O737" i="1"/>
  <c r="N737" i="1"/>
  <c r="Q736" i="1"/>
  <c r="P736" i="1"/>
  <c r="O736" i="1"/>
  <c r="N736" i="1"/>
  <c r="Q735" i="1"/>
  <c r="P735" i="1"/>
  <c r="O735" i="1"/>
  <c r="N735" i="1"/>
  <c r="Q734" i="1"/>
  <c r="P734" i="1"/>
  <c r="O734" i="1"/>
  <c r="N734" i="1"/>
  <c r="Q733" i="1"/>
  <c r="P733" i="1"/>
  <c r="O733" i="1"/>
  <c r="N733" i="1"/>
  <c r="Q732" i="1"/>
  <c r="P732" i="1"/>
  <c r="O732" i="1"/>
  <c r="N732" i="1"/>
  <c r="Q731" i="1"/>
  <c r="P731" i="1"/>
  <c r="O731" i="1"/>
  <c r="N731" i="1"/>
  <c r="Q723" i="1"/>
  <c r="P723" i="1"/>
  <c r="O723" i="1"/>
  <c r="N723" i="1"/>
  <c r="Q722" i="1"/>
  <c r="P722" i="1"/>
  <c r="O722" i="1"/>
  <c r="N722" i="1"/>
  <c r="Q721" i="1"/>
  <c r="P721" i="1"/>
  <c r="O721" i="1"/>
  <c r="N721" i="1"/>
  <c r="Q720" i="1"/>
  <c r="P720" i="1"/>
  <c r="O720" i="1"/>
  <c r="N720" i="1"/>
  <c r="Q719" i="1"/>
  <c r="P719" i="1"/>
  <c r="O719" i="1"/>
  <c r="N719" i="1"/>
  <c r="Q718" i="1"/>
  <c r="P718" i="1"/>
  <c r="O718" i="1"/>
  <c r="N718" i="1"/>
  <c r="Q717" i="1"/>
  <c r="P717" i="1"/>
  <c r="O717" i="1"/>
  <c r="N717" i="1"/>
  <c r="Q716" i="1"/>
  <c r="P716" i="1"/>
  <c r="O716" i="1"/>
  <c r="N716" i="1"/>
  <c r="Q730" i="1"/>
  <c r="P730" i="1"/>
  <c r="O730" i="1"/>
  <c r="N730" i="1"/>
  <c r="Q729" i="1"/>
  <c r="P729" i="1"/>
  <c r="O729" i="1"/>
  <c r="N729" i="1"/>
  <c r="Q728" i="1"/>
  <c r="P728" i="1"/>
  <c r="O728" i="1"/>
  <c r="N728" i="1"/>
  <c r="Q727" i="1"/>
  <c r="P727" i="1"/>
  <c r="O727" i="1"/>
  <c r="N727" i="1"/>
  <c r="Q726" i="1"/>
  <c r="P726" i="1"/>
  <c r="O726" i="1"/>
  <c r="N726" i="1"/>
  <c r="Q725" i="1"/>
  <c r="P725" i="1"/>
  <c r="O725" i="1"/>
  <c r="N725" i="1"/>
  <c r="Q724" i="1"/>
  <c r="P724" i="1"/>
  <c r="O724" i="1"/>
  <c r="N724" i="1"/>
  <c r="G71" i="3"/>
  <c r="C71" i="3"/>
  <c r="B71" i="3"/>
  <c r="F71" i="3"/>
  <c r="E71" i="3"/>
  <c r="Q823" i="1"/>
  <c r="P823" i="1"/>
  <c r="O823" i="1"/>
  <c r="N823" i="1"/>
  <c r="Q822" i="1"/>
  <c r="P822" i="1"/>
  <c r="O822" i="1"/>
  <c r="N822" i="1"/>
  <c r="Q821" i="1"/>
  <c r="P821" i="1"/>
  <c r="O821" i="1"/>
  <c r="N821" i="1"/>
  <c r="Q820" i="1"/>
  <c r="P820" i="1"/>
  <c r="O820" i="1"/>
  <c r="N820" i="1"/>
  <c r="Q819" i="1"/>
  <c r="P819" i="1"/>
  <c r="O819" i="1"/>
  <c r="N819" i="1"/>
  <c r="Q818" i="1"/>
  <c r="P818" i="1"/>
  <c r="O818" i="1"/>
  <c r="N818" i="1"/>
  <c r="G70" i="3"/>
  <c r="C70" i="3"/>
  <c r="E70" i="3" s="1"/>
  <c r="B70" i="3"/>
  <c r="F70" i="3"/>
  <c r="Q817" i="1"/>
  <c r="P817" i="1"/>
  <c r="O817" i="1"/>
  <c r="N817" i="1"/>
  <c r="Q816" i="1"/>
  <c r="P816" i="1"/>
  <c r="O816" i="1"/>
  <c r="N816" i="1"/>
  <c r="Q815" i="1"/>
  <c r="P815" i="1"/>
  <c r="O815" i="1"/>
  <c r="N815" i="1"/>
  <c r="Q814" i="1"/>
  <c r="P814" i="1"/>
  <c r="O814" i="1"/>
  <c r="N814" i="1"/>
  <c r="Q813" i="1"/>
  <c r="P813" i="1"/>
  <c r="O813" i="1"/>
  <c r="N813" i="1"/>
  <c r="Q812" i="1"/>
  <c r="P812" i="1"/>
  <c r="O812" i="1"/>
  <c r="N812" i="1"/>
  <c r="Q811" i="1"/>
  <c r="P811" i="1"/>
  <c r="O811" i="1"/>
  <c r="N811" i="1"/>
  <c r="Q810" i="1"/>
  <c r="P810" i="1"/>
  <c r="O810" i="1"/>
  <c r="N810" i="1"/>
  <c r="Q809" i="1"/>
  <c r="P809" i="1"/>
  <c r="O809" i="1"/>
  <c r="N809" i="1"/>
  <c r="Q808" i="1"/>
  <c r="P808" i="1"/>
  <c r="O808" i="1"/>
  <c r="N808" i="1"/>
  <c r="Q807" i="1"/>
  <c r="P807" i="1"/>
  <c r="O807" i="1"/>
  <c r="N807" i="1"/>
  <c r="Q806" i="1"/>
  <c r="P806" i="1"/>
  <c r="O806" i="1"/>
  <c r="N806" i="1"/>
  <c r="Q805" i="1"/>
  <c r="P805" i="1"/>
  <c r="O805" i="1"/>
  <c r="N805" i="1"/>
  <c r="Q804" i="1"/>
  <c r="P804" i="1"/>
  <c r="O804" i="1"/>
  <c r="N804" i="1"/>
  <c r="Q803" i="1"/>
  <c r="P803" i="1"/>
  <c r="O803" i="1"/>
  <c r="N803" i="1"/>
  <c r="Q802" i="1"/>
  <c r="P802" i="1"/>
  <c r="O802" i="1"/>
  <c r="N802" i="1"/>
  <c r="Q801" i="1"/>
  <c r="P801" i="1"/>
  <c r="O801" i="1"/>
  <c r="N801" i="1"/>
  <c r="Q674" i="1"/>
  <c r="P674" i="1"/>
  <c r="O674" i="1"/>
  <c r="N674" i="1"/>
  <c r="Q673" i="1"/>
  <c r="P673" i="1"/>
  <c r="O673" i="1"/>
  <c r="N673" i="1"/>
  <c r="Q672" i="1"/>
  <c r="P672" i="1"/>
  <c r="O672" i="1"/>
  <c r="N672" i="1"/>
  <c r="Q671" i="1"/>
  <c r="P671" i="1"/>
  <c r="O671" i="1"/>
  <c r="N671" i="1"/>
  <c r="Q670" i="1"/>
  <c r="P670" i="1"/>
  <c r="O670" i="1"/>
  <c r="N670" i="1"/>
  <c r="Q669" i="1"/>
  <c r="P669" i="1"/>
  <c r="O669" i="1"/>
  <c r="N669" i="1"/>
  <c r="Q668" i="1"/>
  <c r="P668" i="1"/>
  <c r="O668" i="1"/>
  <c r="N668" i="1"/>
  <c r="Q667" i="1"/>
  <c r="P667" i="1"/>
  <c r="O667" i="1"/>
  <c r="N667" i="1"/>
  <c r="Q666" i="1"/>
  <c r="P666" i="1"/>
  <c r="O666" i="1"/>
  <c r="N666" i="1"/>
  <c r="Q665" i="1"/>
  <c r="P665" i="1"/>
  <c r="O665" i="1"/>
  <c r="N665" i="1"/>
  <c r="Q664" i="1"/>
  <c r="P664" i="1"/>
  <c r="O664" i="1"/>
  <c r="N664" i="1"/>
  <c r="Q663" i="1"/>
  <c r="P663" i="1"/>
  <c r="O663" i="1"/>
  <c r="N663" i="1"/>
  <c r="Q662" i="1"/>
  <c r="P662" i="1"/>
  <c r="O662" i="1"/>
  <c r="N662" i="1"/>
  <c r="Q661" i="1"/>
  <c r="P661" i="1"/>
  <c r="O661" i="1"/>
  <c r="N661" i="1"/>
  <c r="Q660" i="1"/>
  <c r="P660" i="1"/>
  <c r="O660" i="1"/>
  <c r="N660" i="1"/>
  <c r="Q659" i="1"/>
  <c r="P659" i="1"/>
  <c r="O659" i="1"/>
  <c r="N659" i="1"/>
  <c r="Q658" i="1"/>
  <c r="P658" i="1"/>
  <c r="O658" i="1"/>
  <c r="N658" i="1"/>
  <c r="Q657" i="1"/>
  <c r="P657" i="1"/>
  <c r="O657" i="1"/>
  <c r="N657" i="1"/>
  <c r="Q656" i="1"/>
  <c r="P656" i="1"/>
  <c r="O656" i="1"/>
  <c r="N656" i="1"/>
  <c r="Q655" i="1"/>
  <c r="P655" i="1"/>
  <c r="O655" i="1"/>
  <c r="N655" i="1"/>
  <c r="Q654" i="1"/>
  <c r="P654" i="1"/>
  <c r="O654" i="1"/>
  <c r="N654" i="1"/>
  <c r="G69" i="3"/>
  <c r="C69" i="3"/>
  <c r="E69" i="3" s="1"/>
  <c r="B69" i="3"/>
  <c r="F69" i="3"/>
  <c r="Q800" i="1"/>
  <c r="P800" i="1"/>
  <c r="O800" i="1"/>
  <c r="N800" i="1"/>
  <c r="Q799" i="1"/>
  <c r="P799" i="1"/>
  <c r="O799" i="1"/>
  <c r="N799" i="1"/>
  <c r="Q798" i="1"/>
  <c r="P798" i="1"/>
  <c r="O798" i="1"/>
  <c r="N798" i="1"/>
  <c r="Q797" i="1"/>
  <c r="P797" i="1"/>
  <c r="O797" i="1"/>
  <c r="N797" i="1"/>
  <c r="Q796" i="1"/>
  <c r="P796" i="1"/>
  <c r="O796" i="1"/>
  <c r="N796" i="1"/>
  <c r="Q795" i="1"/>
  <c r="P795" i="1"/>
  <c r="O795" i="1"/>
  <c r="N795" i="1"/>
  <c r="Q794" i="1"/>
  <c r="P794" i="1"/>
  <c r="O794" i="1"/>
  <c r="N794" i="1"/>
  <c r="Q793" i="1"/>
  <c r="P793" i="1"/>
  <c r="O793" i="1"/>
  <c r="N793" i="1"/>
  <c r="Q792" i="1"/>
  <c r="P792" i="1"/>
  <c r="O792" i="1"/>
  <c r="N792" i="1"/>
  <c r="Q791" i="1"/>
  <c r="P791" i="1"/>
  <c r="O791" i="1"/>
  <c r="N791" i="1"/>
  <c r="Q790" i="1"/>
  <c r="P790" i="1"/>
  <c r="O790" i="1"/>
  <c r="N790" i="1"/>
  <c r="Q789" i="1"/>
  <c r="P789" i="1"/>
  <c r="O789" i="1"/>
  <c r="N789" i="1"/>
  <c r="Q788" i="1"/>
  <c r="P788" i="1"/>
  <c r="O788" i="1"/>
  <c r="N788" i="1"/>
  <c r="Q787" i="1"/>
  <c r="P787" i="1"/>
  <c r="O787" i="1"/>
  <c r="N787" i="1"/>
  <c r="Q786" i="1"/>
  <c r="P786" i="1"/>
  <c r="O786" i="1"/>
  <c r="N786" i="1"/>
  <c r="Q785" i="1"/>
  <c r="P785" i="1"/>
  <c r="O785" i="1"/>
  <c r="N785" i="1"/>
  <c r="Q784" i="1"/>
  <c r="P784" i="1"/>
  <c r="O784" i="1"/>
  <c r="N784" i="1"/>
  <c r="Q783" i="1"/>
  <c r="P783" i="1"/>
  <c r="O783" i="1"/>
  <c r="N783" i="1"/>
  <c r="Q782" i="1"/>
  <c r="P782" i="1"/>
  <c r="O782" i="1"/>
  <c r="N782" i="1"/>
  <c r="Q781" i="1"/>
  <c r="P781" i="1"/>
  <c r="O781" i="1"/>
  <c r="N781" i="1"/>
  <c r="Q653" i="1"/>
  <c r="P653" i="1"/>
  <c r="O653" i="1"/>
  <c r="N653" i="1"/>
  <c r="Q652" i="1"/>
  <c r="P652" i="1"/>
  <c r="O652" i="1"/>
  <c r="N652" i="1"/>
  <c r="Q651" i="1"/>
  <c r="P651" i="1"/>
  <c r="O651" i="1"/>
  <c r="N651" i="1"/>
  <c r="Q650" i="1"/>
  <c r="P650" i="1"/>
  <c r="O650" i="1"/>
  <c r="N650" i="1"/>
  <c r="Q649" i="1"/>
  <c r="P649" i="1"/>
  <c r="O649" i="1"/>
  <c r="N649" i="1"/>
  <c r="Q648" i="1"/>
  <c r="P648" i="1"/>
  <c r="O648" i="1"/>
  <c r="N648" i="1"/>
  <c r="Q647" i="1"/>
  <c r="P647" i="1"/>
  <c r="O647" i="1"/>
  <c r="N647" i="1"/>
  <c r="Q646" i="1"/>
  <c r="P646" i="1"/>
  <c r="O646" i="1"/>
  <c r="N646" i="1"/>
  <c r="G61" i="3"/>
  <c r="C61" i="3"/>
  <c r="E61" i="3" s="1"/>
  <c r="B61" i="3"/>
  <c r="G60" i="3"/>
  <c r="C60" i="3"/>
  <c r="B60" i="3"/>
  <c r="F60" i="3"/>
  <c r="E60" i="3"/>
  <c r="Q715" i="1"/>
  <c r="P715" i="1"/>
  <c r="O715" i="1"/>
  <c r="N715" i="1"/>
  <c r="Q714" i="1"/>
  <c r="P714" i="1"/>
  <c r="O714" i="1"/>
  <c r="N714" i="1"/>
  <c r="Q713" i="1"/>
  <c r="P713" i="1"/>
  <c r="O713" i="1"/>
  <c r="N713" i="1"/>
  <c r="Q712" i="1"/>
  <c r="P712" i="1"/>
  <c r="O712" i="1"/>
  <c r="N712" i="1"/>
  <c r="Q711" i="1"/>
  <c r="P711" i="1"/>
  <c r="O711" i="1"/>
  <c r="N711" i="1"/>
  <c r="Q710" i="1"/>
  <c r="P710" i="1"/>
  <c r="O710" i="1"/>
  <c r="N710" i="1"/>
  <c r="Q709" i="1"/>
  <c r="P709" i="1"/>
  <c r="O709" i="1"/>
  <c r="N709" i="1"/>
  <c r="Q708" i="1"/>
  <c r="P708" i="1"/>
  <c r="O708" i="1"/>
  <c r="N708" i="1"/>
  <c r="Q707" i="1"/>
  <c r="P707" i="1"/>
  <c r="O707" i="1"/>
  <c r="N707" i="1"/>
  <c r="Q706" i="1"/>
  <c r="P706" i="1"/>
  <c r="O706" i="1"/>
  <c r="N706" i="1"/>
  <c r="Q705" i="1"/>
  <c r="P705" i="1"/>
  <c r="O705" i="1"/>
  <c r="N705" i="1"/>
  <c r="Q704" i="1"/>
  <c r="P704" i="1"/>
  <c r="O704" i="1"/>
  <c r="N704" i="1"/>
  <c r="Q699" i="1"/>
  <c r="P699" i="1"/>
  <c r="O699" i="1"/>
  <c r="N699" i="1"/>
  <c r="Q698" i="1"/>
  <c r="P698" i="1"/>
  <c r="O698" i="1"/>
  <c r="N698" i="1"/>
  <c r="Q697" i="1"/>
  <c r="P697" i="1"/>
  <c r="O697" i="1"/>
  <c r="N697" i="1"/>
  <c r="Q696" i="1"/>
  <c r="P696" i="1"/>
  <c r="O696" i="1"/>
  <c r="N696" i="1"/>
  <c r="Q695" i="1"/>
  <c r="P695" i="1"/>
  <c r="O695" i="1"/>
  <c r="N695" i="1"/>
  <c r="Q694" i="1"/>
  <c r="P694" i="1"/>
  <c r="O694" i="1"/>
  <c r="N694" i="1"/>
  <c r="Q703" i="1"/>
  <c r="P703" i="1"/>
  <c r="O703" i="1"/>
  <c r="N703" i="1"/>
  <c r="Q702" i="1"/>
  <c r="P702" i="1"/>
  <c r="O702" i="1"/>
  <c r="N702" i="1"/>
  <c r="Q701" i="1"/>
  <c r="P701" i="1"/>
  <c r="O701" i="1"/>
  <c r="N701" i="1"/>
  <c r="Q700" i="1"/>
  <c r="P700" i="1"/>
  <c r="O700" i="1"/>
  <c r="N700" i="1"/>
  <c r="Q693" i="1"/>
  <c r="P693" i="1"/>
  <c r="O693" i="1"/>
  <c r="N693" i="1"/>
  <c r="Q692" i="1"/>
  <c r="P692" i="1"/>
  <c r="O692" i="1"/>
  <c r="N692" i="1"/>
  <c r="Q691" i="1"/>
  <c r="P691" i="1"/>
  <c r="O691" i="1"/>
  <c r="N691" i="1"/>
  <c r="Q690" i="1"/>
  <c r="P690" i="1"/>
  <c r="O690" i="1"/>
  <c r="N690" i="1"/>
  <c r="Q689" i="1"/>
  <c r="P689" i="1"/>
  <c r="O689" i="1"/>
  <c r="N689" i="1"/>
  <c r="C59" i="3"/>
  <c r="B59" i="3"/>
  <c r="G59" i="3"/>
  <c r="F59" i="3"/>
  <c r="E59" i="3"/>
  <c r="Q688" i="1"/>
  <c r="P688" i="1"/>
  <c r="O688" i="1"/>
  <c r="N688" i="1"/>
  <c r="Q687" i="1"/>
  <c r="P687" i="1"/>
  <c r="O687" i="1"/>
  <c r="N687" i="1"/>
  <c r="Q686" i="1"/>
  <c r="P686" i="1"/>
  <c r="O686" i="1"/>
  <c r="N686" i="1"/>
  <c r="Q685" i="1"/>
  <c r="P685" i="1"/>
  <c r="O685" i="1"/>
  <c r="N685" i="1"/>
  <c r="Q684" i="1"/>
  <c r="P684" i="1"/>
  <c r="O684" i="1"/>
  <c r="N684" i="1"/>
  <c r="Q683" i="1"/>
  <c r="P683" i="1"/>
  <c r="O683" i="1"/>
  <c r="N683" i="1"/>
  <c r="Q682" i="1"/>
  <c r="P682" i="1"/>
  <c r="O682" i="1"/>
  <c r="N682" i="1"/>
  <c r="Q681" i="1"/>
  <c r="P681" i="1"/>
  <c r="O681" i="1"/>
  <c r="N681" i="1"/>
  <c r="Q680" i="1"/>
  <c r="P680" i="1"/>
  <c r="O680" i="1"/>
  <c r="N680" i="1"/>
  <c r="Q679" i="1"/>
  <c r="P679" i="1"/>
  <c r="O679" i="1"/>
  <c r="N679" i="1"/>
  <c r="Q678" i="1"/>
  <c r="P678" i="1"/>
  <c r="O678" i="1"/>
  <c r="N678" i="1"/>
  <c r="Q677" i="1"/>
  <c r="P677" i="1"/>
  <c r="O677" i="1"/>
  <c r="N677" i="1"/>
  <c r="Q676" i="1"/>
  <c r="P676" i="1"/>
  <c r="O676" i="1"/>
  <c r="N676" i="1"/>
  <c r="Q675" i="1"/>
  <c r="P675" i="1"/>
  <c r="O675" i="1"/>
  <c r="N675" i="1"/>
  <c r="Q645" i="1"/>
  <c r="P645" i="1"/>
  <c r="O645" i="1"/>
  <c r="N645" i="1"/>
  <c r="Q644" i="1"/>
  <c r="P644" i="1"/>
  <c r="O644" i="1"/>
  <c r="N644" i="1"/>
  <c r="Q643" i="1"/>
  <c r="P643" i="1"/>
  <c r="O643" i="1"/>
  <c r="N643" i="1"/>
  <c r="Q642" i="1"/>
  <c r="P642" i="1"/>
  <c r="O642" i="1"/>
  <c r="N642" i="1"/>
  <c r="Q641" i="1"/>
  <c r="P641" i="1"/>
  <c r="O641" i="1"/>
  <c r="N641" i="1"/>
  <c r="Q640" i="1"/>
  <c r="P640" i="1"/>
  <c r="O640" i="1"/>
  <c r="N640" i="1"/>
  <c r="Q639" i="1"/>
  <c r="P639" i="1"/>
  <c r="O639" i="1"/>
  <c r="N639" i="1"/>
  <c r="Q638" i="1"/>
  <c r="P638" i="1"/>
  <c r="O638" i="1"/>
  <c r="N638" i="1"/>
  <c r="Q637" i="1"/>
  <c r="P637" i="1"/>
  <c r="O637" i="1"/>
  <c r="N637" i="1"/>
  <c r="Q636" i="1"/>
  <c r="P636" i="1"/>
  <c r="O636" i="1"/>
  <c r="N636" i="1"/>
  <c r="Q635" i="1"/>
  <c r="P635" i="1"/>
  <c r="O635" i="1"/>
  <c r="N635" i="1"/>
  <c r="Q634" i="1"/>
  <c r="P634" i="1"/>
  <c r="O634" i="1"/>
  <c r="N634" i="1"/>
  <c r="Q633" i="1"/>
  <c r="P633" i="1"/>
  <c r="O633" i="1"/>
  <c r="N633" i="1"/>
  <c r="Q632" i="1"/>
  <c r="P632" i="1"/>
  <c r="O632" i="1"/>
  <c r="N632" i="1"/>
  <c r="Q631" i="1"/>
  <c r="P631" i="1"/>
  <c r="O631" i="1"/>
  <c r="N631" i="1"/>
  <c r="G55" i="3"/>
  <c r="C55" i="3"/>
  <c r="B55" i="3"/>
  <c r="F55" i="3"/>
  <c r="E55" i="3"/>
  <c r="Q630" i="1"/>
  <c r="P630" i="1"/>
  <c r="O630" i="1"/>
  <c r="N630" i="1"/>
  <c r="Q629" i="1"/>
  <c r="P629" i="1"/>
  <c r="O629" i="1"/>
  <c r="N629" i="1"/>
  <c r="Q628" i="1"/>
  <c r="P628" i="1"/>
  <c r="O628" i="1"/>
  <c r="N628" i="1"/>
  <c r="Q627" i="1"/>
  <c r="P627" i="1"/>
  <c r="O627" i="1"/>
  <c r="N627" i="1"/>
  <c r="Q626" i="1"/>
  <c r="P626" i="1"/>
  <c r="O626" i="1"/>
  <c r="N626" i="1"/>
  <c r="Q625" i="1"/>
  <c r="P625" i="1"/>
  <c r="O625" i="1"/>
  <c r="N625" i="1"/>
  <c r="Q624" i="1"/>
  <c r="P624" i="1"/>
  <c r="O624" i="1"/>
  <c r="N624" i="1"/>
  <c r="Q623" i="1"/>
  <c r="P623" i="1"/>
  <c r="O623" i="1"/>
  <c r="N623" i="1"/>
  <c r="Q622" i="1"/>
  <c r="P622" i="1"/>
  <c r="O622" i="1"/>
  <c r="N622" i="1"/>
  <c r="Q621" i="1"/>
  <c r="P621" i="1"/>
  <c r="O621" i="1"/>
  <c r="N621" i="1"/>
  <c r="Q620" i="1"/>
  <c r="P620" i="1"/>
  <c r="O620" i="1"/>
  <c r="N620" i="1"/>
  <c r="Q619" i="1"/>
  <c r="P619" i="1"/>
  <c r="O619" i="1"/>
  <c r="N619" i="1"/>
  <c r="G54" i="3"/>
  <c r="C54" i="3"/>
  <c r="E54" i="3" s="1"/>
  <c r="B54" i="3"/>
  <c r="F54" i="3"/>
  <c r="Q618" i="1"/>
  <c r="P618" i="1"/>
  <c r="O618" i="1"/>
  <c r="N618" i="1"/>
  <c r="Q617" i="1"/>
  <c r="P617" i="1"/>
  <c r="O617" i="1"/>
  <c r="N617" i="1"/>
  <c r="Q616" i="1"/>
  <c r="P616" i="1"/>
  <c r="O616" i="1"/>
  <c r="N616" i="1"/>
  <c r="Q615" i="1"/>
  <c r="P615" i="1"/>
  <c r="O615" i="1"/>
  <c r="N615" i="1"/>
  <c r="Q614" i="1"/>
  <c r="P614" i="1"/>
  <c r="O614" i="1"/>
  <c r="N614" i="1"/>
  <c r="Q613" i="1"/>
  <c r="P613" i="1"/>
  <c r="O613" i="1"/>
  <c r="N613" i="1"/>
  <c r="Q612" i="1"/>
  <c r="P612" i="1"/>
  <c r="O612" i="1"/>
  <c r="N612" i="1"/>
  <c r="G53" i="3"/>
  <c r="C53" i="3"/>
  <c r="E53" i="3" s="1"/>
  <c r="B53" i="3"/>
  <c r="Q611" i="1"/>
  <c r="P611" i="1"/>
  <c r="O611" i="1"/>
  <c r="N611" i="1"/>
  <c r="Q610" i="1"/>
  <c r="P610" i="1"/>
  <c r="O610" i="1"/>
  <c r="N610" i="1"/>
  <c r="Q609" i="1"/>
  <c r="P609" i="1"/>
  <c r="O609" i="1"/>
  <c r="N609" i="1"/>
  <c r="Q608" i="1"/>
  <c r="P608" i="1"/>
  <c r="O608" i="1"/>
  <c r="N608" i="1"/>
  <c r="Q607" i="1"/>
  <c r="P607" i="1"/>
  <c r="O607" i="1"/>
  <c r="N607" i="1"/>
  <c r="Q606" i="1"/>
  <c r="P606" i="1"/>
  <c r="O606" i="1"/>
  <c r="N606" i="1"/>
  <c r="Q605" i="1"/>
  <c r="P605" i="1"/>
  <c r="O605" i="1"/>
  <c r="N605" i="1"/>
  <c r="Q604" i="1"/>
  <c r="P604" i="1"/>
  <c r="O604" i="1"/>
  <c r="N604" i="1"/>
  <c r="Q603" i="1"/>
  <c r="P603" i="1"/>
  <c r="O603" i="1"/>
  <c r="N603" i="1"/>
  <c r="Q602" i="1"/>
  <c r="P602" i="1"/>
  <c r="O602" i="1"/>
  <c r="N602" i="1"/>
  <c r="Q601" i="1"/>
  <c r="P601" i="1"/>
  <c r="O601" i="1"/>
  <c r="N601" i="1"/>
  <c r="G52" i="3"/>
  <c r="C52" i="3"/>
  <c r="E52" i="3" s="1"/>
  <c r="B52" i="3"/>
  <c r="G51" i="3"/>
  <c r="C51" i="3"/>
  <c r="B51" i="3"/>
  <c r="F52" i="3"/>
  <c r="F51" i="3"/>
  <c r="E51" i="3"/>
  <c r="Q600" i="1"/>
  <c r="P600" i="1"/>
  <c r="O600" i="1"/>
  <c r="N600" i="1"/>
  <c r="Q599" i="1"/>
  <c r="P599" i="1"/>
  <c r="O599" i="1"/>
  <c r="N599" i="1"/>
  <c r="Q598" i="1"/>
  <c r="P598" i="1"/>
  <c r="O598" i="1"/>
  <c r="N598" i="1"/>
  <c r="Q597" i="1"/>
  <c r="P597" i="1"/>
  <c r="O597" i="1"/>
  <c r="N597" i="1"/>
  <c r="Q596" i="1"/>
  <c r="P596" i="1"/>
  <c r="O596" i="1"/>
  <c r="N596" i="1"/>
  <c r="Q595" i="1"/>
  <c r="P595" i="1"/>
  <c r="O595" i="1"/>
  <c r="N595" i="1"/>
  <c r="Q594" i="1"/>
  <c r="P594" i="1"/>
  <c r="O594" i="1"/>
  <c r="N594" i="1"/>
  <c r="Q593" i="1"/>
  <c r="P593" i="1"/>
  <c r="O593" i="1"/>
  <c r="N593" i="1"/>
  <c r="Q592" i="1"/>
  <c r="P592" i="1"/>
  <c r="O592" i="1"/>
  <c r="N592" i="1"/>
  <c r="Q591" i="1"/>
  <c r="P591" i="1"/>
  <c r="O591" i="1"/>
  <c r="N591" i="1"/>
  <c r="Q590" i="1"/>
  <c r="P590" i="1"/>
  <c r="O590" i="1"/>
  <c r="N590" i="1"/>
  <c r="Q589" i="1"/>
  <c r="P589" i="1"/>
  <c r="O589" i="1"/>
  <c r="N589" i="1"/>
  <c r="Q588" i="1"/>
  <c r="P588" i="1"/>
  <c r="O588" i="1"/>
  <c r="N588" i="1"/>
  <c r="Q587" i="1"/>
  <c r="P587" i="1"/>
  <c r="O587" i="1"/>
  <c r="N587" i="1"/>
  <c r="Q586" i="1"/>
  <c r="P586" i="1"/>
  <c r="O586" i="1"/>
  <c r="N586" i="1"/>
  <c r="Q585" i="1"/>
  <c r="P585" i="1"/>
  <c r="O585" i="1"/>
  <c r="N585" i="1"/>
  <c r="Q584" i="1"/>
  <c r="P584" i="1"/>
  <c r="O584" i="1"/>
  <c r="N584" i="1"/>
  <c r="Q583" i="1"/>
  <c r="P583" i="1"/>
  <c r="O583" i="1"/>
  <c r="N583" i="1"/>
  <c r="Q582" i="1"/>
  <c r="P582" i="1"/>
  <c r="O582" i="1"/>
  <c r="N582" i="1"/>
  <c r="Q581" i="1"/>
  <c r="P581" i="1"/>
  <c r="O581" i="1"/>
  <c r="N581" i="1"/>
  <c r="Q580" i="1"/>
  <c r="P580" i="1"/>
  <c r="O580" i="1"/>
  <c r="N580" i="1"/>
  <c r="G49" i="3"/>
  <c r="G50" i="3"/>
  <c r="C50" i="3"/>
  <c r="E50" i="3" s="1"/>
  <c r="F50" i="3"/>
  <c r="C49" i="3"/>
  <c r="B49" i="3"/>
  <c r="B50" i="3"/>
  <c r="S569" i="1"/>
  <c r="Q556" i="1"/>
  <c r="P556" i="1"/>
  <c r="O556" i="1"/>
  <c r="N556" i="1"/>
  <c r="Q557" i="1"/>
  <c r="P557" i="1"/>
  <c r="O557" i="1"/>
  <c r="N557" i="1"/>
  <c r="Q558" i="1"/>
  <c r="P558" i="1"/>
  <c r="O558" i="1"/>
  <c r="N558" i="1"/>
  <c r="Q559" i="1"/>
  <c r="P559" i="1"/>
  <c r="O559" i="1"/>
  <c r="N559" i="1"/>
  <c r="Q560" i="1"/>
  <c r="P560" i="1"/>
  <c r="O560" i="1"/>
  <c r="N560" i="1"/>
  <c r="Q561" i="1"/>
  <c r="P561" i="1"/>
  <c r="O561" i="1"/>
  <c r="N561" i="1"/>
  <c r="Q562" i="1"/>
  <c r="P562" i="1"/>
  <c r="O562" i="1"/>
  <c r="N562" i="1"/>
  <c r="Q563" i="1"/>
  <c r="P563" i="1"/>
  <c r="O563" i="1"/>
  <c r="N563" i="1"/>
  <c r="Q564" i="1"/>
  <c r="P564" i="1"/>
  <c r="O564" i="1"/>
  <c r="N564" i="1"/>
  <c r="Q565" i="1"/>
  <c r="P565" i="1"/>
  <c r="O565" i="1"/>
  <c r="N565" i="1"/>
  <c r="Q566" i="1"/>
  <c r="P566" i="1"/>
  <c r="O566" i="1"/>
  <c r="N566" i="1"/>
  <c r="Q567" i="1"/>
  <c r="P567" i="1"/>
  <c r="O567" i="1"/>
  <c r="N567" i="1"/>
  <c r="Q568" i="1"/>
  <c r="P568" i="1"/>
  <c r="O568" i="1"/>
  <c r="N568" i="1"/>
  <c r="Q569" i="1"/>
  <c r="P569" i="1"/>
  <c r="O569" i="1"/>
  <c r="N569" i="1"/>
  <c r="Q570" i="1"/>
  <c r="P570" i="1"/>
  <c r="O570" i="1"/>
  <c r="N570" i="1"/>
  <c r="Q571" i="1"/>
  <c r="P571" i="1"/>
  <c r="O571" i="1"/>
  <c r="N571" i="1"/>
  <c r="Q572" i="1"/>
  <c r="P572" i="1"/>
  <c r="O572" i="1"/>
  <c r="N572" i="1"/>
  <c r="Q573" i="1"/>
  <c r="P573" i="1"/>
  <c r="O573" i="1"/>
  <c r="N573" i="1"/>
  <c r="Q574" i="1"/>
  <c r="P574" i="1"/>
  <c r="O574" i="1"/>
  <c r="N574" i="1"/>
  <c r="Q577" i="1"/>
  <c r="P577" i="1"/>
  <c r="O577" i="1"/>
  <c r="N577" i="1"/>
  <c r="Q578" i="1"/>
  <c r="P578" i="1"/>
  <c r="O578" i="1"/>
  <c r="N578" i="1"/>
  <c r="Q579" i="1"/>
  <c r="P579" i="1"/>
  <c r="O579" i="1"/>
  <c r="N579" i="1"/>
  <c r="Q575" i="1"/>
  <c r="P575" i="1"/>
  <c r="O575" i="1"/>
  <c r="N575" i="1"/>
  <c r="Q576" i="1"/>
  <c r="P576" i="1"/>
  <c r="O576" i="1"/>
  <c r="N576" i="1"/>
  <c r="E49" i="3"/>
  <c r="G48" i="3"/>
  <c r="C48" i="3"/>
  <c r="E48" i="3" s="1"/>
  <c r="B48" i="3"/>
  <c r="G47" i="3"/>
  <c r="C47" i="3"/>
  <c r="E47" i="3" s="1"/>
  <c r="B47" i="3"/>
  <c r="G46" i="3"/>
  <c r="C46" i="3"/>
  <c r="E46" i="3" s="1"/>
  <c r="B46" i="3"/>
  <c r="G45" i="3"/>
  <c r="C45" i="3"/>
  <c r="E45" i="3" s="1"/>
  <c r="B45" i="3"/>
  <c r="G44" i="3"/>
  <c r="C44" i="3"/>
  <c r="E44" i="3" s="1"/>
  <c r="B44" i="3"/>
  <c r="G43" i="3"/>
  <c r="C43" i="3"/>
  <c r="E43" i="3" s="1"/>
  <c r="B43" i="3"/>
  <c r="G42" i="3"/>
  <c r="C42" i="3"/>
  <c r="E42" i="3" s="1"/>
  <c r="B42" i="3"/>
  <c r="G41" i="3"/>
  <c r="C41" i="3"/>
  <c r="E41" i="3" s="1"/>
  <c r="B41" i="3"/>
  <c r="O434" i="1"/>
  <c r="G40" i="3"/>
  <c r="F49" i="3"/>
  <c r="F48" i="3"/>
  <c r="F47" i="3"/>
  <c r="F46" i="3"/>
  <c r="F45" i="3"/>
  <c r="F44" i="3"/>
  <c r="F42" i="3"/>
  <c r="F41" i="3"/>
  <c r="F40" i="3"/>
  <c r="C40" i="3"/>
  <c r="E40" i="3" s="1"/>
  <c r="B40" i="3"/>
  <c r="G39" i="3"/>
  <c r="C39" i="3"/>
  <c r="E39" i="3" s="1"/>
  <c r="B39" i="3"/>
  <c r="G38" i="3"/>
  <c r="C38" i="3"/>
  <c r="E38" i="3" s="1"/>
  <c r="B38" i="3"/>
  <c r="G37" i="3"/>
  <c r="C37" i="3"/>
  <c r="E37" i="3" s="1"/>
  <c r="B37" i="3"/>
  <c r="B36" i="3"/>
  <c r="C36" i="3"/>
  <c r="E36" i="3" s="1"/>
  <c r="G35" i="3"/>
  <c r="C35" i="3"/>
  <c r="E35" i="3" s="1"/>
  <c r="B35" i="3"/>
  <c r="G34" i="3"/>
  <c r="C34" i="3"/>
  <c r="E34" i="3" s="1"/>
  <c r="B34" i="3"/>
  <c r="G33" i="3"/>
  <c r="G36" i="3"/>
  <c r="C33" i="3"/>
  <c r="E33" i="3" s="1"/>
  <c r="B33" i="3"/>
  <c r="G32" i="3"/>
  <c r="C32" i="3"/>
  <c r="E32" i="3" s="1"/>
  <c r="B32" i="3"/>
  <c r="G31" i="3"/>
  <c r="C31" i="3"/>
  <c r="E31" i="3" s="1"/>
  <c r="B31" i="3"/>
  <c r="G30" i="3"/>
  <c r="C30" i="3"/>
  <c r="E30" i="3" s="1"/>
  <c r="B30" i="3"/>
  <c r="G29" i="3"/>
  <c r="C29" i="3"/>
  <c r="E29" i="3" s="1"/>
  <c r="B29" i="3"/>
  <c r="G28" i="3"/>
  <c r="C28" i="3"/>
  <c r="E28" i="3" s="1"/>
  <c r="B28" i="3"/>
  <c r="G27" i="3"/>
  <c r="C27" i="3"/>
  <c r="E27" i="3" s="1"/>
  <c r="B27" i="3"/>
  <c r="G26" i="3"/>
  <c r="C26" i="3"/>
  <c r="E26" i="3" s="1"/>
  <c r="B26" i="3"/>
  <c r="G25" i="3"/>
  <c r="C25" i="3"/>
  <c r="E25" i="3" s="1"/>
  <c r="B25" i="3"/>
  <c r="G22" i="3"/>
  <c r="C22" i="3"/>
  <c r="E22" i="3" s="1"/>
  <c r="B22" i="3"/>
  <c r="G21" i="3"/>
  <c r="C21" i="3"/>
  <c r="E21" i="3" s="1"/>
  <c r="B21" i="3"/>
  <c r="G20" i="3"/>
  <c r="C20" i="3"/>
  <c r="E20" i="3" s="1"/>
  <c r="B20" i="3"/>
  <c r="G19" i="3"/>
  <c r="C19" i="3"/>
  <c r="E19" i="3" s="1"/>
  <c r="B19" i="3"/>
  <c r="G18" i="3"/>
  <c r="C18" i="3"/>
  <c r="E18" i="3" s="1"/>
  <c r="B18" i="3"/>
  <c r="G17" i="3"/>
  <c r="C17" i="3"/>
  <c r="E17" i="3" s="1"/>
  <c r="B17" i="3"/>
  <c r="G16" i="3"/>
  <c r="C16" i="3"/>
  <c r="E16" i="3" s="1"/>
  <c r="B16" i="3"/>
  <c r="G15" i="3"/>
  <c r="C15" i="3"/>
  <c r="E15" i="3" s="1"/>
  <c r="B15" i="3"/>
  <c r="G14" i="3"/>
  <c r="C14" i="3"/>
  <c r="E14" i="3" s="1"/>
  <c r="B14" i="3"/>
  <c r="G13" i="3"/>
  <c r="C13" i="3"/>
  <c r="E13" i="3" s="1"/>
  <c r="B13" i="3"/>
  <c r="G12" i="3"/>
  <c r="C12" i="3"/>
  <c r="E12" i="3" s="1"/>
  <c r="B12" i="3"/>
  <c r="G11" i="3"/>
  <c r="C11" i="3"/>
  <c r="E11" i="3" s="1"/>
  <c r="B11" i="3"/>
  <c r="Q102" i="1"/>
  <c r="P102" i="1"/>
  <c r="O102" i="1"/>
  <c r="N102" i="1"/>
  <c r="G10" i="3"/>
  <c r="C10" i="3"/>
  <c r="E10" i="3" s="1"/>
  <c r="B10" i="3"/>
  <c r="G9" i="3"/>
  <c r="C9" i="3"/>
  <c r="E9" i="3" s="1"/>
  <c r="B9" i="3"/>
  <c r="G8" i="3"/>
  <c r="C8" i="3"/>
  <c r="B8" i="3"/>
  <c r="G7" i="3"/>
  <c r="C7" i="3"/>
  <c r="E7" i="3" s="1"/>
  <c r="B7" i="3"/>
  <c r="G5" i="3"/>
  <c r="C5" i="3"/>
  <c r="B5" i="3"/>
  <c r="G4" i="3"/>
  <c r="C4" i="3"/>
  <c r="E4" i="3" s="1"/>
  <c r="B4" i="3"/>
  <c r="G3" i="3"/>
  <c r="C3" i="3"/>
  <c r="E3" i="3" s="1"/>
  <c r="B3" i="3"/>
  <c r="G2" i="3"/>
  <c r="C2" i="3"/>
  <c r="B2" i="3"/>
  <c r="Q555" i="1"/>
  <c r="P555" i="1"/>
  <c r="O555" i="1"/>
  <c r="N555" i="1"/>
  <c r="Q554" i="1"/>
  <c r="P554" i="1"/>
  <c r="O554" i="1"/>
  <c r="N554" i="1"/>
  <c r="Q553" i="1"/>
  <c r="P553" i="1"/>
  <c r="O553" i="1"/>
  <c r="N553" i="1"/>
  <c r="Q552" i="1"/>
  <c r="P552" i="1"/>
  <c r="O552" i="1"/>
  <c r="N552" i="1"/>
  <c r="Q551" i="1"/>
  <c r="P551" i="1"/>
  <c r="O551" i="1"/>
  <c r="N551" i="1"/>
  <c r="Q550" i="1"/>
  <c r="P550" i="1"/>
  <c r="O550" i="1"/>
  <c r="N550" i="1"/>
  <c r="Q549" i="1"/>
  <c r="P549" i="1"/>
  <c r="O549" i="1"/>
  <c r="N549" i="1"/>
  <c r="Q548" i="1"/>
  <c r="P548" i="1"/>
  <c r="O548" i="1"/>
  <c r="N548" i="1"/>
  <c r="Q547" i="1"/>
  <c r="P547" i="1"/>
  <c r="O547" i="1"/>
  <c r="N547" i="1"/>
  <c r="Q546" i="1"/>
  <c r="P546" i="1"/>
  <c r="O546" i="1"/>
  <c r="N546" i="1"/>
  <c r="Q545" i="1"/>
  <c r="P545" i="1"/>
  <c r="O545" i="1"/>
  <c r="N545" i="1"/>
  <c r="Q544" i="1"/>
  <c r="P544" i="1"/>
  <c r="O544" i="1"/>
  <c r="N544" i="1"/>
  <c r="Q543" i="1"/>
  <c r="P543" i="1"/>
  <c r="O543" i="1"/>
  <c r="N543" i="1"/>
  <c r="Q542" i="1"/>
  <c r="P542" i="1"/>
  <c r="O542" i="1"/>
  <c r="N542" i="1"/>
  <c r="Q541" i="1"/>
  <c r="P541" i="1"/>
  <c r="O541" i="1"/>
  <c r="N541" i="1"/>
  <c r="Q540" i="1"/>
  <c r="P540" i="1"/>
  <c r="O540" i="1"/>
  <c r="N540" i="1"/>
  <c r="Q539" i="1"/>
  <c r="P539" i="1"/>
  <c r="O539" i="1"/>
  <c r="N539" i="1"/>
  <c r="Q538" i="1"/>
  <c r="P538" i="1"/>
  <c r="O538" i="1"/>
  <c r="N538" i="1"/>
  <c r="Q537" i="1"/>
  <c r="P537" i="1"/>
  <c r="O537" i="1"/>
  <c r="N537" i="1"/>
  <c r="Q536" i="1"/>
  <c r="P536" i="1"/>
  <c r="O536" i="1"/>
  <c r="N536" i="1"/>
  <c r="Q535" i="1"/>
  <c r="P535" i="1"/>
  <c r="O535" i="1"/>
  <c r="N535" i="1"/>
  <c r="Q534" i="1"/>
  <c r="P534" i="1"/>
  <c r="O534" i="1"/>
  <c r="N534" i="1"/>
  <c r="Q533" i="1"/>
  <c r="P533" i="1"/>
  <c r="O533" i="1"/>
  <c r="N533" i="1"/>
  <c r="Q532" i="1"/>
  <c r="P532" i="1"/>
  <c r="O532" i="1"/>
  <c r="N532" i="1"/>
  <c r="Q531" i="1"/>
  <c r="P531" i="1"/>
  <c r="O531" i="1"/>
  <c r="N531" i="1"/>
  <c r="Q530" i="1"/>
  <c r="P530" i="1"/>
  <c r="O530" i="1"/>
  <c r="N530" i="1"/>
  <c r="Q529" i="1"/>
  <c r="P529" i="1"/>
  <c r="O529" i="1"/>
  <c r="N529" i="1"/>
  <c r="Q528" i="1"/>
  <c r="P528" i="1"/>
  <c r="O528" i="1"/>
  <c r="N528" i="1"/>
  <c r="Q527" i="1"/>
  <c r="P527" i="1"/>
  <c r="O527" i="1"/>
  <c r="N527" i="1"/>
  <c r="Q526" i="1"/>
  <c r="P526" i="1"/>
  <c r="O526" i="1"/>
  <c r="N526" i="1"/>
  <c r="Q525" i="1"/>
  <c r="P525" i="1"/>
  <c r="O525" i="1"/>
  <c r="N525" i="1"/>
  <c r="Q524" i="1"/>
  <c r="P524" i="1"/>
  <c r="O524" i="1"/>
  <c r="N524" i="1"/>
  <c r="Q523" i="1"/>
  <c r="P523" i="1"/>
  <c r="O523" i="1"/>
  <c r="N523" i="1"/>
  <c r="Q522" i="1"/>
  <c r="P522" i="1"/>
  <c r="O522" i="1"/>
  <c r="N522" i="1"/>
  <c r="Q521" i="1"/>
  <c r="P521" i="1"/>
  <c r="O521" i="1"/>
  <c r="N521" i="1"/>
  <c r="Q520" i="1"/>
  <c r="P520" i="1"/>
  <c r="O520" i="1"/>
  <c r="N520" i="1"/>
  <c r="Q519" i="1"/>
  <c r="P519" i="1"/>
  <c r="O519" i="1"/>
  <c r="N519" i="1"/>
  <c r="Q518" i="1"/>
  <c r="P518" i="1"/>
  <c r="O518" i="1"/>
  <c r="N518" i="1"/>
  <c r="Q517" i="1"/>
  <c r="P517" i="1"/>
  <c r="O517" i="1"/>
  <c r="N517" i="1"/>
  <c r="Q516" i="1"/>
  <c r="P516" i="1"/>
  <c r="O516" i="1"/>
  <c r="N516" i="1"/>
  <c r="Q515" i="1"/>
  <c r="P515" i="1"/>
  <c r="O515" i="1"/>
  <c r="N515" i="1"/>
  <c r="Q514" i="1"/>
  <c r="P514" i="1"/>
  <c r="O514" i="1"/>
  <c r="N514" i="1"/>
  <c r="Q513" i="1"/>
  <c r="P513" i="1"/>
  <c r="O513" i="1"/>
  <c r="N513" i="1"/>
  <c r="Q512" i="1"/>
  <c r="P512" i="1"/>
  <c r="O512" i="1"/>
  <c r="N512" i="1"/>
  <c r="Q511" i="1"/>
  <c r="P511" i="1"/>
  <c r="O511" i="1"/>
  <c r="N511" i="1"/>
  <c r="Q510" i="1"/>
  <c r="P510" i="1"/>
  <c r="O510" i="1"/>
  <c r="N510" i="1"/>
  <c r="Q509" i="1"/>
  <c r="P509" i="1"/>
  <c r="O509" i="1"/>
  <c r="N509" i="1"/>
  <c r="Q508" i="1"/>
  <c r="P508" i="1"/>
  <c r="O508" i="1"/>
  <c r="N508" i="1"/>
  <c r="Q507" i="1"/>
  <c r="P507" i="1"/>
  <c r="O507" i="1"/>
  <c r="N507" i="1"/>
  <c r="Q506" i="1"/>
  <c r="P506" i="1"/>
  <c r="O506" i="1"/>
  <c r="N506" i="1"/>
  <c r="Q505" i="1"/>
  <c r="P505" i="1"/>
  <c r="O505" i="1"/>
  <c r="N505" i="1"/>
  <c r="Q504" i="1"/>
  <c r="P504" i="1"/>
  <c r="O504" i="1"/>
  <c r="N504" i="1"/>
  <c r="Q503" i="1"/>
  <c r="P503" i="1"/>
  <c r="O503" i="1"/>
  <c r="N503" i="1"/>
  <c r="Q502" i="1"/>
  <c r="P502" i="1"/>
  <c r="O502" i="1"/>
  <c r="N502" i="1"/>
  <c r="Q501" i="1"/>
  <c r="P501" i="1"/>
  <c r="O501" i="1"/>
  <c r="N501" i="1"/>
  <c r="Q500" i="1"/>
  <c r="P500" i="1"/>
  <c r="O500" i="1"/>
  <c r="N500" i="1"/>
  <c r="C24" i="3"/>
  <c r="E24" i="3" s="1"/>
  <c r="C23" i="3"/>
  <c r="E23" i="3" s="1"/>
  <c r="G24" i="3"/>
  <c r="G23" i="3"/>
  <c r="B23" i="3"/>
  <c r="B24" i="3"/>
  <c r="Q499" i="1"/>
  <c r="P499" i="1"/>
  <c r="O499" i="1"/>
  <c r="N499" i="1"/>
  <c r="Q498" i="1"/>
  <c r="P498" i="1"/>
  <c r="O498" i="1"/>
  <c r="N498" i="1"/>
  <c r="Q497" i="1"/>
  <c r="P497" i="1"/>
  <c r="O497" i="1"/>
  <c r="N497" i="1"/>
  <c r="Q496" i="1"/>
  <c r="P496" i="1"/>
  <c r="O496" i="1"/>
  <c r="N496" i="1"/>
  <c r="Q495" i="1"/>
  <c r="P495" i="1"/>
  <c r="O495" i="1"/>
  <c r="N495" i="1"/>
  <c r="Q494" i="1"/>
  <c r="P494" i="1"/>
  <c r="O494" i="1"/>
  <c r="N494" i="1"/>
  <c r="Q493" i="1"/>
  <c r="P493" i="1"/>
  <c r="O493" i="1"/>
  <c r="N493" i="1"/>
  <c r="Q492" i="1"/>
  <c r="P492" i="1"/>
  <c r="O492" i="1"/>
  <c r="N492" i="1"/>
  <c r="Q491" i="1"/>
  <c r="P491" i="1"/>
  <c r="O491" i="1"/>
  <c r="N491" i="1"/>
  <c r="Q490" i="1"/>
  <c r="P490" i="1"/>
  <c r="O490" i="1"/>
  <c r="N490" i="1"/>
  <c r="Q489" i="1"/>
  <c r="P489" i="1"/>
  <c r="O489" i="1"/>
  <c r="N489" i="1"/>
  <c r="Q488" i="1"/>
  <c r="P488" i="1"/>
  <c r="O488" i="1"/>
  <c r="N488" i="1"/>
  <c r="Q487" i="1"/>
  <c r="P487" i="1"/>
  <c r="O487" i="1"/>
  <c r="N487" i="1"/>
  <c r="Q486" i="1"/>
  <c r="P486" i="1"/>
  <c r="O486" i="1"/>
  <c r="N486" i="1"/>
  <c r="Q485" i="1"/>
  <c r="P485" i="1"/>
  <c r="O485" i="1"/>
  <c r="N485" i="1"/>
  <c r="Q484" i="1"/>
  <c r="P484" i="1"/>
  <c r="O484" i="1"/>
  <c r="N484" i="1"/>
  <c r="Q483" i="1"/>
  <c r="P483" i="1"/>
  <c r="O483" i="1"/>
  <c r="N483" i="1"/>
  <c r="Q482" i="1"/>
  <c r="P482" i="1"/>
  <c r="O482" i="1"/>
  <c r="N482" i="1"/>
  <c r="Q481" i="1"/>
  <c r="P481" i="1"/>
  <c r="O481" i="1"/>
  <c r="N481" i="1"/>
  <c r="Q480" i="1"/>
  <c r="P480" i="1"/>
  <c r="O480" i="1"/>
  <c r="N480" i="1"/>
  <c r="Q479" i="1"/>
  <c r="P479" i="1"/>
  <c r="O479" i="1"/>
  <c r="N479" i="1"/>
  <c r="Q478" i="1"/>
  <c r="P478" i="1"/>
  <c r="O478" i="1"/>
  <c r="N478" i="1"/>
  <c r="Q477" i="1"/>
  <c r="P477" i="1"/>
  <c r="O477" i="1"/>
  <c r="N477" i="1"/>
  <c r="Q476" i="1"/>
  <c r="P476" i="1"/>
  <c r="O476" i="1"/>
  <c r="N476" i="1"/>
  <c r="Q475" i="1"/>
  <c r="P475" i="1"/>
  <c r="O475" i="1"/>
  <c r="N475" i="1"/>
  <c r="Q474" i="1"/>
  <c r="P474" i="1"/>
  <c r="O474" i="1"/>
  <c r="N474" i="1"/>
  <c r="Q473" i="1"/>
  <c r="P473" i="1"/>
  <c r="O473" i="1"/>
  <c r="N473" i="1"/>
  <c r="Q472" i="1"/>
  <c r="P472" i="1"/>
  <c r="O472" i="1"/>
  <c r="N472" i="1"/>
  <c r="Q471" i="1"/>
  <c r="P471" i="1"/>
  <c r="O471" i="1"/>
  <c r="N471" i="1"/>
  <c r="Q470" i="1"/>
  <c r="P470" i="1"/>
  <c r="O470" i="1"/>
  <c r="N470" i="1"/>
  <c r="Q469" i="1"/>
  <c r="P469" i="1"/>
  <c r="O469" i="1"/>
  <c r="N469" i="1"/>
  <c r="Q468" i="1"/>
  <c r="P468" i="1"/>
  <c r="O468" i="1"/>
  <c r="N468" i="1"/>
  <c r="Q467" i="1"/>
  <c r="P467" i="1"/>
  <c r="O467" i="1"/>
  <c r="N467" i="1"/>
  <c r="Q466" i="1"/>
  <c r="P466" i="1"/>
  <c r="O466" i="1"/>
  <c r="N466" i="1"/>
  <c r="Q465" i="1"/>
  <c r="P465" i="1"/>
  <c r="O465" i="1"/>
  <c r="N465" i="1"/>
  <c r="Q464" i="1"/>
  <c r="P464" i="1"/>
  <c r="O464" i="1"/>
  <c r="N464" i="1"/>
  <c r="Q463" i="1"/>
  <c r="P463" i="1"/>
  <c r="O463" i="1"/>
  <c r="N463" i="1"/>
  <c r="Q462" i="1"/>
  <c r="P462" i="1"/>
  <c r="O462" i="1"/>
  <c r="N462" i="1"/>
  <c r="Q461" i="1"/>
  <c r="P461" i="1"/>
  <c r="O461" i="1"/>
  <c r="N461" i="1"/>
  <c r="Q460" i="1"/>
  <c r="P460" i="1"/>
  <c r="O460" i="1"/>
  <c r="N460" i="1"/>
  <c r="Q459" i="1"/>
  <c r="P459" i="1"/>
  <c r="O459" i="1"/>
  <c r="N459" i="1"/>
  <c r="Q458" i="1"/>
  <c r="P458" i="1"/>
  <c r="O458" i="1"/>
  <c r="N458" i="1"/>
  <c r="Q457" i="1"/>
  <c r="P457" i="1"/>
  <c r="O457" i="1"/>
  <c r="N457" i="1"/>
  <c r="Q456" i="1"/>
  <c r="P456" i="1"/>
  <c r="O456" i="1"/>
  <c r="N456" i="1"/>
  <c r="Q455" i="1"/>
  <c r="P455" i="1"/>
  <c r="O455" i="1"/>
  <c r="N455" i="1"/>
  <c r="Q454" i="1"/>
  <c r="P454" i="1"/>
  <c r="O454" i="1"/>
  <c r="N454" i="1"/>
  <c r="Q453" i="1"/>
  <c r="P453" i="1"/>
  <c r="O453" i="1"/>
  <c r="N453" i="1"/>
  <c r="Q452" i="1"/>
  <c r="P452" i="1"/>
  <c r="O452" i="1"/>
  <c r="N452" i="1"/>
  <c r="Q451" i="1"/>
  <c r="P451" i="1"/>
  <c r="O451" i="1"/>
  <c r="N451" i="1"/>
  <c r="Q450" i="1"/>
  <c r="P450" i="1"/>
  <c r="O450" i="1"/>
  <c r="N450" i="1"/>
  <c r="Q449" i="1"/>
  <c r="P449" i="1"/>
  <c r="O449" i="1"/>
  <c r="N449" i="1"/>
  <c r="Q448" i="1"/>
  <c r="P448" i="1"/>
  <c r="O448" i="1"/>
  <c r="N448" i="1"/>
  <c r="Q447" i="1"/>
  <c r="P447" i="1"/>
  <c r="O447" i="1"/>
  <c r="N447" i="1"/>
  <c r="Q446" i="1"/>
  <c r="P446" i="1"/>
  <c r="O446" i="1"/>
  <c r="N446" i="1"/>
  <c r="Q445" i="1"/>
  <c r="P445" i="1"/>
  <c r="O445" i="1"/>
  <c r="N445" i="1"/>
  <c r="Q444" i="1"/>
  <c r="P444" i="1"/>
  <c r="O444" i="1"/>
  <c r="N444" i="1"/>
  <c r="Q443" i="1"/>
  <c r="P443" i="1"/>
  <c r="O443" i="1"/>
  <c r="N443" i="1"/>
  <c r="Q442" i="1"/>
  <c r="P442" i="1"/>
  <c r="O442" i="1"/>
  <c r="N442" i="1"/>
  <c r="Q441" i="1"/>
  <c r="P441" i="1"/>
  <c r="O441" i="1"/>
  <c r="N441" i="1"/>
  <c r="Q440" i="1"/>
  <c r="P440" i="1"/>
  <c r="O440" i="1"/>
  <c r="N440" i="1"/>
  <c r="Q403" i="1"/>
  <c r="P403" i="1"/>
  <c r="O403" i="1"/>
  <c r="N403" i="1"/>
  <c r="Q402" i="1"/>
  <c r="P402" i="1"/>
  <c r="O402" i="1"/>
  <c r="N402" i="1"/>
  <c r="Q401" i="1"/>
  <c r="P401" i="1"/>
  <c r="O401" i="1"/>
  <c r="N401" i="1"/>
  <c r="Q400" i="1"/>
  <c r="P400" i="1"/>
  <c r="O400" i="1"/>
  <c r="N400" i="1"/>
  <c r="Q399" i="1"/>
  <c r="P399" i="1"/>
  <c r="O399" i="1"/>
  <c r="N399" i="1"/>
  <c r="Q398" i="1"/>
  <c r="P398" i="1"/>
  <c r="O398" i="1"/>
  <c r="N398" i="1"/>
  <c r="Q397" i="1"/>
  <c r="P397" i="1"/>
  <c r="O397" i="1"/>
  <c r="N397" i="1"/>
  <c r="Q396" i="1"/>
  <c r="P396" i="1"/>
  <c r="O396" i="1"/>
  <c r="N396" i="1"/>
  <c r="Q395" i="1"/>
  <c r="P395" i="1"/>
  <c r="O395" i="1"/>
  <c r="N395" i="1"/>
  <c r="Q394" i="1"/>
  <c r="P394" i="1"/>
  <c r="O394" i="1"/>
  <c r="N394" i="1"/>
  <c r="Q393" i="1"/>
  <c r="P393" i="1"/>
  <c r="O393" i="1"/>
  <c r="N393" i="1"/>
  <c r="Q392" i="1"/>
  <c r="P392" i="1"/>
  <c r="O392" i="1"/>
  <c r="N392" i="1"/>
  <c r="Q391" i="1"/>
  <c r="P391" i="1"/>
  <c r="O391" i="1"/>
  <c r="N391" i="1"/>
  <c r="Q390" i="1"/>
  <c r="P390" i="1"/>
  <c r="O390" i="1"/>
  <c r="N390" i="1"/>
  <c r="Q389" i="1"/>
  <c r="P389" i="1"/>
  <c r="O389" i="1"/>
  <c r="N389" i="1"/>
  <c r="Q388" i="1"/>
  <c r="P388" i="1"/>
  <c r="O388" i="1"/>
  <c r="N388" i="1"/>
  <c r="Q387" i="1"/>
  <c r="P387" i="1"/>
  <c r="O387" i="1"/>
  <c r="N387" i="1"/>
  <c r="Q386" i="1"/>
  <c r="P386" i="1"/>
  <c r="O386" i="1"/>
  <c r="N386" i="1"/>
  <c r="Q385" i="1"/>
  <c r="P385" i="1"/>
  <c r="O385" i="1"/>
  <c r="N385" i="1"/>
  <c r="Q384" i="1"/>
  <c r="P384" i="1"/>
  <c r="O384" i="1"/>
  <c r="N384" i="1"/>
  <c r="Q383" i="1"/>
  <c r="P383" i="1"/>
  <c r="O383" i="1"/>
  <c r="N383" i="1"/>
  <c r="Q375" i="1"/>
  <c r="P375" i="1"/>
  <c r="O375" i="1"/>
  <c r="N375" i="1"/>
  <c r="Q382" i="1"/>
  <c r="P382" i="1"/>
  <c r="O382" i="1"/>
  <c r="N382" i="1"/>
  <c r="Q381" i="1"/>
  <c r="P381" i="1"/>
  <c r="O381" i="1"/>
  <c r="N381" i="1"/>
  <c r="Q380" i="1"/>
  <c r="P380" i="1"/>
  <c r="O380" i="1"/>
  <c r="N380" i="1"/>
  <c r="Q379" i="1"/>
  <c r="P379" i="1"/>
  <c r="O379" i="1"/>
  <c r="N379" i="1"/>
  <c r="Q378" i="1"/>
  <c r="P378" i="1"/>
  <c r="O378" i="1"/>
  <c r="N378" i="1"/>
  <c r="Q377" i="1"/>
  <c r="P377" i="1"/>
  <c r="O377" i="1"/>
  <c r="N377" i="1"/>
  <c r="Q376" i="1"/>
  <c r="P376" i="1"/>
  <c r="O376" i="1"/>
  <c r="N376" i="1"/>
  <c r="Q374" i="1"/>
  <c r="P374" i="1"/>
  <c r="O374" i="1"/>
  <c r="N374" i="1"/>
  <c r="Q373" i="1"/>
  <c r="P373" i="1"/>
  <c r="O373" i="1"/>
  <c r="N373" i="1"/>
  <c r="Q372" i="1"/>
  <c r="P372" i="1"/>
  <c r="O372" i="1"/>
  <c r="N372" i="1"/>
  <c r="Q371" i="1"/>
  <c r="P371" i="1"/>
  <c r="O371" i="1"/>
  <c r="N371" i="1"/>
  <c r="Q370" i="1"/>
  <c r="P370" i="1"/>
  <c r="O370" i="1"/>
  <c r="N370" i="1"/>
  <c r="Q369" i="1"/>
  <c r="P369" i="1"/>
  <c r="O369" i="1"/>
  <c r="N369" i="1"/>
  <c r="Q368" i="1"/>
  <c r="P368" i="1"/>
  <c r="O368" i="1"/>
  <c r="N368" i="1"/>
  <c r="Q367" i="1"/>
  <c r="P367" i="1"/>
  <c r="O367" i="1"/>
  <c r="N367" i="1"/>
  <c r="Q366" i="1"/>
  <c r="P366" i="1"/>
  <c r="O366" i="1"/>
  <c r="N366" i="1"/>
  <c r="Q365" i="1"/>
  <c r="P365" i="1"/>
  <c r="O365" i="1"/>
  <c r="N365" i="1"/>
  <c r="Q364" i="1"/>
  <c r="P364" i="1"/>
  <c r="O364" i="1"/>
  <c r="N364" i="1"/>
  <c r="Q363" i="1"/>
  <c r="P363" i="1"/>
  <c r="O363" i="1"/>
  <c r="N363" i="1"/>
  <c r="Q362" i="1"/>
  <c r="P362" i="1"/>
  <c r="O362" i="1"/>
  <c r="N362" i="1"/>
  <c r="Q361" i="1"/>
  <c r="P361" i="1"/>
  <c r="O361" i="1"/>
  <c r="N361" i="1"/>
  <c r="Q360" i="1"/>
  <c r="P360" i="1"/>
  <c r="O360" i="1"/>
  <c r="N360" i="1"/>
  <c r="Q359" i="1"/>
  <c r="P359" i="1"/>
  <c r="O359" i="1"/>
  <c r="N359" i="1"/>
  <c r="Q358" i="1"/>
  <c r="P358" i="1"/>
  <c r="O358" i="1"/>
  <c r="N358" i="1"/>
  <c r="Q357" i="1"/>
  <c r="P357" i="1"/>
  <c r="O357" i="1"/>
  <c r="N357" i="1"/>
  <c r="Q356" i="1"/>
  <c r="P356" i="1"/>
  <c r="O356" i="1"/>
  <c r="N356" i="1"/>
  <c r="Q355" i="1"/>
  <c r="P355" i="1"/>
  <c r="O355" i="1"/>
  <c r="N355" i="1"/>
  <c r="Q354" i="1"/>
  <c r="P354" i="1"/>
  <c r="O354" i="1"/>
  <c r="N354" i="1"/>
  <c r="Q353" i="1"/>
  <c r="P353" i="1"/>
  <c r="O353" i="1"/>
  <c r="N353" i="1"/>
  <c r="Q352" i="1"/>
  <c r="P352" i="1"/>
  <c r="O352" i="1"/>
  <c r="N352" i="1"/>
  <c r="Q351" i="1"/>
  <c r="P351" i="1"/>
  <c r="O351" i="1"/>
  <c r="N351" i="1"/>
  <c r="Q350" i="1"/>
  <c r="P350" i="1"/>
  <c r="O350" i="1"/>
  <c r="N350" i="1"/>
  <c r="Q349" i="1"/>
  <c r="P349" i="1"/>
  <c r="O349" i="1"/>
  <c r="N349" i="1"/>
  <c r="Q348" i="1"/>
  <c r="P348" i="1"/>
  <c r="O348" i="1"/>
  <c r="N348" i="1"/>
  <c r="Q347" i="1"/>
  <c r="P347" i="1"/>
  <c r="O347" i="1"/>
  <c r="N347" i="1"/>
  <c r="Q346" i="1"/>
  <c r="P346" i="1"/>
  <c r="O346" i="1"/>
  <c r="N346" i="1"/>
  <c r="Q345" i="1"/>
  <c r="P345" i="1"/>
  <c r="O345" i="1"/>
  <c r="N345" i="1"/>
  <c r="Q344" i="1"/>
  <c r="P344" i="1"/>
  <c r="O344" i="1"/>
  <c r="N344" i="1"/>
  <c r="Q343" i="1"/>
  <c r="P343" i="1"/>
  <c r="O343" i="1"/>
  <c r="N343" i="1"/>
  <c r="Q342" i="1"/>
  <c r="P342" i="1"/>
  <c r="O342" i="1"/>
  <c r="N342" i="1"/>
  <c r="Q341" i="1"/>
  <c r="P341" i="1"/>
  <c r="O341" i="1"/>
  <c r="N341" i="1"/>
  <c r="Q340" i="1"/>
  <c r="P340" i="1"/>
  <c r="O340" i="1"/>
  <c r="N340" i="1"/>
  <c r="Q339" i="1"/>
  <c r="P339" i="1"/>
  <c r="O339" i="1"/>
  <c r="N339" i="1"/>
  <c r="Q338" i="1"/>
  <c r="P338" i="1"/>
  <c r="O338" i="1"/>
  <c r="N338" i="1"/>
  <c r="Q337" i="1"/>
  <c r="P337" i="1"/>
  <c r="O337" i="1"/>
  <c r="N337" i="1"/>
  <c r="Q336" i="1"/>
  <c r="P336" i="1"/>
  <c r="O336" i="1"/>
  <c r="N336" i="1"/>
  <c r="Q335" i="1"/>
  <c r="P335" i="1"/>
  <c r="O335" i="1"/>
  <c r="N335" i="1"/>
  <c r="Q334" i="1"/>
  <c r="P334" i="1"/>
  <c r="O334" i="1"/>
  <c r="N334" i="1"/>
  <c r="Q333" i="1"/>
  <c r="P333" i="1"/>
  <c r="O333" i="1"/>
  <c r="N333" i="1"/>
  <c r="Q332" i="1"/>
  <c r="P332" i="1"/>
  <c r="O332" i="1"/>
  <c r="N332" i="1"/>
  <c r="Q331" i="1"/>
  <c r="P331" i="1"/>
  <c r="O331" i="1"/>
  <c r="N331" i="1"/>
  <c r="Q330" i="1"/>
  <c r="P330" i="1"/>
  <c r="O330" i="1"/>
  <c r="N330" i="1"/>
  <c r="Q329" i="1"/>
  <c r="P329" i="1"/>
  <c r="O329" i="1"/>
  <c r="N329" i="1"/>
  <c r="Q328" i="1"/>
  <c r="P328" i="1"/>
  <c r="O328" i="1"/>
  <c r="N328" i="1"/>
  <c r="Q327" i="1"/>
  <c r="P327" i="1"/>
  <c r="O327" i="1"/>
  <c r="N327" i="1"/>
  <c r="Q326" i="1"/>
  <c r="P326" i="1"/>
  <c r="O326" i="1"/>
  <c r="N326" i="1"/>
  <c r="Q325" i="1"/>
  <c r="P325" i="1"/>
  <c r="O325" i="1"/>
  <c r="N325" i="1"/>
  <c r="Q324" i="1"/>
  <c r="P324" i="1"/>
  <c r="O324" i="1"/>
  <c r="N324" i="1"/>
  <c r="Q323" i="1"/>
  <c r="P323" i="1"/>
  <c r="O323" i="1"/>
  <c r="N323" i="1"/>
  <c r="Q322" i="1"/>
  <c r="P322" i="1"/>
  <c r="O322" i="1"/>
  <c r="N322" i="1"/>
  <c r="Q321" i="1"/>
  <c r="P321" i="1"/>
  <c r="O321" i="1"/>
  <c r="N321" i="1"/>
  <c r="Q320" i="1"/>
  <c r="P320" i="1"/>
  <c r="O320" i="1"/>
  <c r="N320" i="1"/>
  <c r="Q319" i="1"/>
  <c r="P319" i="1"/>
  <c r="O319" i="1"/>
  <c r="N319" i="1"/>
  <c r="Q318" i="1"/>
  <c r="P318" i="1"/>
  <c r="O318" i="1"/>
  <c r="N318" i="1"/>
  <c r="Q317" i="1"/>
  <c r="P317" i="1"/>
  <c r="O317" i="1"/>
  <c r="N317" i="1"/>
  <c r="Q311" i="1"/>
  <c r="P311" i="1"/>
  <c r="O311" i="1"/>
  <c r="N311" i="1"/>
  <c r="Q310" i="1"/>
  <c r="P310" i="1"/>
  <c r="O310" i="1"/>
  <c r="N310" i="1"/>
  <c r="Q309" i="1"/>
  <c r="P309" i="1"/>
  <c r="O309" i="1"/>
  <c r="N309" i="1"/>
  <c r="Q316" i="1"/>
  <c r="P316" i="1"/>
  <c r="O316" i="1"/>
  <c r="N316" i="1"/>
  <c r="Q315" i="1"/>
  <c r="P315" i="1"/>
  <c r="O315" i="1"/>
  <c r="N315" i="1"/>
  <c r="Q314" i="1"/>
  <c r="P314" i="1"/>
  <c r="O314" i="1"/>
  <c r="N314" i="1"/>
  <c r="Q313" i="1"/>
  <c r="P313" i="1"/>
  <c r="O313" i="1"/>
  <c r="N313" i="1"/>
  <c r="N312" i="1"/>
  <c r="O312" i="1"/>
  <c r="P312" i="1"/>
  <c r="Q312" i="1"/>
  <c r="Q308" i="1"/>
  <c r="P308" i="1"/>
  <c r="O308" i="1"/>
  <c r="N308" i="1"/>
  <c r="Q307" i="1"/>
  <c r="P307" i="1"/>
  <c r="O307" i="1"/>
  <c r="N307" i="1"/>
  <c r="Q306" i="1"/>
  <c r="P306" i="1"/>
  <c r="O306" i="1"/>
  <c r="N306" i="1"/>
  <c r="Q305" i="1"/>
  <c r="P305" i="1"/>
  <c r="O305" i="1"/>
  <c r="N305" i="1"/>
  <c r="Q304" i="1"/>
  <c r="P304" i="1"/>
  <c r="O304" i="1"/>
  <c r="N304" i="1"/>
  <c r="Q303" i="1"/>
  <c r="P303" i="1"/>
  <c r="O303" i="1"/>
  <c r="N303" i="1"/>
  <c r="Q302" i="1"/>
  <c r="P302" i="1"/>
  <c r="O302" i="1"/>
  <c r="N302" i="1"/>
  <c r="Q301" i="1"/>
  <c r="P301" i="1"/>
  <c r="O301" i="1"/>
  <c r="N301" i="1"/>
  <c r="Q300" i="1"/>
  <c r="P300" i="1"/>
  <c r="O300" i="1"/>
  <c r="N300" i="1"/>
  <c r="Q299" i="1"/>
  <c r="P299" i="1"/>
  <c r="O299" i="1"/>
  <c r="N299" i="1"/>
  <c r="N298" i="1"/>
  <c r="O298" i="1"/>
  <c r="P298" i="1"/>
  <c r="Q298" i="1"/>
  <c r="Q297" i="1"/>
  <c r="P297" i="1"/>
  <c r="O297" i="1"/>
  <c r="N297" i="1"/>
  <c r="Q296" i="1"/>
  <c r="P296" i="1"/>
  <c r="O296" i="1"/>
  <c r="N296" i="1"/>
  <c r="Q295" i="1"/>
  <c r="P295" i="1"/>
  <c r="O295" i="1"/>
  <c r="N295" i="1"/>
  <c r="Q294" i="1"/>
  <c r="P294" i="1"/>
  <c r="O294" i="1"/>
  <c r="N294" i="1"/>
  <c r="Q293" i="1"/>
  <c r="P293" i="1"/>
  <c r="O293" i="1"/>
  <c r="N293" i="1"/>
  <c r="Q292" i="1"/>
  <c r="P292" i="1"/>
  <c r="O292" i="1"/>
  <c r="N292" i="1"/>
  <c r="Q291" i="1"/>
  <c r="P291" i="1"/>
  <c r="O291" i="1"/>
  <c r="N291" i="1"/>
  <c r="Q290" i="1"/>
  <c r="P290" i="1"/>
  <c r="O290" i="1"/>
  <c r="N290" i="1"/>
  <c r="Q439" i="1"/>
  <c r="P439" i="1"/>
  <c r="O439" i="1"/>
  <c r="N439" i="1"/>
  <c r="Q438" i="1"/>
  <c r="P438" i="1"/>
  <c r="O438" i="1"/>
  <c r="N438" i="1"/>
  <c r="Q437" i="1"/>
  <c r="P437" i="1"/>
  <c r="O437" i="1"/>
  <c r="N437" i="1"/>
  <c r="Q436" i="1"/>
  <c r="P436" i="1"/>
  <c r="O436" i="1"/>
  <c r="N436" i="1"/>
  <c r="Q435" i="1"/>
  <c r="P435" i="1"/>
  <c r="O435" i="1"/>
  <c r="N435" i="1"/>
  <c r="N434" i="1"/>
  <c r="P434" i="1"/>
  <c r="Q434" i="1"/>
  <c r="Q433" i="1"/>
  <c r="P433" i="1"/>
  <c r="O433" i="1"/>
  <c r="N433" i="1"/>
  <c r="Q432" i="1"/>
  <c r="P432" i="1"/>
  <c r="O432" i="1"/>
  <c r="N432" i="1"/>
  <c r="Q431" i="1"/>
  <c r="P431" i="1"/>
  <c r="O431" i="1"/>
  <c r="N431" i="1"/>
  <c r="Q430" i="1"/>
  <c r="P430" i="1"/>
  <c r="O430" i="1"/>
  <c r="N430" i="1"/>
  <c r="Q429" i="1"/>
  <c r="P429" i="1"/>
  <c r="O429" i="1"/>
  <c r="N429" i="1"/>
  <c r="Q428" i="1"/>
  <c r="P428" i="1"/>
  <c r="O428" i="1"/>
  <c r="N428" i="1"/>
  <c r="Q427" i="1"/>
  <c r="P427" i="1"/>
  <c r="O427" i="1"/>
  <c r="N427" i="1"/>
  <c r="Q426" i="1"/>
  <c r="P426" i="1"/>
  <c r="O426" i="1"/>
  <c r="N426" i="1"/>
  <c r="Q425" i="1"/>
  <c r="P425" i="1"/>
  <c r="O425" i="1"/>
  <c r="N425" i="1"/>
  <c r="Q424" i="1"/>
  <c r="P424" i="1"/>
  <c r="O424" i="1"/>
  <c r="N424" i="1"/>
  <c r="Q423" i="1"/>
  <c r="P423" i="1"/>
  <c r="O423" i="1"/>
  <c r="N423" i="1"/>
  <c r="Q422" i="1"/>
  <c r="P422" i="1"/>
  <c r="O422" i="1"/>
  <c r="N422" i="1"/>
  <c r="N421" i="1"/>
  <c r="O421" i="1"/>
  <c r="P421" i="1"/>
  <c r="Q421" i="1"/>
  <c r="Q420" i="1"/>
  <c r="P420" i="1"/>
  <c r="O420" i="1"/>
  <c r="N420" i="1"/>
  <c r="Q419" i="1"/>
  <c r="P419" i="1"/>
  <c r="O419" i="1"/>
  <c r="N419" i="1"/>
  <c r="Q418" i="1"/>
  <c r="P418" i="1"/>
  <c r="O418" i="1"/>
  <c r="N418" i="1"/>
  <c r="Q417" i="1"/>
  <c r="P417" i="1"/>
  <c r="O417" i="1"/>
  <c r="N417" i="1"/>
  <c r="Q416" i="1"/>
  <c r="P416" i="1"/>
  <c r="O416" i="1"/>
  <c r="N416" i="1"/>
  <c r="Q415" i="1"/>
  <c r="P415" i="1"/>
  <c r="O415" i="1"/>
  <c r="N415" i="1"/>
  <c r="Q414" i="1"/>
  <c r="P414" i="1"/>
  <c r="O414" i="1"/>
  <c r="N414" i="1"/>
  <c r="Q413" i="1"/>
  <c r="P413" i="1"/>
  <c r="O413" i="1"/>
  <c r="N413" i="1"/>
  <c r="Q412" i="1"/>
  <c r="P412" i="1"/>
  <c r="O412" i="1"/>
  <c r="N412" i="1"/>
  <c r="Q411" i="1"/>
  <c r="P411" i="1"/>
  <c r="O411" i="1"/>
  <c r="N411" i="1"/>
  <c r="Q410" i="1"/>
  <c r="P410" i="1"/>
  <c r="O410" i="1"/>
  <c r="N410" i="1"/>
  <c r="N409" i="1"/>
  <c r="O409" i="1"/>
  <c r="P409" i="1"/>
  <c r="Q409" i="1"/>
  <c r="Q408" i="1"/>
  <c r="P408" i="1"/>
  <c r="O408" i="1"/>
  <c r="N408" i="1"/>
  <c r="Q407" i="1"/>
  <c r="P407" i="1"/>
  <c r="O407" i="1"/>
  <c r="N407" i="1"/>
  <c r="Q406" i="1"/>
  <c r="P406" i="1"/>
  <c r="O406" i="1"/>
  <c r="N406" i="1"/>
  <c r="Q405" i="1"/>
  <c r="P405" i="1"/>
  <c r="O405" i="1"/>
  <c r="N405" i="1"/>
  <c r="N404" i="1"/>
  <c r="O404" i="1"/>
  <c r="P404" i="1"/>
  <c r="Q404" i="1"/>
  <c r="Q264" i="1"/>
  <c r="P264" i="1"/>
  <c r="O264" i="1"/>
  <c r="N264" i="1"/>
  <c r="Q263" i="1"/>
  <c r="P263" i="1"/>
  <c r="O263" i="1"/>
  <c r="N263" i="1"/>
  <c r="Q262" i="1"/>
  <c r="P262" i="1"/>
  <c r="O262" i="1"/>
  <c r="N262" i="1"/>
  <c r="Q261" i="1"/>
  <c r="P261" i="1"/>
  <c r="O261" i="1"/>
  <c r="N261" i="1"/>
  <c r="Q260" i="1"/>
  <c r="P260" i="1"/>
  <c r="O260" i="1"/>
  <c r="N260" i="1"/>
  <c r="Q259" i="1"/>
  <c r="P259" i="1"/>
  <c r="O259" i="1"/>
  <c r="N259" i="1"/>
  <c r="Q258" i="1"/>
  <c r="P258" i="1"/>
  <c r="O258" i="1"/>
  <c r="N258" i="1"/>
  <c r="Q257" i="1"/>
  <c r="P257" i="1"/>
  <c r="O257" i="1"/>
  <c r="N257" i="1"/>
  <c r="N256" i="1"/>
  <c r="O256" i="1"/>
  <c r="P256" i="1"/>
  <c r="Q256" i="1"/>
  <c r="Q255" i="1"/>
  <c r="P255" i="1"/>
  <c r="O255" i="1"/>
  <c r="N255" i="1"/>
  <c r="Q254" i="1"/>
  <c r="P254" i="1"/>
  <c r="O254" i="1"/>
  <c r="N254" i="1"/>
  <c r="Q253" i="1"/>
  <c r="P253" i="1"/>
  <c r="O253" i="1"/>
  <c r="N253" i="1"/>
  <c r="Q252" i="1"/>
  <c r="P252" i="1"/>
  <c r="O252" i="1"/>
  <c r="N252" i="1"/>
  <c r="Q251" i="1"/>
  <c r="P251" i="1"/>
  <c r="O251" i="1"/>
  <c r="N251" i="1"/>
  <c r="Q250" i="1"/>
  <c r="P250" i="1"/>
  <c r="O250" i="1"/>
  <c r="N250" i="1"/>
  <c r="Q249" i="1"/>
  <c r="P249" i="1"/>
  <c r="O249" i="1"/>
  <c r="N249" i="1"/>
  <c r="Q248" i="1"/>
  <c r="P248" i="1"/>
  <c r="O248" i="1"/>
  <c r="N248" i="1"/>
  <c r="Q247" i="1"/>
  <c r="P247" i="1"/>
  <c r="O247" i="1"/>
  <c r="N247" i="1"/>
  <c r="Q246" i="1"/>
  <c r="P246" i="1"/>
  <c r="O246" i="1"/>
  <c r="N246" i="1"/>
  <c r="Q245" i="1"/>
  <c r="P245" i="1"/>
  <c r="O245" i="1"/>
  <c r="N245" i="1"/>
  <c r="Q244" i="1"/>
  <c r="P244" i="1"/>
  <c r="O244" i="1"/>
  <c r="N244" i="1"/>
  <c r="Q243" i="1"/>
  <c r="P243" i="1"/>
  <c r="O243" i="1"/>
  <c r="N243" i="1"/>
  <c r="Q242" i="1"/>
  <c r="P242" i="1"/>
  <c r="O242" i="1"/>
  <c r="N242" i="1"/>
  <c r="Q241" i="1"/>
  <c r="P241" i="1"/>
  <c r="O241" i="1"/>
  <c r="N241" i="1"/>
  <c r="N240" i="1"/>
  <c r="O240" i="1"/>
  <c r="P240" i="1"/>
  <c r="Q240" i="1"/>
  <c r="O224" i="1"/>
  <c r="N224" i="1"/>
  <c r="O227" i="1"/>
  <c r="N227" i="1"/>
  <c r="O226" i="1"/>
  <c r="N226" i="1"/>
  <c r="O225" i="1"/>
  <c r="N225" i="1"/>
  <c r="O231" i="1"/>
  <c r="N231" i="1"/>
  <c r="O230" i="1"/>
  <c r="N230" i="1"/>
  <c r="O229" i="1"/>
  <c r="N229" i="1"/>
  <c r="O228" i="1"/>
  <c r="N228" i="1"/>
  <c r="O236" i="1"/>
  <c r="N236" i="1"/>
  <c r="O235" i="1"/>
  <c r="N235" i="1"/>
  <c r="O234" i="1"/>
  <c r="N234" i="1"/>
  <c r="O233" i="1"/>
  <c r="N233" i="1"/>
  <c r="O232" i="1"/>
  <c r="N232" i="1"/>
  <c r="O239" i="1"/>
  <c r="N239" i="1"/>
  <c r="O238" i="1"/>
  <c r="N238" i="1"/>
  <c r="Q224" i="1"/>
  <c r="P224" i="1"/>
  <c r="Q227" i="1"/>
  <c r="P227" i="1"/>
  <c r="Q226" i="1"/>
  <c r="P226" i="1"/>
  <c r="Q225" i="1"/>
  <c r="P225" i="1"/>
  <c r="Q231" i="1"/>
  <c r="P231" i="1"/>
  <c r="Q230" i="1"/>
  <c r="P230" i="1"/>
  <c r="Q229" i="1"/>
  <c r="P229" i="1"/>
  <c r="Q228" i="1"/>
  <c r="P228" i="1"/>
  <c r="Q236" i="1"/>
  <c r="P236" i="1"/>
  <c r="Q235" i="1"/>
  <c r="P235" i="1"/>
  <c r="Q234" i="1"/>
  <c r="P234" i="1"/>
  <c r="Q233" i="1"/>
  <c r="P233" i="1"/>
  <c r="Q232" i="1"/>
  <c r="P232" i="1"/>
  <c r="Q239" i="1"/>
  <c r="P239" i="1"/>
  <c r="Q238" i="1"/>
  <c r="P238" i="1"/>
  <c r="Q280" i="1"/>
  <c r="P280" i="1"/>
  <c r="Q279" i="1"/>
  <c r="P279" i="1"/>
  <c r="Q278" i="1"/>
  <c r="P278" i="1"/>
  <c r="Q277" i="1"/>
  <c r="P277" i="1"/>
  <c r="Q276" i="1"/>
  <c r="P276" i="1"/>
  <c r="Q275" i="1"/>
  <c r="P275" i="1"/>
  <c r="Q274" i="1"/>
  <c r="P274" i="1"/>
  <c r="Q273" i="1"/>
  <c r="P273" i="1"/>
  <c r="Q272" i="1"/>
  <c r="P272" i="1"/>
  <c r="Q271" i="1"/>
  <c r="P271" i="1"/>
  <c r="Q270" i="1"/>
  <c r="P270" i="1"/>
  <c r="Q269" i="1"/>
  <c r="P269" i="1"/>
  <c r="Q268" i="1"/>
  <c r="P268" i="1"/>
  <c r="Q267" i="1"/>
  <c r="P267" i="1"/>
  <c r="Q266" i="1"/>
  <c r="P266" i="1"/>
  <c r="Q265" i="1"/>
  <c r="P265" i="1"/>
  <c r="N237" i="1"/>
  <c r="O237" i="1"/>
  <c r="P237" i="1"/>
  <c r="Q237" i="1"/>
  <c r="O272" i="1"/>
  <c r="N272" i="1"/>
  <c r="O271" i="1"/>
  <c r="N271" i="1"/>
  <c r="O270" i="1"/>
  <c r="N270" i="1"/>
  <c r="O269" i="1"/>
  <c r="N269" i="1"/>
  <c r="O268" i="1"/>
  <c r="N268" i="1"/>
  <c r="O267" i="1"/>
  <c r="N267" i="1"/>
  <c r="O266" i="1"/>
  <c r="N266" i="1"/>
  <c r="O265" i="1"/>
  <c r="N265" i="1"/>
  <c r="O280" i="1"/>
  <c r="N280" i="1"/>
  <c r="O279" i="1"/>
  <c r="N279" i="1"/>
  <c r="O278" i="1"/>
  <c r="N278" i="1"/>
  <c r="O277" i="1"/>
  <c r="N277" i="1"/>
  <c r="O276" i="1"/>
  <c r="N276" i="1"/>
  <c r="O275" i="1"/>
  <c r="N275" i="1"/>
  <c r="O274" i="1"/>
  <c r="N274" i="1"/>
  <c r="O273" i="1"/>
  <c r="N273" i="1"/>
  <c r="O129" i="1"/>
  <c r="N129" i="1"/>
  <c r="O128" i="1"/>
  <c r="N128" i="1"/>
  <c r="O127" i="1"/>
  <c r="N127" i="1"/>
  <c r="O126" i="1"/>
  <c r="N126" i="1"/>
  <c r="O125" i="1"/>
  <c r="N125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24" i="1"/>
  <c r="N124" i="1"/>
  <c r="O123" i="1"/>
  <c r="N123" i="1"/>
  <c r="O122" i="1"/>
  <c r="N122" i="1"/>
  <c r="O119" i="1"/>
  <c r="N119" i="1"/>
  <c r="O118" i="1"/>
  <c r="N118" i="1"/>
  <c r="O117" i="1"/>
  <c r="N117" i="1"/>
  <c r="O121" i="1"/>
  <c r="N121" i="1"/>
  <c r="O120" i="1"/>
  <c r="N120" i="1"/>
  <c r="O133" i="1"/>
  <c r="N133" i="1"/>
  <c r="O132" i="1"/>
  <c r="N132" i="1"/>
  <c r="O131" i="1"/>
  <c r="N131" i="1"/>
  <c r="O130" i="1"/>
  <c r="N130" i="1"/>
  <c r="O113" i="1"/>
  <c r="N113" i="1"/>
  <c r="O112" i="1"/>
  <c r="N112" i="1"/>
  <c r="O111" i="1"/>
  <c r="N111" i="1"/>
  <c r="O116" i="1"/>
  <c r="N116" i="1"/>
  <c r="O115" i="1"/>
  <c r="N115" i="1"/>
  <c r="O114" i="1"/>
  <c r="N114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94" i="1"/>
  <c r="N94" i="1"/>
  <c r="O93" i="1"/>
  <c r="N93" i="1"/>
  <c r="O101" i="1"/>
  <c r="N101" i="1"/>
  <c r="O100" i="1"/>
  <c r="N100" i="1"/>
  <c r="O99" i="1"/>
  <c r="N99" i="1"/>
  <c r="O98" i="1"/>
  <c r="N98" i="1"/>
  <c r="O97" i="1"/>
  <c r="N97" i="1"/>
  <c r="O96" i="1"/>
  <c r="N96" i="1"/>
  <c r="N95" i="1"/>
  <c r="N84" i="1"/>
  <c r="N83" i="1"/>
  <c r="N82" i="1"/>
  <c r="N92" i="1"/>
  <c r="N91" i="1"/>
  <c r="N90" i="1"/>
  <c r="O173" i="1"/>
  <c r="O174" i="1"/>
  <c r="O175" i="1"/>
  <c r="O176" i="1"/>
  <c r="O177" i="1"/>
  <c r="O185" i="1"/>
  <c r="O186" i="1"/>
  <c r="O187" i="1"/>
  <c r="O188" i="1"/>
  <c r="O189" i="1"/>
  <c r="O190" i="1"/>
  <c r="O191" i="1"/>
  <c r="O178" i="1"/>
  <c r="O179" i="1"/>
  <c r="O180" i="1"/>
  <c r="O181" i="1"/>
  <c r="O182" i="1"/>
  <c r="O183" i="1"/>
  <c r="O184" i="1"/>
  <c r="O167" i="1"/>
  <c r="O168" i="1"/>
  <c r="O169" i="1"/>
  <c r="O170" i="1"/>
  <c r="O171" i="1"/>
  <c r="O158" i="1"/>
  <c r="O161" i="1"/>
  <c r="O162" i="1"/>
  <c r="O163" i="1"/>
  <c r="O164" i="1"/>
  <c r="O165" i="1"/>
  <c r="O166" i="1"/>
  <c r="O159" i="1"/>
  <c r="O160" i="1"/>
  <c r="O141" i="1"/>
  <c r="O142" i="1"/>
  <c r="O143" i="1"/>
  <c r="O144" i="1"/>
  <c r="O145" i="1"/>
  <c r="O146" i="1"/>
  <c r="O147" i="1"/>
  <c r="O148" i="1"/>
  <c r="O149" i="1"/>
  <c r="O150" i="1"/>
  <c r="O155" i="1"/>
  <c r="O156" i="1"/>
  <c r="O157" i="1"/>
  <c r="O151" i="1"/>
  <c r="O152" i="1"/>
  <c r="O153" i="1"/>
  <c r="O154" i="1"/>
  <c r="O2" i="1"/>
  <c r="O3" i="1"/>
  <c r="O4" i="1"/>
  <c r="O5" i="1"/>
  <c r="O6" i="1"/>
  <c r="O7" i="1"/>
  <c r="O8" i="1"/>
  <c r="O21" i="1"/>
  <c r="O22" i="1"/>
  <c r="O27" i="1"/>
  <c r="O28" i="1"/>
  <c r="O29" i="1"/>
  <c r="O30" i="1"/>
  <c r="O16" i="1"/>
  <c r="O17" i="1"/>
  <c r="O18" i="1"/>
  <c r="O19" i="1"/>
  <c r="O20" i="1"/>
  <c r="O23" i="1"/>
  <c r="O24" i="1"/>
  <c r="O25" i="1"/>
  <c r="O26" i="1"/>
  <c r="O14" i="1"/>
  <c r="O9" i="1"/>
  <c r="O10" i="1"/>
  <c r="O11" i="1"/>
  <c r="O12" i="1"/>
  <c r="O13" i="1"/>
  <c r="O15" i="1"/>
  <c r="O220" i="1"/>
  <c r="O221" i="1"/>
  <c r="O223" i="1"/>
  <c r="O192" i="1"/>
  <c r="O193" i="1"/>
  <c r="O194" i="1"/>
  <c r="O195" i="1"/>
  <c r="O196" i="1"/>
  <c r="O198" i="1"/>
  <c r="O199" i="1"/>
  <c r="O200" i="1"/>
  <c r="O205" i="1"/>
  <c r="O206" i="1"/>
  <c r="O207" i="1"/>
  <c r="O211" i="1"/>
  <c r="O212" i="1"/>
  <c r="O213" i="1"/>
  <c r="O197" i="1"/>
  <c r="O201" i="1"/>
  <c r="O202" i="1"/>
  <c r="O203" i="1"/>
  <c r="O204" i="1"/>
  <c r="O208" i="1"/>
  <c r="O209" i="1"/>
  <c r="O210" i="1"/>
  <c r="O214" i="1"/>
  <c r="O215" i="1"/>
  <c r="O216" i="1"/>
  <c r="O217" i="1"/>
  <c r="O218" i="1"/>
  <c r="O219" i="1"/>
  <c r="O222" i="1"/>
  <c r="O37" i="1"/>
  <c r="O38" i="1"/>
  <c r="O39" i="1"/>
  <c r="O40" i="1"/>
  <c r="O42" i="1"/>
  <c r="O43" i="1"/>
  <c r="O49" i="1"/>
  <c r="O50" i="1"/>
  <c r="O51" i="1"/>
  <c r="O41" i="1"/>
  <c r="O44" i="1"/>
  <c r="O45" i="1"/>
  <c r="O46" i="1"/>
  <c r="O47" i="1"/>
  <c r="O48" i="1"/>
  <c r="O66" i="1"/>
  <c r="O62" i="1"/>
  <c r="O63" i="1"/>
  <c r="O64" i="1"/>
  <c r="O65" i="1"/>
  <c r="O67" i="1"/>
  <c r="O68" i="1"/>
  <c r="O69" i="1"/>
  <c r="O52" i="1"/>
  <c r="O53" i="1"/>
  <c r="O54" i="1"/>
  <c r="O55" i="1"/>
  <c r="O56" i="1"/>
  <c r="O57" i="1"/>
  <c r="O58" i="1"/>
  <c r="O59" i="1"/>
  <c r="O60" i="1"/>
  <c r="O61" i="1"/>
  <c r="O75" i="1"/>
  <c r="O76" i="1"/>
  <c r="O77" i="1"/>
  <c r="O78" i="1"/>
  <c r="O79" i="1"/>
  <c r="O70" i="1"/>
  <c r="O71" i="1"/>
  <c r="O72" i="1"/>
  <c r="O73" i="1"/>
  <c r="O74" i="1"/>
  <c r="O32" i="1"/>
  <c r="O33" i="1"/>
  <c r="O34" i="1"/>
  <c r="O35" i="1"/>
  <c r="O36" i="1"/>
  <c r="O31" i="1"/>
  <c r="O283" i="1"/>
  <c r="O285" i="1"/>
  <c r="O286" i="1"/>
  <c r="O287" i="1"/>
  <c r="O284" i="1"/>
  <c r="O289" i="1"/>
  <c r="O288" i="1"/>
  <c r="O281" i="1"/>
  <c r="O282" i="1"/>
  <c r="O80" i="1"/>
  <c r="O81" i="1"/>
  <c r="O88" i="1"/>
  <c r="O89" i="1"/>
  <c r="O85" i="1"/>
  <c r="O86" i="1"/>
  <c r="O87" i="1"/>
  <c r="O90" i="1"/>
  <c r="O91" i="1"/>
  <c r="O92" i="1"/>
  <c r="O82" i="1"/>
  <c r="O83" i="1"/>
  <c r="O84" i="1"/>
  <c r="O95" i="1"/>
  <c r="O172" i="1"/>
  <c r="P173" i="1"/>
  <c r="Q173" i="1"/>
  <c r="P174" i="1"/>
  <c r="Q174" i="1"/>
  <c r="P175" i="1"/>
  <c r="Q175" i="1"/>
  <c r="P176" i="1"/>
  <c r="Q176" i="1"/>
  <c r="P177" i="1"/>
  <c r="Q177" i="1"/>
  <c r="P185" i="1"/>
  <c r="Q185" i="1"/>
  <c r="P186" i="1"/>
  <c r="Q186" i="1"/>
  <c r="P187" i="1"/>
  <c r="Q187" i="1"/>
  <c r="P188" i="1"/>
  <c r="Q188" i="1"/>
  <c r="P189" i="1"/>
  <c r="Q189" i="1"/>
  <c r="P190" i="1"/>
  <c r="Q190" i="1"/>
  <c r="P191" i="1"/>
  <c r="Q191" i="1"/>
  <c r="P178" i="1"/>
  <c r="Q178" i="1"/>
  <c r="P179" i="1"/>
  <c r="Q179" i="1"/>
  <c r="P180" i="1"/>
  <c r="Q180" i="1"/>
  <c r="P181" i="1"/>
  <c r="Q181" i="1"/>
  <c r="P182" i="1"/>
  <c r="Q182" i="1"/>
  <c r="P183" i="1"/>
  <c r="Q183" i="1"/>
  <c r="P184" i="1"/>
  <c r="Q184" i="1"/>
  <c r="P167" i="1"/>
  <c r="Q167" i="1"/>
  <c r="P168" i="1"/>
  <c r="Q168" i="1"/>
  <c r="P169" i="1"/>
  <c r="Q169" i="1"/>
  <c r="P170" i="1"/>
  <c r="Q170" i="1"/>
  <c r="P171" i="1"/>
  <c r="Q171" i="1"/>
  <c r="P158" i="1"/>
  <c r="Q158" i="1"/>
  <c r="P161" i="1"/>
  <c r="Q161" i="1"/>
  <c r="P162" i="1"/>
  <c r="Q162" i="1"/>
  <c r="P163" i="1"/>
  <c r="Q163" i="1"/>
  <c r="P164" i="1"/>
  <c r="Q164" i="1"/>
  <c r="P165" i="1"/>
  <c r="Q165" i="1"/>
  <c r="P166" i="1"/>
  <c r="Q166" i="1"/>
  <c r="P159" i="1"/>
  <c r="Q159" i="1"/>
  <c r="P160" i="1"/>
  <c r="Q160" i="1"/>
  <c r="P141" i="1"/>
  <c r="Q141" i="1"/>
  <c r="P142" i="1"/>
  <c r="Q142" i="1"/>
  <c r="P143" i="1"/>
  <c r="Q143" i="1"/>
  <c r="P144" i="1"/>
  <c r="Q144" i="1"/>
  <c r="P145" i="1"/>
  <c r="Q145" i="1"/>
  <c r="P146" i="1"/>
  <c r="Q146" i="1"/>
  <c r="P147" i="1"/>
  <c r="Q147" i="1"/>
  <c r="P148" i="1"/>
  <c r="Q148" i="1"/>
  <c r="P149" i="1"/>
  <c r="Q149" i="1"/>
  <c r="P150" i="1"/>
  <c r="Q150" i="1"/>
  <c r="P155" i="1"/>
  <c r="Q155" i="1"/>
  <c r="P156" i="1"/>
  <c r="Q156" i="1"/>
  <c r="P157" i="1"/>
  <c r="Q157" i="1"/>
  <c r="P151" i="1"/>
  <c r="Q151" i="1"/>
  <c r="P152" i="1"/>
  <c r="Q152" i="1"/>
  <c r="P153" i="1"/>
  <c r="Q153" i="1"/>
  <c r="P154" i="1"/>
  <c r="Q154" i="1"/>
  <c r="P2" i="1"/>
  <c r="Q2" i="1"/>
  <c r="P3" i="1"/>
  <c r="Q3" i="1"/>
  <c r="P4" i="1"/>
  <c r="Q4" i="1"/>
  <c r="P5" i="1"/>
  <c r="Q5" i="1"/>
  <c r="P6" i="1"/>
  <c r="Q6" i="1"/>
  <c r="P7" i="1"/>
  <c r="Q7" i="1"/>
  <c r="P8" i="1"/>
  <c r="Q8" i="1"/>
  <c r="P21" i="1"/>
  <c r="Q21" i="1"/>
  <c r="P22" i="1"/>
  <c r="Q22" i="1"/>
  <c r="P27" i="1"/>
  <c r="Q27" i="1"/>
  <c r="P28" i="1"/>
  <c r="Q28" i="1"/>
  <c r="P29" i="1"/>
  <c r="Q29" i="1"/>
  <c r="P30" i="1"/>
  <c r="Q30" i="1"/>
  <c r="P16" i="1"/>
  <c r="Q16" i="1"/>
  <c r="P17" i="1"/>
  <c r="Q17" i="1"/>
  <c r="P18" i="1"/>
  <c r="Q18" i="1"/>
  <c r="P19" i="1"/>
  <c r="Q19" i="1"/>
  <c r="P20" i="1"/>
  <c r="Q20" i="1"/>
  <c r="P23" i="1"/>
  <c r="Q23" i="1"/>
  <c r="P24" i="1"/>
  <c r="Q24" i="1"/>
  <c r="P25" i="1"/>
  <c r="Q25" i="1"/>
  <c r="P26" i="1"/>
  <c r="Q26" i="1"/>
  <c r="P14" i="1"/>
  <c r="Q14" i="1"/>
  <c r="P9" i="1"/>
  <c r="Q9" i="1"/>
  <c r="P10" i="1"/>
  <c r="Q10" i="1"/>
  <c r="P11" i="1"/>
  <c r="Q11" i="1"/>
  <c r="P12" i="1"/>
  <c r="Q12" i="1"/>
  <c r="P13" i="1"/>
  <c r="Q13" i="1"/>
  <c r="P15" i="1"/>
  <c r="Q15" i="1"/>
  <c r="P220" i="1"/>
  <c r="Q220" i="1"/>
  <c r="P221" i="1"/>
  <c r="Q221" i="1"/>
  <c r="P223" i="1"/>
  <c r="Q223" i="1"/>
  <c r="P192" i="1"/>
  <c r="Q192" i="1"/>
  <c r="P193" i="1"/>
  <c r="Q193" i="1"/>
  <c r="P194" i="1"/>
  <c r="Q194" i="1"/>
  <c r="P195" i="1"/>
  <c r="Q195" i="1"/>
  <c r="P196" i="1"/>
  <c r="Q196" i="1"/>
  <c r="P198" i="1"/>
  <c r="Q198" i="1"/>
  <c r="P199" i="1"/>
  <c r="Q199" i="1"/>
  <c r="P200" i="1"/>
  <c r="Q200" i="1"/>
  <c r="P205" i="1"/>
  <c r="Q205" i="1"/>
  <c r="P206" i="1"/>
  <c r="Q206" i="1"/>
  <c r="P207" i="1"/>
  <c r="Q207" i="1"/>
  <c r="P211" i="1"/>
  <c r="Q211" i="1"/>
  <c r="P212" i="1"/>
  <c r="Q212" i="1"/>
  <c r="P213" i="1"/>
  <c r="Q213" i="1"/>
  <c r="P197" i="1"/>
  <c r="Q197" i="1"/>
  <c r="P201" i="1"/>
  <c r="Q201" i="1"/>
  <c r="P202" i="1"/>
  <c r="Q202" i="1"/>
  <c r="P203" i="1"/>
  <c r="Q203" i="1"/>
  <c r="P204" i="1"/>
  <c r="Q204" i="1"/>
  <c r="P208" i="1"/>
  <c r="Q208" i="1"/>
  <c r="P209" i="1"/>
  <c r="Q209" i="1"/>
  <c r="P210" i="1"/>
  <c r="Q210" i="1"/>
  <c r="P214" i="1"/>
  <c r="Q214" i="1"/>
  <c r="P215" i="1"/>
  <c r="Q215" i="1"/>
  <c r="P216" i="1"/>
  <c r="Q216" i="1"/>
  <c r="P217" i="1"/>
  <c r="Q217" i="1"/>
  <c r="P218" i="1"/>
  <c r="Q218" i="1"/>
  <c r="P219" i="1"/>
  <c r="Q219" i="1"/>
  <c r="P222" i="1"/>
  <c r="Q222" i="1"/>
  <c r="P37" i="1"/>
  <c r="Q37" i="1"/>
  <c r="P38" i="1"/>
  <c r="Q38" i="1"/>
  <c r="P39" i="1"/>
  <c r="Q39" i="1"/>
  <c r="P40" i="1"/>
  <c r="Q40" i="1"/>
  <c r="P42" i="1"/>
  <c r="Q42" i="1"/>
  <c r="P43" i="1"/>
  <c r="Q43" i="1"/>
  <c r="P49" i="1"/>
  <c r="Q49" i="1"/>
  <c r="P50" i="1"/>
  <c r="Q50" i="1"/>
  <c r="P51" i="1"/>
  <c r="Q51" i="1"/>
  <c r="P41" i="1"/>
  <c r="Q41" i="1"/>
  <c r="P44" i="1"/>
  <c r="Q44" i="1"/>
  <c r="P45" i="1"/>
  <c r="Q45" i="1"/>
  <c r="P46" i="1"/>
  <c r="Q46" i="1"/>
  <c r="P47" i="1"/>
  <c r="Q47" i="1"/>
  <c r="P48" i="1"/>
  <c r="Q48" i="1"/>
  <c r="P66" i="1"/>
  <c r="Q66" i="1"/>
  <c r="P62" i="1"/>
  <c r="Q62" i="1"/>
  <c r="P63" i="1"/>
  <c r="Q63" i="1"/>
  <c r="P64" i="1"/>
  <c r="Q64" i="1"/>
  <c r="P65" i="1"/>
  <c r="Q65" i="1"/>
  <c r="P67" i="1"/>
  <c r="Q67" i="1"/>
  <c r="P68" i="1"/>
  <c r="Q68" i="1"/>
  <c r="P69" i="1"/>
  <c r="Q69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75" i="1"/>
  <c r="Q75" i="1"/>
  <c r="P76" i="1"/>
  <c r="Q76" i="1"/>
  <c r="P77" i="1"/>
  <c r="Q77" i="1"/>
  <c r="P78" i="1"/>
  <c r="Q78" i="1"/>
  <c r="P79" i="1"/>
  <c r="Q79" i="1"/>
  <c r="P70" i="1"/>
  <c r="Q70" i="1"/>
  <c r="P71" i="1"/>
  <c r="Q71" i="1"/>
  <c r="P72" i="1"/>
  <c r="Q72" i="1"/>
  <c r="P73" i="1"/>
  <c r="Q73" i="1"/>
  <c r="P74" i="1"/>
  <c r="Q74" i="1"/>
  <c r="P32" i="1"/>
  <c r="Q32" i="1"/>
  <c r="P33" i="1"/>
  <c r="Q33" i="1"/>
  <c r="P34" i="1"/>
  <c r="Q34" i="1"/>
  <c r="P35" i="1"/>
  <c r="Q35" i="1"/>
  <c r="P36" i="1"/>
  <c r="Q36" i="1"/>
  <c r="P31" i="1"/>
  <c r="Q31" i="1"/>
  <c r="P283" i="1"/>
  <c r="Q283" i="1"/>
  <c r="P285" i="1"/>
  <c r="Q285" i="1"/>
  <c r="P286" i="1"/>
  <c r="Q286" i="1"/>
  <c r="P287" i="1"/>
  <c r="Q287" i="1"/>
  <c r="P284" i="1"/>
  <c r="Q284" i="1"/>
  <c r="P289" i="1"/>
  <c r="Q289" i="1"/>
  <c r="P288" i="1"/>
  <c r="Q288" i="1"/>
  <c r="P281" i="1"/>
  <c r="Q281" i="1"/>
  <c r="P282" i="1"/>
  <c r="Q282" i="1"/>
  <c r="P80" i="1"/>
  <c r="Q80" i="1"/>
  <c r="P81" i="1"/>
  <c r="Q81" i="1"/>
  <c r="P88" i="1"/>
  <c r="Q88" i="1"/>
  <c r="P89" i="1"/>
  <c r="Q89" i="1"/>
  <c r="P85" i="1"/>
  <c r="Q85" i="1"/>
  <c r="P86" i="1"/>
  <c r="Q86" i="1"/>
  <c r="P87" i="1"/>
  <c r="Q87" i="1"/>
  <c r="P90" i="1"/>
  <c r="Q90" i="1"/>
  <c r="P91" i="1"/>
  <c r="Q91" i="1"/>
  <c r="P92" i="1"/>
  <c r="Q92" i="1"/>
  <c r="P82" i="1"/>
  <c r="Q82" i="1"/>
  <c r="P83" i="1"/>
  <c r="Q83" i="1"/>
  <c r="P84" i="1"/>
  <c r="Q8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93" i="1"/>
  <c r="Q93" i="1"/>
  <c r="P94" i="1"/>
  <c r="Q94" i="1"/>
  <c r="P103" i="1"/>
  <c r="Q103" i="1"/>
  <c r="P104" i="1"/>
  <c r="Q104" i="1"/>
  <c r="P105" i="1"/>
  <c r="Q105" i="1"/>
  <c r="P106" i="1"/>
  <c r="Q106" i="1"/>
  <c r="P107" i="1"/>
  <c r="Q107" i="1"/>
  <c r="P108" i="1"/>
  <c r="Q108" i="1"/>
  <c r="P109" i="1"/>
  <c r="Q109" i="1"/>
  <c r="P110" i="1"/>
  <c r="Q110" i="1"/>
  <c r="P114" i="1"/>
  <c r="Q114" i="1"/>
  <c r="P115" i="1"/>
  <c r="Q115" i="1"/>
  <c r="P116" i="1"/>
  <c r="Q116" i="1"/>
  <c r="P111" i="1"/>
  <c r="Q111" i="1"/>
  <c r="P112" i="1"/>
  <c r="Q112" i="1"/>
  <c r="P113" i="1"/>
  <c r="Q113" i="1"/>
  <c r="P130" i="1"/>
  <c r="Q130" i="1"/>
  <c r="P131" i="1"/>
  <c r="Q131" i="1"/>
  <c r="P132" i="1"/>
  <c r="Q132" i="1"/>
  <c r="P133" i="1"/>
  <c r="Q133" i="1"/>
  <c r="P120" i="1"/>
  <c r="Q120" i="1"/>
  <c r="P121" i="1"/>
  <c r="Q121" i="1"/>
  <c r="N166" i="1"/>
  <c r="N159" i="1"/>
  <c r="N160" i="1"/>
  <c r="N141" i="1"/>
  <c r="N142" i="1"/>
  <c r="N143" i="1"/>
  <c r="N144" i="1"/>
  <c r="N145" i="1"/>
  <c r="N146" i="1"/>
  <c r="N147" i="1"/>
  <c r="N148" i="1"/>
  <c r="N149" i="1"/>
  <c r="N150" i="1"/>
  <c r="N155" i="1"/>
  <c r="N156" i="1"/>
  <c r="N157" i="1"/>
  <c r="N151" i="1"/>
  <c r="N152" i="1"/>
  <c r="N153" i="1"/>
  <c r="N154" i="1"/>
  <c r="N2" i="1"/>
  <c r="N3" i="1"/>
  <c r="N4" i="1"/>
  <c r="N5" i="1"/>
  <c r="N6" i="1"/>
  <c r="N7" i="1"/>
  <c r="N8" i="1"/>
  <c r="N21" i="1"/>
  <c r="N22" i="1"/>
  <c r="N27" i="1"/>
  <c r="N28" i="1"/>
  <c r="N29" i="1"/>
  <c r="N30" i="1"/>
  <c r="N16" i="1"/>
  <c r="N17" i="1"/>
  <c r="N18" i="1"/>
  <c r="N19" i="1"/>
  <c r="N20" i="1"/>
  <c r="N23" i="1"/>
  <c r="N24" i="1"/>
  <c r="N25" i="1"/>
  <c r="N26" i="1"/>
  <c r="N14" i="1"/>
  <c r="N9" i="1"/>
  <c r="N10" i="1"/>
  <c r="N11" i="1"/>
  <c r="N12" i="1"/>
  <c r="N13" i="1"/>
  <c r="N15" i="1"/>
  <c r="N220" i="1"/>
  <c r="N221" i="1"/>
  <c r="N223" i="1"/>
  <c r="N192" i="1"/>
  <c r="N193" i="1"/>
  <c r="N194" i="1"/>
  <c r="N195" i="1"/>
  <c r="N196" i="1"/>
  <c r="N198" i="1"/>
  <c r="N199" i="1"/>
  <c r="N200" i="1"/>
  <c r="N205" i="1"/>
  <c r="N206" i="1"/>
  <c r="N207" i="1"/>
  <c r="N211" i="1"/>
  <c r="N212" i="1"/>
  <c r="N213" i="1"/>
  <c r="N197" i="1"/>
  <c r="N201" i="1"/>
  <c r="N202" i="1"/>
  <c r="N203" i="1"/>
  <c r="N204" i="1"/>
  <c r="N208" i="1"/>
  <c r="N209" i="1"/>
  <c r="N210" i="1"/>
  <c r="N214" i="1"/>
  <c r="N215" i="1"/>
  <c r="N216" i="1"/>
  <c r="N217" i="1"/>
  <c r="N218" i="1"/>
  <c r="N219" i="1"/>
  <c r="N222" i="1"/>
  <c r="N37" i="1"/>
  <c r="N38" i="1"/>
  <c r="N39" i="1"/>
  <c r="N40" i="1"/>
  <c r="N42" i="1"/>
  <c r="N43" i="1"/>
  <c r="N49" i="1"/>
  <c r="N50" i="1"/>
  <c r="N51" i="1"/>
  <c r="N41" i="1"/>
  <c r="N44" i="1"/>
  <c r="N45" i="1"/>
  <c r="N46" i="1"/>
  <c r="N47" i="1"/>
  <c r="N48" i="1"/>
  <c r="N66" i="1"/>
  <c r="N62" i="1"/>
  <c r="N63" i="1"/>
  <c r="N64" i="1"/>
  <c r="N65" i="1"/>
  <c r="N67" i="1"/>
  <c r="N68" i="1"/>
  <c r="N69" i="1"/>
  <c r="N52" i="1"/>
  <c r="N53" i="1"/>
  <c r="N54" i="1"/>
  <c r="N55" i="1"/>
  <c r="N56" i="1"/>
  <c r="N57" i="1"/>
  <c r="N58" i="1"/>
  <c r="N59" i="1"/>
  <c r="N60" i="1"/>
  <c r="N61" i="1"/>
  <c r="N75" i="1"/>
  <c r="N76" i="1"/>
  <c r="N77" i="1"/>
  <c r="N78" i="1"/>
  <c r="N79" i="1"/>
  <c r="N70" i="1"/>
  <c r="N71" i="1"/>
  <c r="N72" i="1"/>
  <c r="N73" i="1"/>
  <c r="N74" i="1"/>
  <c r="N32" i="1"/>
  <c r="N33" i="1"/>
  <c r="N34" i="1"/>
  <c r="N35" i="1"/>
  <c r="N36" i="1"/>
  <c r="N31" i="1"/>
  <c r="N283" i="1"/>
  <c r="N285" i="1"/>
  <c r="N286" i="1"/>
  <c r="N287" i="1"/>
  <c r="N284" i="1"/>
  <c r="N289" i="1"/>
  <c r="N288" i="1"/>
  <c r="N281" i="1"/>
  <c r="N282" i="1"/>
  <c r="N80" i="1"/>
  <c r="N81" i="1"/>
  <c r="N88" i="1"/>
  <c r="N89" i="1"/>
  <c r="N85" i="1"/>
  <c r="N86" i="1"/>
  <c r="N87" i="1"/>
  <c r="N190" i="1"/>
  <c r="N191" i="1"/>
  <c r="N178" i="1"/>
  <c r="N179" i="1"/>
  <c r="N180" i="1"/>
  <c r="N181" i="1"/>
  <c r="N182" i="1"/>
  <c r="N183" i="1"/>
  <c r="N184" i="1"/>
  <c r="N167" i="1"/>
  <c r="N168" i="1"/>
  <c r="N169" i="1"/>
  <c r="N170" i="1"/>
  <c r="N171" i="1"/>
  <c r="N158" i="1"/>
  <c r="N161" i="1"/>
  <c r="N162" i="1"/>
  <c r="N163" i="1"/>
  <c r="N164" i="1"/>
  <c r="N165" i="1"/>
  <c r="N173" i="1"/>
  <c r="N174" i="1"/>
  <c r="N175" i="1"/>
  <c r="N176" i="1"/>
  <c r="N177" i="1"/>
  <c r="N185" i="1"/>
  <c r="N186" i="1"/>
  <c r="N187" i="1"/>
  <c r="N188" i="1"/>
  <c r="N189" i="1"/>
  <c r="Q172" i="1"/>
  <c r="P172" i="1"/>
  <c r="N172" i="1"/>
  <c r="G6" i="3"/>
  <c r="C6" i="3"/>
  <c r="E6" i="3" s="1"/>
  <c r="B6" i="3"/>
  <c r="E5" i="3" l="1"/>
  <c r="D101" i="3" s="1"/>
  <c r="C101" i="3"/>
  <c r="E8" i="3"/>
  <c r="C98" i="3"/>
  <c r="C99" i="3" s="1"/>
  <c r="C7" i="20"/>
  <c r="B6" i="20"/>
  <c r="B7" i="20"/>
  <c r="C3" i="20"/>
  <c r="B3" i="20"/>
  <c r="C2" i="20"/>
  <c r="B2" i="20"/>
  <c r="C4" i="20"/>
  <c r="B4" i="20"/>
  <c r="C5" i="20"/>
  <c r="B5" i="20"/>
  <c r="C6" i="20"/>
  <c r="B2" i="7"/>
</calcChain>
</file>

<file path=xl/sharedStrings.xml><?xml version="1.0" encoding="utf-8"?>
<sst xmlns="http://schemas.openxmlformats.org/spreadsheetml/2006/main" count="4411" uniqueCount="1879">
  <si>
    <t>Hora de pedido</t>
  </si>
  <si>
    <t>Tipo de pedido</t>
  </si>
  <si>
    <t>Tipo de Establecimiento</t>
  </si>
  <si>
    <t>Monto</t>
  </si>
  <si>
    <t>Fecha</t>
  </si>
  <si>
    <t>6:39 a. m.</t>
  </si>
  <si>
    <t>Restaurante</t>
  </si>
  <si>
    <t>Jueves</t>
  </si>
  <si>
    <t>21 Agosto</t>
  </si>
  <si>
    <t>5:49 a. m.</t>
  </si>
  <si>
    <t>1:53 a. m.</t>
  </si>
  <si>
    <t>1:37 a. m.</t>
  </si>
  <si>
    <t>1:21 a. m.</t>
  </si>
  <si>
    <t>1:11 a. m.</t>
  </si>
  <si>
    <t>12:56 a. m.</t>
  </si>
  <si>
    <t>6:51 a. m.</t>
  </si>
  <si>
    <t>9:49 a. m.</t>
  </si>
  <si>
    <t>Churrería El Top...</t>
  </si>
  <si>
    <t>9:31 a. m.</t>
  </si>
  <si>
    <t>Super/Tienda</t>
  </si>
  <si>
    <t>Carrefour</t>
  </si>
  <si>
    <t>9:02 a. m.</t>
  </si>
  <si>
    <t>Carrefour Hiper</t>
  </si>
  <si>
    <t>8:29 a. m.</t>
  </si>
  <si>
    <t>DIA Envío Rápido</t>
  </si>
  <si>
    <t>8:10 a. m.</t>
  </si>
  <si>
    <t>7:05 a. m.</t>
  </si>
  <si>
    <t>4:36 p. m.</t>
  </si>
  <si>
    <t>The Food Truck S...</t>
  </si>
  <si>
    <t>4:10 p. m.</t>
  </si>
  <si>
    <t>3:36 p. m.</t>
  </si>
  <si>
    <t>3:02 p. m.</t>
  </si>
  <si>
    <t>2:26 p. m.</t>
  </si>
  <si>
    <t>1810 Cocina Re...</t>
  </si>
  <si>
    <t>1:48 p. m.</t>
  </si>
  <si>
    <t>La Empanadería</t>
  </si>
  <si>
    <t>10:36 p. m.</t>
  </si>
  <si>
    <t>20 Agosto</t>
  </si>
  <si>
    <t>10:03 p. m.</t>
  </si>
  <si>
    <t>8:58 p. m.</t>
  </si>
  <si>
    <t>Carrefour Express</t>
  </si>
  <si>
    <t>8:27 p. m.</t>
  </si>
  <si>
    <t>Open Market</t>
  </si>
  <si>
    <t>8:18 p. m.</t>
  </si>
  <si>
    <t>7:37 p. m.</t>
  </si>
  <si>
    <t>7:23 p. m.</t>
  </si>
  <si>
    <t>6:47 p. m.</t>
  </si>
  <si>
    <t>FLA - McDonald's</t>
  </si>
  <si>
    <t>6:33 p. m.</t>
  </si>
  <si>
    <t>Tequeños Ruta6</t>
  </si>
  <si>
    <t>6:11 p. m.</t>
  </si>
  <si>
    <t>5:50 p. m.</t>
  </si>
  <si>
    <t>5:20 p. m.</t>
  </si>
  <si>
    <t>Tea Connection</t>
  </si>
  <si>
    <t>4:54 p. m.</t>
  </si>
  <si>
    <t>4:21 p. m.</t>
  </si>
  <si>
    <t>Total_Ingresos</t>
  </si>
  <si>
    <t>Cant_Pedidos</t>
  </si>
  <si>
    <t>Hora_24h</t>
  </si>
  <si>
    <t>16:21</t>
  </si>
  <si>
    <t>16:54</t>
  </si>
  <si>
    <t>17:20</t>
  </si>
  <si>
    <t>17:50</t>
  </si>
  <si>
    <t>18:11</t>
  </si>
  <si>
    <t>18:33</t>
  </si>
  <si>
    <t>18:47</t>
  </si>
  <si>
    <t>19:23</t>
  </si>
  <si>
    <t>19:37</t>
  </si>
  <si>
    <t>20:18</t>
  </si>
  <si>
    <t>20:27</t>
  </si>
  <si>
    <t>20:58</t>
  </si>
  <si>
    <t>22:03</t>
  </si>
  <si>
    <t>22:36</t>
  </si>
  <si>
    <t>00:56</t>
  </si>
  <si>
    <t>01:11</t>
  </si>
  <si>
    <t>01:21</t>
  </si>
  <si>
    <t>01:37</t>
  </si>
  <si>
    <t>01:53</t>
  </si>
  <si>
    <t>05:49</t>
  </si>
  <si>
    <t>06:39</t>
  </si>
  <si>
    <t>06:51</t>
  </si>
  <si>
    <t>07:05</t>
  </si>
  <si>
    <t>08:10</t>
  </si>
  <si>
    <t>08:29</t>
  </si>
  <si>
    <t>09:02</t>
  </si>
  <si>
    <t>09:31</t>
  </si>
  <si>
    <t>09:49</t>
  </si>
  <si>
    <t>13:48</t>
  </si>
  <si>
    <t>14:26</t>
  </si>
  <si>
    <t>15:02</t>
  </si>
  <si>
    <t>15:36</t>
  </si>
  <si>
    <t>16:10</t>
  </si>
  <si>
    <t>16:36</t>
  </si>
  <si>
    <t>Métrica</t>
  </si>
  <si>
    <t>Valor</t>
  </si>
  <si>
    <t>Total Ingresos</t>
  </si>
  <si>
    <t>Cantidad Pedidos</t>
  </si>
  <si>
    <t>Ticket Promedio</t>
  </si>
  <si>
    <t>10:18 a.m.</t>
  </si>
  <si>
    <t>Panadería Venez...</t>
  </si>
  <si>
    <t>11:08 a.m.</t>
  </si>
  <si>
    <t>Farmacias Dr Ah...</t>
  </si>
  <si>
    <t>11:57 a.m.</t>
  </si>
  <si>
    <t>12:14 p.m.</t>
  </si>
  <si>
    <t>Open Market, Jo...</t>
  </si>
  <si>
    <t>12:54 p.m.</t>
  </si>
  <si>
    <t>Farmacity, Larre...</t>
  </si>
  <si>
    <t>1:48 p.m.</t>
  </si>
  <si>
    <t>2:26 p.m.</t>
  </si>
  <si>
    <t>5:46 p.m.</t>
  </si>
  <si>
    <t>OpenFarma, Cor...</t>
  </si>
  <si>
    <t>6:05 p.m.</t>
  </si>
  <si>
    <t>Panadería Las Es...</t>
  </si>
  <si>
    <t>6:38 p.m.</t>
  </si>
  <si>
    <t>BA Bakery - Tuc...</t>
  </si>
  <si>
    <t>7:01 p.m.</t>
  </si>
  <si>
    <t>8:05 p.m.</t>
  </si>
  <si>
    <t>Panadería</t>
  </si>
  <si>
    <t>Subway – Pueyr...</t>
  </si>
  <si>
    <t>Viernes</t>
  </si>
  <si>
    <t>4:08 p.m.</t>
  </si>
  <si>
    <t>Monster Cookie...</t>
  </si>
  <si>
    <t>3:55 p.m.</t>
  </si>
  <si>
    <t>Carrefour Expres...</t>
  </si>
  <si>
    <t>2:59 p.m.</t>
  </si>
  <si>
    <t>2:38 p.m.</t>
  </si>
  <si>
    <t>Doña Cocina Tip...</t>
  </si>
  <si>
    <t>Guber Patisseri...</t>
  </si>
  <si>
    <t>1:56 p.m.</t>
  </si>
  <si>
    <t>Open 25, Corrien...</t>
  </si>
  <si>
    <t>Coto, 091-Abasto</t>
  </si>
  <si>
    <t>Sabado</t>
  </si>
  <si>
    <t>3:08 p.m.</t>
  </si>
  <si>
    <t>Groovy Cookies</t>
  </si>
  <si>
    <t>2:49 p.m.</t>
  </si>
  <si>
    <t>Cümen Cümen</t>
  </si>
  <si>
    <t>2:29 p.m.</t>
  </si>
  <si>
    <t>ELC - McDonald's</t>
  </si>
  <si>
    <t>2:10 p.m.</t>
  </si>
  <si>
    <t>COL - McDonald's</t>
  </si>
  <si>
    <t>1:47 p.m.</t>
  </si>
  <si>
    <t>1:27 p.m.</t>
  </si>
  <si>
    <t>DIA Palermo</t>
  </si>
  <si>
    <t>1:03 p.m.</t>
  </si>
  <si>
    <t>10:23 p.m.</t>
  </si>
  <si>
    <t>10:04 p.m.</t>
  </si>
  <si>
    <t>9:49 p.m.</t>
  </si>
  <si>
    <t>Sake Sushi Delivery</t>
  </si>
  <si>
    <t>9:34 p.m.</t>
  </si>
  <si>
    <t>9:03 p.m.</t>
  </si>
  <si>
    <t>8:38 p.m.</t>
  </si>
  <si>
    <t>7:31 p.m.</t>
  </si>
  <si>
    <t>7:02 p.m.</t>
  </si>
  <si>
    <t>Freddo - Ayacucho</t>
  </si>
  <si>
    <t>6:48 p.m.</t>
  </si>
  <si>
    <t>Pago Manual</t>
  </si>
  <si>
    <t>6:15 p.m.</t>
  </si>
  <si>
    <t>Faricci - Palermo</t>
  </si>
  <si>
    <t>5:44 p.m.</t>
  </si>
  <si>
    <t>Tu Arepa Aguero</t>
  </si>
  <si>
    <t>5:08 p.m.</t>
  </si>
  <si>
    <t>Coto, -158 Charcas</t>
  </si>
  <si>
    <t>4:37 p.m.</t>
  </si>
  <si>
    <t>2:17 p.m.</t>
  </si>
  <si>
    <t>Cremolatti - Santa Fe</t>
  </si>
  <si>
    <t>1:50 p.m.</t>
  </si>
  <si>
    <t>Rincón Norteño - Parque Las Heras</t>
  </si>
  <si>
    <t>Fullser24hs Palermo</t>
  </si>
  <si>
    <t>Martes</t>
  </si>
  <si>
    <t>Burgertify - Recoleta</t>
  </si>
  <si>
    <t>SushiPop - Las Heras</t>
  </si>
  <si>
    <t>The Food Truck - PALERMO</t>
  </si>
  <si>
    <t>Fabric Sushi Barrio Norte</t>
  </si>
  <si>
    <t>Los Maestros - recoleta</t>
  </si>
  <si>
    <t>Rappi Favor, Bs As CABA (Villa Crespo/Chacarita)</t>
  </si>
  <si>
    <t>Open Market, AV. Pueyrredon 1298 (964)</t>
  </si>
  <si>
    <t>3:42 a.m.</t>
  </si>
  <si>
    <t>3:17 a.m.</t>
  </si>
  <si>
    <t>Turbo, Palermo 1</t>
  </si>
  <si>
    <t>3:02 a.m.</t>
  </si>
  <si>
    <t>2:36 a.m.</t>
  </si>
  <si>
    <t>2:12 a.m.</t>
  </si>
  <si>
    <t>1:59 a.m.</t>
  </si>
  <si>
    <t>McDonald's - SF5 int</t>
  </si>
  <si>
    <t>McDonald's - SF3 int</t>
  </si>
  <si>
    <t>McDonald's - CPY int</t>
  </si>
  <si>
    <t>9:35 p.m.</t>
  </si>
  <si>
    <t>8:58 p.m.</t>
  </si>
  <si>
    <t>8:29 p.m.</t>
  </si>
  <si>
    <t>PIZZA DATA</t>
  </si>
  <si>
    <t>7:50 p.m.</t>
  </si>
  <si>
    <t>6:44 p.m.</t>
  </si>
  <si>
    <t>5:19 p.m.</t>
  </si>
  <si>
    <t>5:00 p.m.</t>
  </si>
  <si>
    <t>Lunes</t>
  </si>
  <si>
    <t>McDonald's - SF6 int</t>
  </si>
  <si>
    <t>Green Eat - Sinclair</t>
  </si>
  <si>
    <t>Rock and Ribs</t>
  </si>
  <si>
    <t>DIA Envío Rápido, cerviño (523)</t>
  </si>
  <si>
    <t>Carrefour Hiper, Salguero (6)</t>
  </si>
  <si>
    <t>Armando Florería</t>
  </si>
  <si>
    <t>Rappi Favor, Bs As CABA (Balvanera/Once)</t>
  </si>
  <si>
    <t>12:25 a.m.</t>
  </si>
  <si>
    <t>12:07 a.m.</t>
  </si>
  <si>
    <t>2:58 a.m.</t>
  </si>
  <si>
    <t>2:22 a.m.</t>
  </si>
  <si>
    <t>Turbo, Peron</t>
  </si>
  <si>
    <t>2:03 a.m.</t>
  </si>
  <si>
    <t>McCafé - SF3</t>
  </si>
  <si>
    <t>1:32 a.m.</t>
  </si>
  <si>
    <t>1:16 a.m.</t>
  </si>
  <si>
    <t>12:55 a.m.</t>
  </si>
  <si>
    <t>5:55 a.m.</t>
  </si>
  <si>
    <t>5:34 a.m.</t>
  </si>
  <si>
    <t>5:14 a.m.</t>
  </si>
  <si>
    <t>4:34 a.m.</t>
  </si>
  <si>
    <t>4:04 a.m.</t>
  </si>
  <si>
    <t>3:28 a.m.</t>
  </si>
  <si>
    <t>Coma y Punto</t>
  </si>
  <si>
    <t>3:42 p.m.</t>
  </si>
  <si>
    <t>2:56 p.m.</t>
  </si>
  <si>
    <t>2:24 p.m.</t>
  </si>
  <si>
    <t>1:33 p.m.</t>
  </si>
  <si>
    <t>6:59 a.m.</t>
  </si>
  <si>
    <t>6:33 a.m.</t>
  </si>
  <si>
    <t>9:24 p.m.</t>
  </si>
  <si>
    <t>9:14 p.m.</t>
  </si>
  <si>
    <t>8:40 p.m.</t>
  </si>
  <si>
    <t>8:22 p.m.</t>
  </si>
  <si>
    <t>Jiro Sushi - French</t>
  </si>
  <si>
    <t>Turbo, Las Heras</t>
  </si>
  <si>
    <t>7:38 p.m.</t>
  </si>
  <si>
    <t>6:42 p.m.</t>
  </si>
  <si>
    <t>6:06 p.m.</t>
  </si>
  <si>
    <t>5:21 p.m.</t>
  </si>
  <si>
    <t>Cinépolis - Plaza</t>
  </si>
  <si>
    <t>4:54 p.m.</t>
  </si>
  <si>
    <t>Wendy's - Abasto</t>
  </si>
  <si>
    <t>Domingo</t>
  </si>
  <si>
    <t>Pizza Alla Pala - Entre Rios</t>
  </si>
  <si>
    <t>McDonald's Turbo -R10 int</t>
  </si>
  <si>
    <t>McDonald's - CHE</t>
  </si>
  <si>
    <t>La Despensa, San juan</t>
  </si>
  <si>
    <t>McDonald's - SF2 int</t>
  </si>
  <si>
    <t>Postres McDonald's - CPY int</t>
  </si>
  <si>
    <t>Burger King - canning</t>
  </si>
  <si>
    <t>DIA Envío Rápido - Almagro (528)</t>
  </si>
  <si>
    <t>McDonald's Turbo - AB2</t>
  </si>
  <si>
    <t>DIA Envío Rápido, Monserrat Moreno (631)</t>
  </si>
  <si>
    <t>Tomasso - Congreso</t>
  </si>
  <si>
    <t>Doblete</t>
  </si>
  <si>
    <t>Che Sushi - Downtown (25 de mayo)</t>
  </si>
  <si>
    <t>Rapanui - Retiro - Turbo</t>
  </si>
  <si>
    <t>Campobravo - Puerto Madero</t>
  </si>
  <si>
    <t>Los Inmortales - microcentro</t>
  </si>
  <si>
    <t>KFC - Pueyrredón - Turbo</t>
  </si>
  <si>
    <t>McDonald's - R10 int</t>
  </si>
  <si>
    <t>Somos Peru Microcentro</t>
  </si>
  <si>
    <t>El club de la Milanesa Barrio Norte</t>
  </si>
  <si>
    <t>7:37 p.m.</t>
  </si>
  <si>
    <t>7:16 p.m.</t>
  </si>
  <si>
    <t>6:39 p.m.</t>
  </si>
  <si>
    <t>5:55 p.m.</t>
  </si>
  <si>
    <t>4:31 p.m.</t>
  </si>
  <si>
    <t>4:18 p.m.</t>
  </si>
  <si>
    <t>Haus Of Cookies</t>
  </si>
  <si>
    <t>3:54 p.m.</t>
  </si>
  <si>
    <t>8:43 p.m.</t>
  </si>
  <si>
    <t>Heladería Tino</t>
  </si>
  <si>
    <t>8:28 p.m.</t>
  </si>
  <si>
    <t>11:12 p.m.</t>
  </si>
  <si>
    <t>Kuono</t>
  </si>
  <si>
    <t>10:59 p.m.</t>
  </si>
  <si>
    <t>10:13 p.m.</t>
  </si>
  <si>
    <t>9:56 p.m.</t>
  </si>
  <si>
    <t>9:40 p.m.</t>
  </si>
  <si>
    <t>Burger Joint</t>
  </si>
  <si>
    <t>9:17 p.m.</t>
  </si>
  <si>
    <t>Pan de Queso Brasil - Almagro</t>
  </si>
  <si>
    <t>Grido Once</t>
  </si>
  <si>
    <t>Disco, Santa Fe(22)</t>
  </si>
  <si>
    <t>Burger King - Bulnes</t>
  </si>
  <si>
    <t>Grido - Cnel. Diaz</t>
  </si>
  <si>
    <t>McDonald's - AB2</t>
  </si>
  <si>
    <t>MED - McDonald's Av Corrientes 3966</t>
  </si>
  <si>
    <t>El Club de la Milanesa Soho</t>
  </si>
  <si>
    <t>4:58 a.m.</t>
  </si>
  <si>
    <t>3:49 a.m.</t>
  </si>
  <si>
    <t>2:57 a.m.</t>
  </si>
  <si>
    <t>2:38 a.m.</t>
  </si>
  <si>
    <t>1:39 a.m.</t>
  </si>
  <si>
    <t>1:11 a.m.</t>
  </si>
  <si>
    <t>8:50 p.m.</t>
  </si>
  <si>
    <t>8:25 p.m.</t>
  </si>
  <si>
    <t>8:10 p.m.</t>
  </si>
  <si>
    <t>El Peruanito Ray</t>
  </si>
  <si>
    <t>7:44 p.m.</t>
  </si>
  <si>
    <t>11:54 p.m.</t>
  </si>
  <si>
    <t>La Dorita - Botánico</t>
  </si>
  <si>
    <t>11:30 p.m.</t>
  </si>
  <si>
    <t>10:44 p.m.</t>
  </si>
  <si>
    <t>Mickys Burgers</t>
  </si>
  <si>
    <t>10:21 p.m.</t>
  </si>
  <si>
    <t>Romario - Cañitas</t>
  </si>
  <si>
    <t>La Payada - Palermo</t>
  </si>
  <si>
    <t>9:11 p.m.</t>
  </si>
  <si>
    <t>Open Market, AV santa Fe 3219 (935)</t>
  </si>
  <si>
    <t>Jevi, av. Santa Fe 3152</t>
  </si>
  <si>
    <t>Postres McDonald's - CHE</t>
  </si>
  <si>
    <t>CLH - McDonald's Av. Gral. Las Heras 3215</t>
  </si>
  <si>
    <t>Salimos Fuerte, Plaza Italia</t>
  </si>
  <si>
    <t>Dean &amp; Dennys - palermo Pacifico</t>
  </si>
  <si>
    <t>Maru Botana -Palermo</t>
  </si>
  <si>
    <t>John John Burger - Mario Bravo</t>
  </si>
  <si>
    <t>DIA Envío Rápido, Almagro</t>
  </si>
  <si>
    <t>Craft Vegan Bakery, Palermo</t>
  </si>
  <si>
    <t>Izakaya By Sushi - Coronel Diaz</t>
  </si>
  <si>
    <t>Dean &amp; Dennys - Barrio Norte</t>
  </si>
  <si>
    <t>Burger Couple - La Cupeteria</t>
  </si>
  <si>
    <t>3:37 a.m.</t>
  </si>
  <si>
    <t>Burger King Reina</t>
  </si>
  <si>
    <t>3:18 a.m.</t>
  </si>
  <si>
    <t>2:43 a.m.</t>
  </si>
  <si>
    <t>2:20 a.m.</t>
  </si>
  <si>
    <t>1:53 a.m.</t>
  </si>
  <si>
    <t>Pal Karajo</t>
  </si>
  <si>
    <t>1:34 a.m.</t>
  </si>
  <si>
    <t>4:40 a.m.</t>
  </si>
  <si>
    <t>4:17 a.m.</t>
  </si>
  <si>
    <t>4:03 a.m.</t>
  </si>
  <si>
    <t>Jevi, Av. Santa Fe 3152</t>
  </si>
  <si>
    <t>Chicken Chill - Pacifico</t>
  </si>
  <si>
    <t>DIA</t>
  </si>
  <si>
    <t>MES</t>
  </si>
  <si>
    <t>MES TEXTO</t>
  </si>
  <si>
    <t>TARIFA</t>
  </si>
  <si>
    <t>PROPINA</t>
  </si>
  <si>
    <t>DIA TEXTO</t>
  </si>
  <si>
    <t>RAPPI RECOMPENSA</t>
  </si>
  <si>
    <t>efectivo</t>
  </si>
  <si>
    <t>10:01 p.m.</t>
  </si>
  <si>
    <t>Casa Paradiso</t>
  </si>
  <si>
    <t>9:28 p.m.</t>
  </si>
  <si>
    <t>9:07 p.m.</t>
  </si>
  <si>
    <t>8:39 p.m.</t>
  </si>
  <si>
    <t>8:24 p.m.</t>
  </si>
  <si>
    <t>7:42 p.m.</t>
  </si>
  <si>
    <t>6:31 p.m.</t>
  </si>
  <si>
    <t>KFC Pueyrredón</t>
  </si>
  <si>
    <t>10:54 p.m.</t>
  </si>
  <si>
    <t>KFC - Alto Palermo</t>
  </si>
  <si>
    <t>10:37 p.m.</t>
  </si>
  <si>
    <t>Rapanui - Malabia</t>
  </si>
  <si>
    <t>Carrefour Express, Market Vid (150)</t>
  </si>
  <si>
    <t>Carrefour, Scalabrini Ortiz (215)</t>
  </si>
  <si>
    <t xml:space="preserve">Disco, Santa Fe (22) </t>
  </si>
  <si>
    <t>11:46 p.m.</t>
  </si>
  <si>
    <t>11:11 p.m.</t>
  </si>
  <si>
    <t>10:52 p.m.</t>
  </si>
  <si>
    <t>Tufic</t>
  </si>
  <si>
    <t>10:40 p.m.</t>
  </si>
  <si>
    <t>10:15 p.m.</t>
  </si>
  <si>
    <t>9:43 p.m.</t>
  </si>
  <si>
    <t>KFC Pueyrredon</t>
  </si>
  <si>
    <t>3:41 a.m.</t>
  </si>
  <si>
    <t>El King Bar Pool</t>
  </si>
  <si>
    <t>3:11 a.m.</t>
  </si>
  <si>
    <t>2:45 a.m.</t>
  </si>
  <si>
    <t>Kremowy - Soler</t>
  </si>
  <si>
    <t>2:28 a.m.</t>
  </si>
  <si>
    <t>2:05 a.m.</t>
  </si>
  <si>
    <t>Chévere Food</t>
  </si>
  <si>
    <t>1:51 a.m.</t>
  </si>
  <si>
    <t>Burger King - Once</t>
  </si>
  <si>
    <t>FarmaPlus, Barrio Norte</t>
  </si>
  <si>
    <t>The Best, Corrientes I</t>
  </si>
  <si>
    <t>5:33 p.m.</t>
  </si>
  <si>
    <t>4:44 p.m.</t>
  </si>
  <si>
    <t>10:36 a.m.</t>
  </si>
  <si>
    <t>Las Medialunas</t>
  </si>
  <si>
    <t>10:16 a.m.</t>
  </si>
  <si>
    <t>Guber Patisserie</t>
  </si>
  <si>
    <t>10:05 a.m.</t>
  </si>
  <si>
    <t>9:27 a.m.</t>
  </si>
  <si>
    <t>9:01 a.m.</t>
  </si>
  <si>
    <t>8:31 a.m.</t>
  </si>
  <si>
    <t>8:07 a.m.</t>
  </si>
  <si>
    <t>7:24 a.m.</t>
  </si>
  <si>
    <t>Green Eat - Abasto Plaza</t>
  </si>
  <si>
    <t>Rappi Favor, Bs As CABA (Microcentro)</t>
  </si>
  <si>
    <t>354 - Express Carrefour Parana 1053</t>
  </si>
  <si>
    <t>Guber Patisserie Recoleta</t>
  </si>
  <si>
    <t>Tienda de Café - Botanico</t>
  </si>
  <si>
    <t>La Mantequeria - Las Heras</t>
  </si>
  <si>
    <t>Burger King - Ayacucho</t>
  </si>
  <si>
    <t>11:39 p.m.</t>
  </si>
  <si>
    <t>11:08 p.m.</t>
  </si>
  <si>
    <t>Voraz</t>
  </si>
  <si>
    <t>10:45 p.m.</t>
  </si>
  <si>
    <t>10:33 p.m.</t>
  </si>
  <si>
    <t>10:00 p.m.</t>
  </si>
  <si>
    <t>9:36 p.m.</t>
  </si>
  <si>
    <t>9:10 p.m.</t>
  </si>
  <si>
    <t>8:27 p.m.</t>
  </si>
  <si>
    <t>Fugazi Pizza</t>
  </si>
  <si>
    <t>7:17 p.m.</t>
  </si>
  <si>
    <t>Pellegrino</t>
  </si>
  <si>
    <t>6:59 p.m.</t>
  </si>
  <si>
    <t>KFC - Pueyrredón</t>
  </si>
  <si>
    <t>6:04 p.m.</t>
  </si>
  <si>
    <t>3:04 p.m.</t>
  </si>
  <si>
    <t>2:30 p.m.</t>
  </si>
  <si>
    <t>2:13 p.m.</t>
  </si>
  <si>
    <t>CFL - McDonald's Cabildo y F.Lacroze</t>
  </si>
  <si>
    <t>Pizzería Rincónada</t>
  </si>
  <si>
    <t>Chemuzza - Godoy Cruz</t>
  </si>
  <si>
    <t>SF5 - McDonald's Av Santa Fe 4601</t>
  </si>
  <si>
    <t>Burger King - Ayacucho Turbo</t>
  </si>
  <si>
    <t>Mi Gusto - Villa Crespo</t>
  </si>
  <si>
    <t>Sultan Shawarma Comida Arabe Jeronimo Salguero 348</t>
  </si>
  <si>
    <t>AB2 - McDonald's Abasto corrientes 3247 AUTOMAC</t>
  </si>
  <si>
    <t>10:19 p.m.</t>
  </si>
  <si>
    <t>9:27 p.m.</t>
  </si>
  <si>
    <t>Olivino Empanadas</t>
  </si>
  <si>
    <t>9:02 p.m.</t>
  </si>
  <si>
    <t>La Americana</t>
  </si>
  <si>
    <t>4:34 p.m.</t>
  </si>
  <si>
    <t>4:06 p.m.</t>
  </si>
  <si>
    <t>3:56 p.m.</t>
  </si>
  <si>
    <t>3:23 p.m.</t>
  </si>
  <si>
    <t>2:53 p.m.</t>
  </si>
  <si>
    <t>Salgado Alimentos</t>
  </si>
  <si>
    <t>1:35 p.m.</t>
  </si>
  <si>
    <t>12:58 p.m.</t>
  </si>
  <si>
    <t>La Vicca - Cabrera</t>
  </si>
  <si>
    <t>9:52 a.m.</t>
  </si>
  <si>
    <t>8:48 a.m.</t>
  </si>
  <si>
    <t>Chemuzza - Once</t>
  </si>
  <si>
    <t>2:09 a.m.</t>
  </si>
  <si>
    <t>Freddo - Lafinur</t>
  </si>
  <si>
    <t>1:45 a.m.</t>
  </si>
  <si>
    <t>1:09 a.m.</t>
  </si>
  <si>
    <t>Freddo - Anchorena</t>
  </si>
  <si>
    <t>Arredondo - Recoleta</t>
  </si>
  <si>
    <t>Dios Gelato</t>
  </si>
  <si>
    <t>Tempo Di Pasta -Abasto</t>
  </si>
  <si>
    <t>Sbarro - Abasto</t>
  </si>
  <si>
    <t>KFC Turbo - Pacifico</t>
  </si>
  <si>
    <t>Kansas - Araoz1</t>
  </si>
  <si>
    <t>Burguer Joint</t>
  </si>
  <si>
    <t>Cachito Premium apolinario</t>
  </si>
  <si>
    <t>Tomasso - Díaz Velez</t>
  </si>
  <si>
    <t>Doña Cocina Tipo Casa</t>
  </si>
  <si>
    <t>DIA, Juan de Garay (754)</t>
  </si>
  <si>
    <t>Seg Horario</t>
  </si>
  <si>
    <t>1:46 p.m.</t>
  </si>
  <si>
    <t>1:20 p.m.</t>
  </si>
  <si>
    <t>Vea, Larrea (10)</t>
  </si>
  <si>
    <t>Tequegusta</t>
  </si>
  <si>
    <t>11:59 a.m.</t>
  </si>
  <si>
    <t>9:50 a.m.</t>
  </si>
  <si>
    <t>9:20 a.m.</t>
  </si>
  <si>
    <t>9:04 a.m.</t>
  </si>
  <si>
    <t>Farmacity, Juncal Y AUSTRIA (64)</t>
  </si>
  <si>
    <t>Coto, Botánico (203)</t>
  </si>
  <si>
    <t>DIA Envío Rápido, Monserrat (586)</t>
  </si>
  <si>
    <t>Mostaza Deli - Av. De Mayo</t>
  </si>
  <si>
    <t>LPZ - McDonald's Av. Corrientes 1650</t>
  </si>
  <si>
    <t>5:32 a.m.</t>
  </si>
  <si>
    <t>4:36 a.m.</t>
  </si>
  <si>
    <t>4:00 a.m.</t>
  </si>
  <si>
    <t>2:50 a.m.</t>
  </si>
  <si>
    <t>2:31 a.m.</t>
  </si>
  <si>
    <t>1:12 a.m.</t>
  </si>
  <si>
    <t>Isla Negra Heladería</t>
  </si>
  <si>
    <t>12:03 a.m.</t>
  </si>
  <si>
    <t>McDonald's - CFL int</t>
  </si>
  <si>
    <t>Postres McDonald's-  CPY int</t>
  </si>
  <si>
    <t>CHE - McDonald's Av. Cordoba 3831</t>
  </si>
  <si>
    <t>Mostaza Abasto Shopping</t>
  </si>
  <si>
    <t>10:38 p.m.</t>
  </si>
  <si>
    <t>El Burladero</t>
  </si>
  <si>
    <t>9:23 p.m.</t>
  </si>
  <si>
    <t>8:12 p.m.</t>
  </si>
  <si>
    <t>7:35 p.m.</t>
  </si>
  <si>
    <t>Crazy Cheese</t>
  </si>
  <si>
    <t>7:20 p.m.</t>
  </si>
  <si>
    <t>ACO - McDonald's</t>
  </si>
  <si>
    <t>6:52 p.m.</t>
  </si>
  <si>
    <t>Tequeups</t>
  </si>
  <si>
    <t>6:18 p.m.</t>
  </si>
  <si>
    <t>Coto, 091 - Abasto</t>
  </si>
  <si>
    <t>5:49 p.m.</t>
  </si>
  <si>
    <t>5:10 p.m.</t>
  </si>
  <si>
    <t>4:52 p.m.</t>
  </si>
  <si>
    <t>4:35 p.m.</t>
  </si>
  <si>
    <t>4:23 p.m.</t>
  </si>
  <si>
    <t>3:49 p.m.</t>
  </si>
  <si>
    <t>Brothers Express</t>
  </si>
  <si>
    <t>3:22 p.m.</t>
  </si>
  <si>
    <t>3:03 p.m.</t>
  </si>
  <si>
    <t>EFECTIVO</t>
  </si>
  <si>
    <t>MONTO EFECTIVO</t>
  </si>
  <si>
    <t>Jevi, Rivadavia 4095</t>
  </si>
  <si>
    <t>La Juvenil - Almagro</t>
  </si>
  <si>
    <t>Primo Pizza y Empanadas</t>
  </si>
  <si>
    <t>El Sanjuanino - Barrio Norte</t>
  </si>
  <si>
    <t>Demashk Charcas -</t>
  </si>
  <si>
    <t>8:14 p.m.</t>
  </si>
  <si>
    <t>7:36 p.m.</t>
  </si>
  <si>
    <t>6:54 p.m.</t>
  </si>
  <si>
    <t>5:57 p.m.</t>
  </si>
  <si>
    <t>5:25 p.m.</t>
  </si>
  <si>
    <t>Tequetok</t>
  </si>
  <si>
    <t>4:51 p.m.</t>
  </si>
  <si>
    <t>Coto, 61 - Once</t>
  </si>
  <si>
    <t>2:09 p.m.</t>
  </si>
  <si>
    <t>Tempo Di Pasta</t>
  </si>
  <si>
    <t>1:30 p.m.</t>
  </si>
  <si>
    <t>1:02 p.m.</t>
  </si>
  <si>
    <t>12:39 p.m.</t>
  </si>
  <si>
    <t>7:37 a.m.</t>
  </si>
  <si>
    <t>Turbo, Monserrat</t>
  </si>
  <si>
    <t>6:51 a.m.</t>
  </si>
  <si>
    <t>McDonald's LIM</t>
  </si>
  <si>
    <t>McDonald's - LEZ</t>
  </si>
  <si>
    <t>5:54 a.m.</t>
  </si>
  <si>
    <t>5:35 a.m.</t>
  </si>
  <si>
    <t>DIA Envío Rápido, San cristobal (912)</t>
  </si>
  <si>
    <t>Starbucks Parque Patricios</t>
  </si>
  <si>
    <t>Casa Vedra, Medialunas</t>
  </si>
  <si>
    <t>Tempo Di Pasta - Abasto</t>
  </si>
  <si>
    <t>Tequeños Mochima</t>
  </si>
  <si>
    <t>The Food Truck Store - Las heras</t>
  </si>
  <si>
    <t>Mostaza Deli - Callao</t>
  </si>
  <si>
    <t>11:37 p.m.</t>
  </si>
  <si>
    <t>9:00 p.m.</t>
  </si>
  <si>
    <t>8:11 p.m.</t>
  </si>
  <si>
    <t>7:47 p.m.</t>
  </si>
  <si>
    <t>7:11 p.m.</t>
  </si>
  <si>
    <t>6:56 p.m.</t>
  </si>
  <si>
    <t>6:28 p.m.</t>
  </si>
  <si>
    <t>5:12 p.m.</t>
  </si>
  <si>
    <t>Nicolo - Ecuador</t>
  </si>
  <si>
    <t>Bibi's Burgers</t>
  </si>
  <si>
    <t>La Causa Nikkei - Cerviño</t>
  </si>
  <si>
    <t>ID</t>
  </si>
  <si>
    <t>Subway - Pueyrredon</t>
  </si>
  <si>
    <t>TequeGusta</t>
  </si>
  <si>
    <t>Carrefour, Recolecta (116)</t>
  </si>
  <si>
    <t>kfc - Pueyrredon</t>
  </si>
  <si>
    <t>Subway - Palermo Av. Santa Fe 4974</t>
  </si>
  <si>
    <t>11.33 a.m.</t>
  </si>
  <si>
    <t>Proteina Honduras 4681</t>
  </si>
  <si>
    <t>Lluvia</t>
  </si>
  <si>
    <t>3:20 p.m.</t>
  </si>
  <si>
    <t>2:32 p.m.</t>
  </si>
  <si>
    <t>1:59 p.m.</t>
  </si>
  <si>
    <t>12:51 p.m.</t>
  </si>
  <si>
    <t>El Viejo Jose Martin</t>
  </si>
  <si>
    <t>Sushi Crunch - Palermo</t>
  </si>
  <si>
    <t>Milanga &amp; Co - Abasto</t>
  </si>
  <si>
    <t>Las Esclavas Express</t>
  </si>
  <si>
    <t>Sbarro - Charcas</t>
  </si>
  <si>
    <t>Shami Shawarm - Pueyrredon</t>
  </si>
  <si>
    <t>10:02 p.m.</t>
  </si>
  <si>
    <t>9:52 p.m.</t>
  </si>
  <si>
    <t>8:49 p.m.</t>
  </si>
  <si>
    <t>Möoi Arenales</t>
  </si>
  <si>
    <t>8:16 p.m.</t>
  </si>
  <si>
    <t>7:53 p.m.</t>
  </si>
  <si>
    <t>Tienda de Bebidas</t>
  </si>
  <si>
    <t>7:28 p.m.</t>
  </si>
  <si>
    <t>DIA, Palermo (168)</t>
  </si>
  <si>
    <t>Salgado Alimentos - Darregueyra</t>
  </si>
  <si>
    <t>Parrilla San Cayetano</t>
  </si>
  <si>
    <t>Romario - Juncal</t>
  </si>
  <si>
    <t>DIA Envío Rápido (Cerviño)</t>
  </si>
  <si>
    <t>Open 25, Billinghurst 2014/24 (183)</t>
  </si>
  <si>
    <t>Proteina Hondura 4681</t>
  </si>
  <si>
    <t>Coto, palermo (56)</t>
  </si>
  <si>
    <t>La Malbequeria Cocina porteña - Caballito</t>
  </si>
  <si>
    <t>11:09 p.m.</t>
  </si>
  <si>
    <t>10:36 p.m.</t>
  </si>
  <si>
    <t>Turbo, Lavalle</t>
  </si>
  <si>
    <t>10:24 p.m.</t>
  </si>
  <si>
    <t>9:32 p.m.</t>
  </si>
  <si>
    <t>7:55 p.m.</t>
  </si>
  <si>
    <t>Rincón Norteño</t>
  </si>
  <si>
    <t>7:24 p.m.</t>
  </si>
  <si>
    <t>7:10 p.m.</t>
  </si>
  <si>
    <t>6:14 p.m.</t>
  </si>
  <si>
    <t>Monti Milas</t>
  </si>
  <si>
    <t>5:37 p.m.</t>
  </si>
  <si>
    <t>4:46 p.m.</t>
  </si>
  <si>
    <t>Noah's Green Kitchen - Centro</t>
  </si>
  <si>
    <t>Cumen Cumen san Nicolas</t>
  </si>
  <si>
    <t>Carrefour, Recoleta (116)</t>
  </si>
  <si>
    <t>Freddo Turbo Cerviño</t>
  </si>
  <si>
    <t>McDonald's - CLH int</t>
  </si>
  <si>
    <t>Persicco - Salguero y cabello</t>
  </si>
  <si>
    <t>6:19 p.m.</t>
  </si>
  <si>
    <t>Rappi Favor, Bs As</t>
  </si>
  <si>
    <t>5:30 p.m.</t>
  </si>
  <si>
    <t>Burger King - Fa</t>
  </si>
  <si>
    <t>4:21 p.m.</t>
  </si>
  <si>
    <t>La Causa Nikkei</t>
  </si>
  <si>
    <t>2:36 p.m.</t>
  </si>
  <si>
    <t>Ajuste de ganancia por auditorias</t>
  </si>
  <si>
    <t>10:43 p.m.</t>
  </si>
  <si>
    <t>10:34 p.m.</t>
  </si>
  <si>
    <t>10:17 p.m.</t>
  </si>
  <si>
    <t>9:55 p.m.</t>
  </si>
  <si>
    <t>8:32 p.m.</t>
  </si>
  <si>
    <t>6:35 p.m.</t>
  </si>
  <si>
    <t>5:28 p.m.</t>
  </si>
  <si>
    <t>Monster Cookie</t>
  </si>
  <si>
    <t>365, Las Heras 2400</t>
  </si>
  <si>
    <t>Tea Connection - Uriburu</t>
  </si>
  <si>
    <t>SushiPop - Coronel Diaz</t>
  </si>
  <si>
    <t>Pollos Trak - Bulnes</t>
  </si>
  <si>
    <t>The Food Truck Store - Palermo</t>
  </si>
  <si>
    <t>5:12 a.m.</t>
  </si>
  <si>
    <t>4:53 a.m.</t>
  </si>
  <si>
    <t>4:42 a.m.</t>
  </si>
  <si>
    <t>Kentucky - Godo</t>
  </si>
  <si>
    <t>4:09 a.m.</t>
  </si>
  <si>
    <t>3:44 a.m.</t>
  </si>
  <si>
    <t>2:42 a.m.</t>
  </si>
  <si>
    <t>2:24 a.m.</t>
  </si>
  <si>
    <t>Rapanui - Arenales</t>
  </si>
  <si>
    <t>McDonald's - AR5 int</t>
  </si>
  <si>
    <t>McDonald's - Col int</t>
  </si>
  <si>
    <t>Burger King Reino Vegetal -plaza Italia</t>
  </si>
  <si>
    <t>Turbo Market, Palermo 1</t>
  </si>
  <si>
    <t>Fly Morfi - Güemes</t>
  </si>
  <si>
    <t>3:31 a. m.</t>
  </si>
  <si>
    <t>2:17 a. m.</t>
  </si>
  <si>
    <t>1:28 a. m.</t>
  </si>
  <si>
    <t>1:05 a. m.</t>
  </si>
  <si>
    <t>12:43 a. m.</t>
  </si>
  <si>
    <t>Burger King – P. Italia</t>
  </si>
  <si>
    <t>Tomasso – Güemes</t>
  </si>
  <si>
    <t>Tomasso - Guemes</t>
  </si>
  <si>
    <t>Open 25, BILLINGHURST 2014/24 (183)</t>
  </si>
  <si>
    <t>McDonald's – SF5 int</t>
  </si>
  <si>
    <t>11:24 p.m.</t>
  </si>
  <si>
    <t>Wendy s - Abasto</t>
  </si>
  <si>
    <t>11:24 p. m.</t>
  </si>
  <si>
    <t>10:31 p. m.</t>
  </si>
  <si>
    <t>10:16 p. m.</t>
  </si>
  <si>
    <t>07/09/2025</t>
  </si>
  <si>
    <t>EK2 - McDonald's Av San Juan 2826</t>
  </si>
  <si>
    <t>Burguer King - Once</t>
  </si>
  <si>
    <t>10:01 a.m.</t>
  </si>
  <si>
    <t>Starbucks Mansilla</t>
  </si>
  <si>
    <t>9:43 a.m.</t>
  </si>
  <si>
    <t>9:06 a.m.</t>
  </si>
  <si>
    <t>Starbucks Alto Palermo</t>
  </si>
  <si>
    <t>8:28 a.m.</t>
  </si>
  <si>
    <t>7:49 a.m.</t>
  </si>
  <si>
    <t>La Mantequeria</t>
  </si>
  <si>
    <t>09/09/2025</t>
  </si>
  <si>
    <t>Carrefour Express Market Mercado (118)</t>
  </si>
  <si>
    <t>11:43 p.m.</t>
  </si>
  <si>
    <t>10:55 p.m.</t>
  </si>
  <si>
    <t>10:10 p.m.</t>
  </si>
  <si>
    <t>8:55 p.m.</t>
  </si>
  <si>
    <t>10/09/2025</t>
  </si>
  <si>
    <t>McDonald's Turbo - CLH</t>
  </si>
  <si>
    <t>CLH – McDonald s Av. Gral. Las Heras 3215</t>
  </si>
  <si>
    <t>Pollos Trak – Bulnes</t>
  </si>
  <si>
    <t>McDonald's – CLH int</t>
  </si>
  <si>
    <t>Empanadas del oso</t>
  </si>
  <si>
    <t>Salimo Fuerte, Barrio Norte</t>
  </si>
  <si>
    <t>Rappi Favor, Bs As CABA (Caballito)</t>
  </si>
  <si>
    <t>11:45 p.m.</t>
  </si>
  <si>
    <t>Subway - Pueyrredón</t>
  </si>
  <si>
    <t>1:38 a.m.</t>
  </si>
  <si>
    <t>1:03 a.m.</t>
  </si>
  <si>
    <t>12:43 a.m.</t>
  </si>
  <si>
    <t>12:27 a.m.</t>
  </si>
  <si>
    <t>12:09 a.m.</t>
  </si>
  <si>
    <t>Burger King - Gallardo</t>
  </si>
  <si>
    <t>Burguer King - Gallardo</t>
  </si>
  <si>
    <t>11/09/2025</t>
  </si>
  <si>
    <t>3:45 a.m.</t>
  </si>
  <si>
    <t>3:08 a.m.</t>
  </si>
  <si>
    <t>2:35 a.m.</t>
  </si>
  <si>
    <t>2:02 a.m.</t>
  </si>
  <si>
    <t>1:52 a.m.</t>
  </si>
  <si>
    <t>12:50 a.m.</t>
  </si>
  <si>
    <t>12:36 a.m.</t>
  </si>
  <si>
    <t>12/09/2025</t>
  </si>
  <si>
    <t>McDonald's - SFC int</t>
  </si>
  <si>
    <t>Open 25, AV. SCALABRINI ORTIZ 2596 (167)</t>
  </si>
  <si>
    <t>CPY - McDonald's Scalabrini Ortiz 2034</t>
  </si>
  <si>
    <t>9:15 p.m.</t>
  </si>
  <si>
    <t>3:29 p.m.</t>
  </si>
  <si>
    <t>2:57 p.m.</t>
  </si>
  <si>
    <t>1:28 p.m.</t>
  </si>
  <si>
    <t>Poked - Palermo</t>
  </si>
  <si>
    <t>1:01 p.m.</t>
  </si>
  <si>
    <t>12:27 p.m.</t>
  </si>
  <si>
    <t>11:40 a.m.</t>
  </si>
  <si>
    <t>Amasadero - Palermo</t>
  </si>
  <si>
    <t>11:21 a.m.</t>
  </si>
  <si>
    <t>10:21 a.m.</t>
  </si>
  <si>
    <t>9:56 a.m.</t>
  </si>
  <si>
    <t>14/09/2025</t>
  </si>
  <si>
    <t>Kentucky - Rural Thames</t>
  </si>
  <si>
    <t>Romario - Ugarteche</t>
  </si>
  <si>
    <t>Duran  almacen de bebidas</t>
  </si>
  <si>
    <t>Cúmen Cúmen - Palermo</t>
  </si>
  <si>
    <t>DIA, Av Santa Fe (1091)</t>
  </si>
  <si>
    <t>Wendy's - Distrito Arcos</t>
  </si>
  <si>
    <t>SF2 - McDonald's Avda Santa Fe 4280</t>
  </si>
  <si>
    <t>La Mantequería -Gallo</t>
  </si>
  <si>
    <t>La Mantequería - Gallo</t>
  </si>
  <si>
    <t>12.04 a.m.</t>
  </si>
  <si>
    <t>1:28 p. m.</t>
  </si>
  <si>
    <t>1:01 p. m.</t>
  </si>
  <si>
    <t>Romario – Beruti</t>
  </si>
  <si>
    <t>12:26 p. m.</t>
  </si>
  <si>
    <t>11:26 a. m.</t>
  </si>
  <si>
    <t>KFC – Pueyrredón</t>
  </si>
  <si>
    <t>10:57 a. m.</t>
  </si>
  <si>
    <t>10:20 a. m.</t>
  </si>
  <si>
    <t>10:11 a. m.</t>
  </si>
  <si>
    <t>9:47 a. m.</t>
  </si>
  <si>
    <t>9:35 a. m.</t>
  </si>
  <si>
    <t>Mooi – Recoleta</t>
  </si>
  <si>
    <t>9:15 a. m.</t>
  </si>
  <si>
    <t>Farmacity, Salguero</t>
  </si>
  <si>
    <t>8:52 a. m.</t>
  </si>
  <si>
    <t>Starbucks Cabello</t>
  </si>
  <si>
    <t>8:43 a. m.</t>
  </si>
  <si>
    <t>8:07 a. m.</t>
  </si>
  <si>
    <t>Green Eat – Billinghurst</t>
  </si>
  <si>
    <t>7:31 a. m.</t>
  </si>
  <si>
    <t>Kentucky Café – Palermo</t>
  </si>
  <si>
    <t>16/09/2025</t>
  </si>
  <si>
    <t>Salumeria Ragni Recoleta</t>
  </si>
  <si>
    <t>McDonald's Desayuno -LAR int</t>
  </si>
  <si>
    <t>11:28 a. m.</t>
  </si>
  <si>
    <t>Morapp, Buenos Aires</t>
  </si>
  <si>
    <t>17/09/2025</t>
  </si>
  <si>
    <t>10:13 a. m.</t>
  </si>
  <si>
    <t>9:52 a. m.</t>
  </si>
  <si>
    <t>9:33 a. m.</t>
  </si>
  <si>
    <t>Starbucks Yatch</t>
  </si>
  <si>
    <t>9:07 a. m.</t>
  </si>
  <si>
    <t>8:47 a. m.</t>
  </si>
  <si>
    <t>8:30 a. m.</t>
  </si>
  <si>
    <t>Mostaza Deli</t>
  </si>
  <si>
    <t>8:08 a. m.</t>
  </si>
  <si>
    <t>McDonald's LPZ</t>
  </si>
  <si>
    <t>Starbucks Callao y Santa Fe</t>
  </si>
  <si>
    <t>Starbucks Conquistador</t>
  </si>
  <si>
    <t>LAV - McDonald's Lavalle</t>
  </si>
  <si>
    <t>8:44 p. m.</t>
  </si>
  <si>
    <t>18/09/2025</t>
  </si>
  <si>
    <t>8:19 p. m.</t>
  </si>
  <si>
    <t>7:26 p. m.</t>
  </si>
  <si>
    <t>6:51 p. m.</t>
  </si>
  <si>
    <t>Turbo, San Martín</t>
  </si>
  <si>
    <t>6:28 p. m.</t>
  </si>
  <si>
    <t>5:37 p. m.</t>
  </si>
  <si>
    <t>5:17 p. m.</t>
  </si>
  <si>
    <t>4:56 p. m.</t>
  </si>
  <si>
    <t>2:24 p. m.</t>
  </si>
  <si>
    <t>Il Quotidiano</t>
  </si>
  <si>
    <t>1:30 p. m.</t>
  </si>
  <si>
    <t>Mooi - Recoleta</t>
  </si>
  <si>
    <t>1:19 p. m.</t>
  </si>
  <si>
    <t>1:10 p. m.</t>
  </si>
  <si>
    <t>Subway - Recoleta</t>
  </si>
  <si>
    <t>12:46 p. m.</t>
  </si>
  <si>
    <t>12:25 p. m.</t>
  </si>
  <si>
    <t>Mostaza - Callao</t>
  </si>
  <si>
    <t>11:29 a. m.</t>
  </si>
  <si>
    <t>10:56 a. m.</t>
  </si>
  <si>
    <t>10:37 a. m.</t>
  </si>
  <si>
    <t>9:24 a. m.</t>
  </si>
  <si>
    <t>McCafé - FLA</t>
  </si>
  <si>
    <t>8:53 a. m.</t>
  </si>
  <si>
    <t>8:28 a. m.</t>
  </si>
  <si>
    <t>7:59 a. m.</t>
  </si>
  <si>
    <t>McDonald's - MED</t>
  </si>
  <si>
    <t>La Fachada - Araoz</t>
  </si>
  <si>
    <t>SushiPop - Scalabrini</t>
  </si>
  <si>
    <t>DIA Envío Rápido - Villa Crespo (396)</t>
  </si>
  <si>
    <t>DIA Envío Rápido, Villa Crespo (396)</t>
  </si>
  <si>
    <t>Tomasso Turbo - Guardia Vieja</t>
  </si>
  <si>
    <t>Rappi Favor, Bs. As. CABA (Villa Crespo/Chacarita)</t>
  </si>
  <si>
    <t>, Bs. As. CABA (Balvanera/Once)</t>
  </si>
  <si>
    <t>Melo</t>
  </si>
  <si>
    <t>4090 Burger &amp; Fries - Balvanera</t>
  </si>
  <si>
    <t>Mostaza Deli - Florida</t>
  </si>
  <si>
    <t>The Coffee Store - Av Cordoba</t>
  </si>
  <si>
    <t>Rappi Favor, Bs. As. CABA (Balvanera/Once)</t>
  </si>
  <si>
    <t>9:15 p. m.</t>
  </si>
  <si>
    <t>28/09/2025</t>
  </si>
  <si>
    <t>7:33 p. m.</t>
  </si>
  <si>
    <t>6:39 p. m.</t>
  </si>
  <si>
    <t>6:19 p. m.</t>
  </si>
  <si>
    <t>5:39 p. m.</t>
  </si>
  <si>
    <t>Voraz - Callao</t>
  </si>
  <si>
    <t>5:21 p. m.</t>
  </si>
  <si>
    <t>5:05 p. m.</t>
  </si>
  <si>
    <t>4:23 p. m.</t>
  </si>
  <si>
    <t>3:29 p. m.</t>
  </si>
  <si>
    <t>2:02 p. m.</t>
  </si>
  <si>
    <t>Coto, 61-Once</t>
  </si>
  <si>
    <t>DIA Envío Rápido,  Cerviño (523)</t>
  </si>
  <si>
    <t>DIA Envío Rápido, Almagro (528)</t>
  </si>
  <si>
    <t>Dean &amp; Dennys - Recoleta</t>
  </si>
  <si>
    <t>Sensu Patio Bullrich</t>
  </si>
  <si>
    <t>My Bagel - Store Once</t>
  </si>
  <si>
    <t>10:14 a. m.</t>
  </si>
  <si>
    <t>29/09/2025</t>
  </si>
  <si>
    <t>9:30 a. m.</t>
  </si>
  <si>
    <t>9:04 a. m.</t>
  </si>
  <si>
    <t>8:44 a. m.</t>
  </si>
  <si>
    <t>8:18 a. m.</t>
  </si>
  <si>
    <t>12:13 p. m.</t>
  </si>
  <si>
    <t>11:36 a. m.</t>
  </si>
  <si>
    <t>10:33 a. m.</t>
  </si>
  <si>
    <t>McCafé – CHE</t>
  </si>
  <si>
    <t>Noah's Green Kitchen - Palermo II</t>
  </si>
  <si>
    <t>Tea Connection - scalabrini ortiz</t>
  </si>
  <si>
    <t>Rappi Favor, Bs As (Villa Crespo/Chacarita)</t>
  </si>
  <si>
    <t>Open 25, JD PERON 4296 (338)</t>
  </si>
  <si>
    <t>La Argentina – Arenales</t>
  </si>
  <si>
    <t>SFC – McDonald's Santa Fe y Callao v. santa Fe 1780</t>
  </si>
  <si>
    <t>SFC – McDonald's Desayunos - SFC int</t>
  </si>
  <si>
    <t>11:03 a. m.</t>
  </si>
  <si>
    <t>9:34 a. m.</t>
  </si>
  <si>
    <t>8:37 a. m.</t>
  </si>
  <si>
    <t>8:16 a. m.</t>
  </si>
  <si>
    <t>01/10/2025</t>
  </si>
  <si>
    <t>Pan de Queso Brasil - Microcentro</t>
  </si>
  <si>
    <t>Dia Balvanera 455 (Express)</t>
  </si>
  <si>
    <t>Starbucks Tribunales</t>
  </si>
  <si>
    <t>Compañía De Golosinas Callao</t>
  </si>
  <si>
    <t>10:57 p.m.</t>
  </si>
  <si>
    <t>Rapanui - Recoleta</t>
  </si>
  <si>
    <t>9:42 p.m.</t>
  </si>
  <si>
    <t>8:57 p.m.</t>
  </si>
  <si>
    <t>7:13 p.m.</t>
  </si>
  <si>
    <t>6:23 p.m.</t>
  </si>
  <si>
    <t>6:07 p.m.</t>
  </si>
  <si>
    <t>5:38 p.m.</t>
  </si>
  <si>
    <t>5:16 p.m.</t>
  </si>
  <si>
    <t>3:06 p.m.</t>
  </si>
  <si>
    <t>11:32 a.m.</t>
  </si>
  <si>
    <t>11:01 a.m.</t>
  </si>
  <si>
    <t>9:58 a.m.</t>
  </si>
  <si>
    <t>6:38 a.m.</t>
  </si>
  <si>
    <t>5:51 a.m.</t>
  </si>
  <si>
    <t>5:11 a.m.</t>
  </si>
  <si>
    <t>Vint's Bebidas</t>
  </si>
  <si>
    <t>05/10/2025</t>
  </si>
  <si>
    <t>McDonald's - FLA</t>
  </si>
  <si>
    <t>Kentucky - Paraguay</t>
  </si>
  <si>
    <t>SushiPop - Downtown</t>
  </si>
  <si>
    <t>Lo de Jesús - Barrio Norte</t>
  </si>
  <si>
    <t>Cumen Cumen Sann Nicolas</t>
  </si>
  <si>
    <t>La Mazza</t>
  </si>
  <si>
    <t>Mi Gusto - Balvanera</t>
  </si>
  <si>
    <t>Green Eat - Billinghurst</t>
  </si>
  <si>
    <t>Prosciutto Ristorante -Balvanera</t>
  </si>
  <si>
    <t>DIA Envío Rápido Constitucion (363)</t>
  </si>
  <si>
    <t>Panadería Venezonala Galipan</t>
  </si>
  <si>
    <t>Mostaza Deli - Once</t>
  </si>
  <si>
    <t>Bebidas Express, Centenera</t>
  </si>
  <si>
    <t>SushiPop</t>
  </si>
  <si>
    <t>10:35 p.m.</t>
  </si>
  <si>
    <t>9:37 p.m.</t>
  </si>
  <si>
    <t>9:18 p.m.</t>
  </si>
  <si>
    <t>7:40 p.m.</t>
  </si>
  <si>
    <t>7:00 p.m.</t>
  </si>
  <si>
    <t>6:22 p.m.</t>
  </si>
  <si>
    <t>Puppis Gallardo</t>
  </si>
  <si>
    <t>5:05 p.m.</t>
  </si>
  <si>
    <t>1:12 p.m.</t>
  </si>
  <si>
    <t>12:33 p.m.</t>
  </si>
  <si>
    <t>11:16 a.m.</t>
  </si>
  <si>
    <t>06/10/2025</t>
  </si>
  <si>
    <t>La Rôtisserie Des Saveurs</t>
  </si>
  <si>
    <t>II Quotidiano - Alto Palermo</t>
  </si>
  <si>
    <t>DIA Envío Rápido, Cerviño (523)</t>
  </si>
  <si>
    <t>Hatsu sushi - Barrio Norte</t>
  </si>
  <si>
    <t>La Vicca - Gascon</t>
  </si>
  <si>
    <t>McDonald's Turbo - Ar4 Int</t>
  </si>
  <si>
    <t>Starbucks Av La Plata</t>
  </si>
  <si>
    <t>Cumen Cumen - San Nicolas</t>
  </si>
  <si>
    <t>1:58 a.m.</t>
  </si>
  <si>
    <t>1:37 a.m.</t>
  </si>
  <si>
    <t>1:10 a.m.</t>
  </si>
  <si>
    <t>07/10/2025</t>
  </si>
  <si>
    <t>Tomasso - Mansilla</t>
  </si>
  <si>
    <t>Tomasso - Marcelo T</t>
  </si>
  <si>
    <t>9:44 p.m.</t>
  </si>
  <si>
    <t>Möoi - Recoleta</t>
  </si>
  <si>
    <t>9:05 p.m.</t>
  </si>
  <si>
    <t>6:33 p.m.</t>
  </si>
  <si>
    <t>Kiosco Robert</t>
  </si>
  <si>
    <t>5:50 p.m.</t>
  </si>
  <si>
    <t>4:38 p.m.</t>
  </si>
  <si>
    <t>09/10/2025</t>
  </si>
  <si>
    <t>Koko Bao Bar - Centro</t>
  </si>
  <si>
    <t>Che Sushi - Barrio Norte</t>
  </si>
  <si>
    <t>Farmacia Scienza, Guemes</t>
  </si>
  <si>
    <t>Disco, Santa Fe (22)</t>
  </si>
  <si>
    <t>10:31 p.m.</t>
  </si>
  <si>
    <t>8:56 p.m.</t>
  </si>
  <si>
    <t>Don Shawarma</t>
  </si>
  <si>
    <t>Melo, The Food</t>
  </si>
  <si>
    <t>7:52 p.m.</t>
  </si>
  <si>
    <t>6:42 a.m.</t>
  </si>
  <si>
    <t>6:16 a.m.</t>
  </si>
  <si>
    <t>6:02 a.m.</t>
  </si>
  <si>
    <t>5:24 a.m.</t>
  </si>
  <si>
    <t>Break Palermo</t>
  </si>
  <si>
    <t>4:38 a.m.</t>
  </si>
  <si>
    <t>3:25 a.m.</t>
  </si>
  <si>
    <t>1:55 a.m.</t>
  </si>
  <si>
    <t>1:40 a.m.</t>
  </si>
  <si>
    <t>1:14 a.m.</t>
  </si>
  <si>
    <t>Turbo, Forest</t>
  </si>
  <si>
    <t>12:53 a.m.</t>
  </si>
  <si>
    <t>Salimos Fuerte</t>
  </si>
  <si>
    <t>12:30 a.m.</t>
  </si>
  <si>
    <t>12:16 a.m.</t>
  </si>
  <si>
    <t>10/10/2025</t>
  </si>
  <si>
    <t>Burguer King - Ayacucho</t>
  </si>
  <si>
    <t>Gyros</t>
  </si>
  <si>
    <t>The Food Truck Store - Las Heras</t>
  </si>
  <si>
    <t>Subway - Palermo Av santa Fe 4974</t>
  </si>
  <si>
    <t>Chemuzza - Propizio</t>
  </si>
  <si>
    <t>Nawebona</t>
  </si>
  <si>
    <t>El Gigante del Sándwich</t>
  </si>
  <si>
    <t>McDonald's - CYM int</t>
  </si>
  <si>
    <t>Freddo - Libertador - Turbo</t>
  </si>
  <si>
    <t>11:53 p.m.</t>
  </si>
  <si>
    <t>La Licoreria BsAs</t>
  </si>
  <si>
    <t>11/10/2025</t>
  </si>
  <si>
    <t>11:31 p.m.</t>
  </si>
  <si>
    <t>Teque Onda</t>
  </si>
  <si>
    <t>11:01 p.m.</t>
  </si>
  <si>
    <t>10:47 p.m.</t>
  </si>
  <si>
    <t>10:22 p.m.</t>
  </si>
  <si>
    <t>10:06 p.m.</t>
  </si>
  <si>
    <t>Cinépolis - Recoleta</t>
  </si>
  <si>
    <t>9:19 p.m.</t>
  </si>
  <si>
    <t>8:42 p.m.</t>
  </si>
  <si>
    <t>Zue Restaurante</t>
  </si>
  <si>
    <t>9:48 a.m.</t>
  </si>
  <si>
    <t>7:42 a.m.</t>
  </si>
  <si>
    <t>7:26 a.m.</t>
  </si>
  <si>
    <t>5:46 a.m.</t>
  </si>
  <si>
    <t>5:19 a.m.</t>
  </si>
  <si>
    <t>4:56 a.m.</t>
  </si>
  <si>
    <t>4:21 a.m.</t>
  </si>
  <si>
    <t>3:52 a.m.</t>
  </si>
  <si>
    <t>3:20 a.m.</t>
  </si>
  <si>
    <t>2:11 a.m.</t>
  </si>
  <si>
    <t>Tomasso - Güemes</t>
  </si>
  <si>
    <t>McDonald's Turbo - Col int</t>
  </si>
  <si>
    <t>SF6 - McDonald's Avda Santa Fe 3684</t>
  </si>
  <si>
    <t>Rincon norteño - Barrio Norte</t>
  </si>
  <si>
    <t>si</t>
  </si>
  <si>
    <t>Coto, Barrio Norte (80)</t>
  </si>
  <si>
    <t>SF3 - McDonald's Av Santa Fe 2468</t>
  </si>
  <si>
    <t>Seg Horario   1</t>
  </si>
  <si>
    <t>Seg Horario   2</t>
  </si>
  <si>
    <t>Seg Horario   3</t>
  </si>
  <si>
    <t>Seg Horario   4</t>
  </si>
  <si>
    <t>Seg Horario   5</t>
  </si>
  <si>
    <t>Seg Horario   6</t>
  </si>
  <si>
    <t>Seg Horario   7</t>
  </si>
  <si>
    <t>Seg Horario   8</t>
  </si>
  <si>
    <t>Seg Horario   9</t>
  </si>
  <si>
    <t>Seg Horario   10</t>
  </si>
  <si>
    <t>Seg Horario   11</t>
  </si>
  <si>
    <t>Seg Horario   12</t>
  </si>
  <si>
    <t>Miercoles</t>
  </si>
  <si>
    <t>DOBLETE</t>
  </si>
  <si>
    <t>Cantidad total Pedidios</t>
  </si>
  <si>
    <t>Mi Gusto Balvanera</t>
  </si>
  <si>
    <t>Turbo Lavalle</t>
  </si>
  <si>
    <t>Campobravo puerto Madero</t>
  </si>
  <si>
    <t>Tomasso Congreso</t>
  </si>
  <si>
    <t>Farmacity larrea</t>
  </si>
  <si>
    <t>McDonald's CHE</t>
  </si>
  <si>
    <t>McCafé CHE</t>
  </si>
  <si>
    <t>McDonald's CLH Medrano</t>
  </si>
  <si>
    <t>McDonald's RCV int</t>
  </si>
  <si>
    <t>Freddo Arenales</t>
  </si>
  <si>
    <t>Burger King Ayacucho</t>
  </si>
  <si>
    <t>Coto Botanico</t>
  </si>
  <si>
    <t>McDonald's SF3</t>
  </si>
  <si>
    <t>Carrefour Scalabrini</t>
  </si>
  <si>
    <t>El Puente Palermo</t>
  </si>
  <si>
    <t>12//09/2025</t>
  </si>
  <si>
    <t>12:29 a. m.</t>
  </si>
  <si>
    <t>McDonald's - SF6</t>
  </si>
  <si>
    <t>12/10/2025</t>
  </si>
  <si>
    <t>12:55 a. m.</t>
  </si>
  <si>
    <t>1:27 a. m.</t>
  </si>
  <si>
    <t>1:36 a. m.</t>
  </si>
  <si>
    <t>Turbo, Baez</t>
  </si>
  <si>
    <t>2:23 a. m.</t>
  </si>
  <si>
    <t>1:38 p. m.</t>
  </si>
  <si>
    <t>2:08 p. m.</t>
  </si>
  <si>
    <t>2:39 p. m.</t>
  </si>
  <si>
    <t>3:11 p. m.</t>
  </si>
  <si>
    <t>Roma del Abasto</t>
  </si>
  <si>
    <t>3:58 p. m.</t>
  </si>
  <si>
    <t>5:30 p. m.</t>
  </si>
  <si>
    <t>6:00 p. m.</t>
  </si>
  <si>
    <t>6:44 p. m.</t>
  </si>
  <si>
    <t>7:02 p. m.</t>
  </si>
  <si>
    <t>7:34 p. m.</t>
  </si>
  <si>
    <t>8:23 p. m.</t>
  </si>
  <si>
    <t>8:38 p. m.</t>
  </si>
  <si>
    <t>9:06 p. m.</t>
  </si>
  <si>
    <t>9:19 p. m.</t>
  </si>
  <si>
    <t>9:36 p. m.</t>
  </si>
  <si>
    <t>10:13 p. m.</t>
  </si>
  <si>
    <t>Doña Lola Rotisería</t>
  </si>
  <si>
    <t>10:57 p. m.</t>
  </si>
  <si>
    <t>Chicken Chill</t>
  </si>
  <si>
    <t>Mostaza Alto Palermo</t>
  </si>
  <si>
    <t>Romario Food - Ugarteche</t>
  </si>
  <si>
    <t>Fabric Sushi Cabello</t>
  </si>
  <si>
    <t>Mochica Cocina Peruana</t>
  </si>
  <si>
    <t>La Argentina - Beruti</t>
  </si>
  <si>
    <t>Palmyra Shawarma</t>
  </si>
  <si>
    <t>Açaí Brasil - Plaza Houssay</t>
  </si>
  <si>
    <t>Monster  Barrio Norte</t>
  </si>
  <si>
    <t>Burger King - Facultad</t>
  </si>
  <si>
    <t>Wok Al Fuego - Abasto</t>
  </si>
  <si>
    <t>Kentucky Turbo - Abasto</t>
  </si>
  <si>
    <t>Burguer King - P. Italia</t>
  </si>
  <si>
    <t>440909888/440909755</t>
  </si>
  <si>
    <t>10:19 p. m.</t>
  </si>
  <si>
    <t>27/10/2025</t>
  </si>
  <si>
    <t>9:41 p. m.</t>
  </si>
  <si>
    <t>7:59 p. m.</t>
  </si>
  <si>
    <t>7:31 p. m.</t>
  </si>
  <si>
    <t>7:12 p. m.</t>
  </si>
  <si>
    <t>6:32 p. m.</t>
  </si>
  <si>
    <t>6:08 p. m.</t>
  </si>
  <si>
    <t>5:22 p. m.</t>
  </si>
  <si>
    <t>4:14 p. m.</t>
  </si>
  <si>
    <t>Rincon Norteño - Cabrera</t>
  </si>
  <si>
    <t>Dalal - Palermo</t>
  </si>
  <si>
    <t>Romario - Beruti, Romario</t>
  </si>
  <si>
    <t>DIA, Av Cabildo 3460 (1100)</t>
  </si>
  <si>
    <t>Dean &amp; Dennys - Cramer</t>
  </si>
  <si>
    <t>La Cocina de Matias - Libre de gluten</t>
  </si>
  <si>
    <t>OpenFarma, Rural</t>
  </si>
  <si>
    <t>Dean &amp; Dennys - Palermo Pacifico</t>
  </si>
  <si>
    <t>Farmaplus, Wessen</t>
  </si>
  <si>
    <t>28/10/2025</t>
  </si>
  <si>
    <t>7:30 p.m.</t>
  </si>
  <si>
    <t>Malvón - Serrano</t>
  </si>
  <si>
    <t>6:45 p.m.</t>
  </si>
  <si>
    <t>5:48 p.m.</t>
  </si>
  <si>
    <t>5:27 p.m.</t>
  </si>
  <si>
    <t>5:09 p.m.</t>
  </si>
  <si>
    <t>Maru Botana - Retiro</t>
  </si>
  <si>
    <t>4:49 p.m.</t>
  </si>
  <si>
    <t>SF6 - McDonald's Avd. Santa Fe3684</t>
  </si>
  <si>
    <t>SF6 - McDonald's Avd. Santa Fe 3684</t>
  </si>
  <si>
    <t>Koi Beer &amp; Dumplings -  Mercat</t>
  </si>
  <si>
    <t>La Union Gluten Free - Guemes</t>
  </si>
  <si>
    <t>Daniel Bakery</t>
  </si>
  <si>
    <t>Farmacity, Juncal y Austria (64)</t>
  </si>
  <si>
    <t>Mercato Picca</t>
  </si>
  <si>
    <t>29/10/2025</t>
  </si>
  <si>
    <t>12:57 p.m.</t>
  </si>
  <si>
    <t>1:26 p.m.</t>
  </si>
  <si>
    <t>McDonald's - CNG int</t>
  </si>
  <si>
    <t>1:57 p.m.</t>
  </si>
  <si>
    <t>The Burger Company</t>
  </si>
  <si>
    <t>7:18 p.m.</t>
  </si>
  <si>
    <t>Coto 091 Abasto</t>
  </si>
  <si>
    <t>8:30 p.m.</t>
  </si>
  <si>
    <t>Coto Barrio Norte</t>
  </si>
  <si>
    <t>9:50 p.m.</t>
  </si>
  <si>
    <t>10:09 p.m.</t>
  </si>
  <si>
    <t>McDonald's SF3 int</t>
  </si>
  <si>
    <t>FarmaPlus</t>
  </si>
  <si>
    <t>11:22 p.m.</t>
  </si>
  <si>
    <t>Tomasso - Av Corrientes</t>
  </si>
  <si>
    <t>Cremolatti - Rivadavia</t>
  </si>
  <si>
    <t>Kentucky - Abasto</t>
  </si>
  <si>
    <t>El Hornito Santiagueño - Av. Las Heras</t>
  </si>
  <si>
    <t>Rappi Favor, Bs.As. CABA (villa crespo/chacarita)</t>
  </si>
  <si>
    <t>Dean &amp; Dennys - Palermo Soho</t>
  </si>
  <si>
    <t>7:58 p. m.</t>
  </si>
  <si>
    <t>30/10/2025</t>
  </si>
  <si>
    <t>6:50 p. m.</t>
  </si>
  <si>
    <t>5:44 p. m.</t>
  </si>
  <si>
    <t>5:24 p. m.</t>
  </si>
  <si>
    <t>Harper Juice Recoleta</t>
  </si>
  <si>
    <t>4:50 p. m.</t>
  </si>
  <si>
    <t>Panadería Las Esclavas</t>
  </si>
  <si>
    <t>4:22 p. m.</t>
  </si>
  <si>
    <t>12:21 a. m.</t>
  </si>
  <si>
    <t>Paizza</t>
  </si>
  <si>
    <t>Carrefour Recoleta (116)</t>
  </si>
  <si>
    <t>Disco, Quintana Recolata (18)</t>
  </si>
  <si>
    <t>Open 25 Marcelo T. de Alvear 1901 (158)</t>
  </si>
  <si>
    <t>Franco Parma - Vicente Lopez</t>
  </si>
  <si>
    <t>Rappi Favor, Bs.As. CABA (Microcentro)</t>
  </si>
  <si>
    <t>11:40 p. m.</t>
  </si>
  <si>
    <t>10/11/2025</t>
  </si>
  <si>
    <t>11:28 p. m.</t>
  </si>
  <si>
    <t>11:00 p. m.</t>
  </si>
  <si>
    <t>AJ Dulcinea</t>
  </si>
  <si>
    <t>10:23 p. m.</t>
  </si>
  <si>
    <t>9:51 p. m.</t>
  </si>
  <si>
    <t>9:16 p. m.</t>
  </si>
  <si>
    <t>6:06 a. m.</t>
  </si>
  <si>
    <t>2:59 a. m.</t>
  </si>
  <si>
    <t>2:00 a. m.</t>
  </si>
  <si>
    <t>1:41 a. m.</t>
  </si>
  <si>
    <t>12:35 a. m.</t>
  </si>
  <si>
    <t>12:19 a. m.</t>
  </si>
  <si>
    <t>Angus Brother</t>
  </si>
  <si>
    <t>SushiPop - Soler</t>
  </si>
  <si>
    <t>Pizza Data - Palermo</t>
  </si>
  <si>
    <t>Bulls BBQ Smoke House Palermo</t>
  </si>
  <si>
    <t>Turbo Palermo 1</t>
  </si>
  <si>
    <t>Freddo - Arenales</t>
  </si>
  <si>
    <t>2:37 p.m.</t>
  </si>
  <si>
    <t>11/11/2025</t>
  </si>
  <si>
    <t>1:43 p.m.</t>
  </si>
  <si>
    <t>1:23 p.m.</t>
  </si>
  <si>
    <t>1:05 p.m.</t>
  </si>
  <si>
    <t>12:38 p.m.</t>
  </si>
  <si>
    <t>11:34 a.m.</t>
  </si>
  <si>
    <t>10:30 a.m.</t>
  </si>
  <si>
    <t>10:12 a.m.</t>
  </si>
  <si>
    <t>9:32 a.m.</t>
  </si>
  <si>
    <t>9:15 a.m.</t>
  </si>
  <si>
    <t>Warren Cafe</t>
  </si>
  <si>
    <t>8:49 a.m.</t>
  </si>
  <si>
    <t>8:25 a.m.</t>
  </si>
  <si>
    <t>7:58 a.m.</t>
  </si>
  <si>
    <t>7:38 a.m.</t>
  </si>
  <si>
    <t>Gooscell Store - Almagro Yapeyu</t>
  </si>
  <si>
    <t>Burger King - Caballito - Turbo</t>
  </si>
  <si>
    <t>Green Eat Turbo - Rivadavia</t>
  </si>
  <si>
    <t>Burger King - cabllito - Turbo</t>
  </si>
  <si>
    <t>Cümen Cumen - Caballito</t>
  </si>
  <si>
    <t>Panadería Venezolana Donna</t>
  </si>
  <si>
    <t>Mostaza Deli - Guemes</t>
  </si>
  <si>
    <t>Tomasso - Velazco</t>
  </si>
  <si>
    <t>Praliné - Gorriti</t>
  </si>
  <si>
    <t>McDonald's Desayunos - COL Int</t>
  </si>
  <si>
    <t>Tienda de Café - Cañitas</t>
  </si>
  <si>
    <t>Starbucks Maure</t>
  </si>
  <si>
    <t>Las Medialunas del abuelo - Recoleta</t>
  </si>
  <si>
    <t>Turbo , Las Heras</t>
  </si>
  <si>
    <t>7:26</t>
  </si>
  <si>
    <t>8:33</t>
  </si>
  <si>
    <t>Jumbo, Recoleta (121)</t>
  </si>
  <si>
    <t>8:52</t>
  </si>
  <si>
    <t>Starbucks Balvanera</t>
  </si>
  <si>
    <t>9:07</t>
  </si>
  <si>
    <t>McDonald's - AP1 int</t>
  </si>
  <si>
    <t>9:34</t>
  </si>
  <si>
    <t>9:41</t>
  </si>
  <si>
    <t>10:06</t>
  </si>
  <si>
    <t>10:47</t>
  </si>
  <si>
    <t>McDonald's Desayunos - SFC int</t>
  </si>
  <si>
    <t>11:53</t>
  </si>
  <si>
    <t>12:04</t>
  </si>
  <si>
    <t>McDonald's - LAR int</t>
  </si>
  <si>
    <t>12:35</t>
  </si>
  <si>
    <t>Franco Parma - Vicente López</t>
  </si>
  <si>
    <t>Sushipop - Barrio Norte</t>
  </si>
  <si>
    <t>13:08</t>
  </si>
  <si>
    <t>13:22</t>
  </si>
  <si>
    <t>McDonald's Turbo - FLA</t>
  </si>
  <si>
    <t>13:38</t>
  </si>
  <si>
    <t>Mostaza Florida</t>
  </si>
  <si>
    <t>Ticket_Promedio(No tiene en cuenta doblete)</t>
  </si>
  <si>
    <t>21:00</t>
  </si>
  <si>
    <t>La Malbequería cocina porteña - Palermo</t>
  </si>
  <si>
    <t>21:16</t>
  </si>
  <si>
    <t>Gourmet de Shangai - Palermo</t>
  </si>
  <si>
    <t>21:23</t>
  </si>
  <si>
    <t>21:47</t>
  </si>
  <si>
    <t>22:32</t>
  </si>
  <si>
    <t>Aroha Cervecería</t>
  </si>
  <si>
    <t>Accademia Della Pizza - Villa Crespo</t>
  </si>
  <si>
    <t>21:51</t>
  </si>
  <si>
    <t>La Malbequería Cocina Porteña - Palermo</t>
  </si>
  <si>
    <t>22:07</t>
  </si>
  <si>
    <t>Let it Vegan</t>
  </si>
  <si>
    <t>22:28</t>
  </si>
  <si>
    <t>Ainara Helados Veganos</t>
  </si>
  <si>
    <t>23:21</t>
  </si>
  <si>
    <t>KOI Beer &amp; Dumplings - Lavalleja</t>
  </si>
  <si>
    <t>11:00</t>
  </si>
  <si>
    <t>Borja Special</t>
  </si>
  <si>
    <t>19/11/2025</t>
  </si>
  <si>
    <t>11:10</t>
  </si>
  <si>
    <t>Cinna - Paraguay</t>
  </si>
  <si>
    <t>14:00</t>
  </si>
  <si>
    <t>14:21</t>
  </si>
  <si>
    <t>Rappi Favor Bs As CABA (Villa Crespo/Chacarita)</t>
  </si>
  <si>
    <t>14:58</t>
  </si>
  <si>
    <t>15:46</t>
  </si>
  <si>
    <t>Romario - Beruti</t>
  </si>
  <si>
    <t>10:13</t>
  </si>
  <si>
    <t>9:49</t>
  </si>
  <si>
    <t>Churrería El Topo - Palermo</t>
  </si>
  <si>
    <t>9:10</t>
  </si>
  <si>
    <t>8:46</t>
  </si>
  <si>
    <t>6:58</t>
  </si>
  <si>
    <t>6:18</t>
  </si>
  <si>
    <t>04:50</t>
  </si>
  <si>
    <t>McCafé - CHE</t>
  </si>
  <si>
    <t>03:48</t>
  </si>
  <si>
    <t>Jevi, Corrientes 3501</t>
  </si>
  <si>
    <t>03:02</t>
  </si>
  <si>
    <t>01:54</t>
  </si>
  <si>
    <t>CHE - McDonald's Av. Córdoba 3831</t>
  </si>
  <si>
    <t>00:48</t>
  </si>
  <si>
    <t>00:06</t>
  </si>
  <si>
    <t>20:09</t>
  </si>
  <si>
    <t>12/11/2025</t>
  </si>
  <si>
    <t>20:46</t>
  </si>
  <si>
    <t>20:12</t>
  </si>
  <si>
    <t>Res, Mario Bravo</t>
  </si>
  <si>
    <t>19:18</t>
  </si>
  <si>
    <t>18:09</t>
  </si>
  <si>
    <t>17:16</t>
  </si>
  <si>
    <t>Puppis, Pueyrredon</t>
  </si>
  <si>
    <t>23:43</t>
  </si>
  <si>
    <t>Lo de Jesús - Caballito Turbo</t>
  </si>
  <si>
    <t>12/12/2025</t>
  </si>
  <si>
    <t>23:07</t>
  </si>
  <si>
    <t>22:34</t>
  </si>
  <si>
    <t>Helados Daniel - Av. Rivadavia - Turbo</t>
  </si>
  <si>
    <t>22:22</t>
  </si>
  <si>
    <t>21:39</t>
  </si>
  <si>
    <t>Umi Sushi - Caballito - Turbo</t>
  </si>
  <si>
    <t>21:07</t>
  </si>
  <si>
    <t>20:34</t>
  </si>
  <si>
    <t>Helados Daniel - Río de Janeiro - Turbo</t>
  </si>
  <si>
    <t>20:08</t>
  </si>
  <si>
    <t>Cremolatti - Rivadavia - Turbo</t>
  </si>
  <si>
    <t>19:14</t>
  </si>
  <si>
    <t>18:41</t>
  </si>
  <si>
    <t>18:27</t>
  </si>
  <si>
    <t>Kentucky Turbo - Otamendi</t>
  </si>
  <si>
    <t>14:24</t>
  </si>
  <si>
    <t>Burger King - Caballito</t>
  </si>
  <si>
    <t>13:31</t>
  </si>
  <si>
    <t>13:07</t>
  </si>
  <si>
    <t>Lima Ba Turbo - Almagro</t>
  </si>
  <si>
    <t>11:15</t>
  </si>
  <si>
    <t>Starbucks Pque Rivadavia</t>
  </si>
  <si>
    <t>12:45</t>
  </si>
  <si>
    <t>10:26</t>
  </si>
  <si>
    <t>10:02</t>
  </si>
  <si>
    <t>09:44</t>
  </si>
  <si>
    <t>DIA Envío Rápido - Almagro</t>
  </si>
  <si>
    <t>22:53</t>
  </si>
  <si>
    <t>Tomasso - Agüero 2</t>
  </si>
  <si>
    <t>13/11/2025</t>
  </si>
  <si>
    <t>22:05</t>
  </si>
  <si>
    <t>Rapanui Turbo - Arenales</t>
  </si>
  <si>
    <t>21:13</t>
  </si>
  <si>
    <t>20:50</t>
  </si>
  <si>
    <t>Páru Inkas Sushi Palermo</t>
  </si>
  <si>
    <t>20:29</t>
  </si>
  <si>
    <t>20:04</t>
  </si>
  <si>
    <t>Carrefour Express Anchoreña (317)</t>
  </si>
  <si>
    <t>15:56</t>
  </si>
  <si>
    <t>DIA Envío Rápido Almagro (528)</t>
  </si>
  <si>
    <t>14:48</t>
  </si>
  <si>
    <t>La Malbequería - Caballito - Turbo</t>
  </si>
  <si>
    <t>14:16</t>
  </si>
  <si>
    <t>13:47</t>
  </si>
  <si>
    <t>McDonald's - AR4 Int</t>
  </si>
  <si>
    <t>13:11</t>
  </si>
  <si>
    <t>12:52</t>
  </si>
  <si>
    <t>12:32</t>
  </si>
  <si>
    <t>Doña Lola Rotiseria Caballito - Turbo</t>
  </si>
  <si>
    <t>12:21</t>
  </si>
  <si>
    <t>McDonald's Turbo - AR4 Int</t>
  </si>
  <si>
    <t>11:31</t>
  </si>
  <si>
    <t>09:21</t>
  </si>
  <si>
    <t>EGGS HÖNS</t>
  </si>
  <si>
    <t>08:37</t>
  </si>
  <si>
    <t>08:11</t>
  </si>
  <si>
    <t>21:54</t>
  </si>
  <si>
    <t>Perro Pancho</t>
  </si>
  <si>
    <t>13/12/2025</t>
  </si>
  <si>
    <t>19:16</t>
  </si>
  <si>
    <t>Monti Bar de Pastas</t>
  </si>
  <si>
    <t>18:55</t>
  </si>
  <si>
    <t>Lo de Jesús</t>
  </si>
  <si>
    <t>14:11</t>
  </si>
  <si>
    <t>Sedai Sushi Bowls</t>
  </si>
  <si>
    <t>13:58</t>
  </si>
  <si>
    <t>13:42</t>
  </si>
  <si>
    <t>13:23</t>
  </si>
  <si>
    <t>13:05</t>
  </si>
  <si>
    <t>Chemuzza - Premier</t>
  </si>
  <si>
    <t>12:55</t>
  </si>
  <si>
    <t>KFC Turbo - Obelisco</t>
  </si>
  <si>
    <t>12:43</t>
  </si>
  <si>
    <t>12:23</t>
  </si>
  <si>
    <t>AB2 - McDonald's Abasto Corrientes 3247 Automac</t>
  </si>
  <si>
    <t>McDonald's Abasto Corrientes 3247 Automac</t>
  </si>
  <si>
    <t>11:59</t>
  </si>
  <si>
    <t>Sheikob's Bagels</t>
  </si>
  <si>
    <t>11:28</t>
  </si>
  <si>
    <t>Labán Patisserie</t>
  </si>
  <si>
    <t>11:04</t>
  </si>
  <si>
    <t>SF6 - McDonald's Avda. Santa Fe 3684</t>
  </si>
  <si>
    <t>McDonald's Avda. Santa Fe 3684</t>
  </si>
  <si>
    <t>10:29</t>
  </si>
  <si>
    <t>Dulce Hora - Palermo II</t>
  </si>
  <si>
    <t>9:39</t>
  </si>
  <si>
    <t>Mostaza Pellegrini</t>
  </si>
  <si>
    <t>Babieca Cafeteria</t>
  </si>
  <si>
    <t>07:39</t>
  </si>
  <si>
    <t>McCafé - CYJ</t>
  </si>
  <si>
    <t>15/12/2025</t>
  </si>
  <si>
    <t>08:24</t>
  </si>
  <si>
    <t>La Mantequería Barrio Norte</t>
  </si>
  <si>
    <t>08:43</t>
  </si>
  <si>
    <t>Starbucks Castex</t>
  </si>
  <si>
    <t>09:50</t>
  </si>
  <si>
    <t>10:14</t>
  </si>
  <si>
    <t>Café Kajue</t>
  </si>
  <si>
    <t>10:49</t>
  </si>
  <si>
    <t>23:38</t>
  </si>
  <si>
    <t>28/11/2025</t>
  </si>
  <si>
    <t>22:56</t>
  </si>
  <si>
    <t>22:42</t>
  </si>
  <si>
    <t>22:23</t>
  </si>
  <si>
    <t>21:49</t>
  </si>
  <si>
    <t>Don Hernacios</t>
  </si>
  <si>
    <t>20:56</t>
  </si>
  <si>
    <t>20:14</t>
  </si>
  <si>
    <t>Pollos Trak - Arenales</t>
  </si>
  <si>
    <t>Pizza Alla Pala - Pueyrredón</t>
  </si>
  <si>
    <t>22:47</t>
  </si>
  <si>
    <t>25/11/2025</t>
  </si>
  <si>
    <t>John John Burgers - Mario Bravo</t>
  </si>
  <si>
    <t>21:41</t>
  </si>
  <si>
    <t>21:20</t>
  </si>
  <si>
    <t>20:49</t>
  </si>
  <si>
    <t>Peña La Morena</t>
  </si>
  <si>
    <t>20:02</t>
  </si>
  <si>
    <t>Turbo - Perón</t>
  </si>
  <si>
    <t>19:46</t>
  </si>
  <si>
    <t>Rappi Favor - Bs As CABA (Balvanera/Once)</t>
  </si>
  <si>
    <t>23:20</t>
  </si>
  <si>
    <t>La Guitarrita - Olivos</t>
  </si>
  <si>
    <t>29/11/2025</t>
  </si>
  <si>
    <t>23:02</t>
  </si>
  <si>
    <t>Shell, Olivos (56)</t>
  </si>
  <si>
    <t>22:43</t>
  </si>
  <si>
    <t>McDonald's - MAI int Turbo</t>
  </si>
  <si>
    <t>M&amp;M KIOSCO Av. Maipu 578</t>
  </si>
  <si>
    <t>22:10</t>
  </si>
  <si>
    <t>Fresh Market, DOT (1905)</t>
  </si>
  <si>
    <t>21:34</t>
  </si>
  <si>
    <t>Carrefour Express, Larralde (525)</t>
  </si>
  <si>
    <t>21:18</t>
  </si>
  <si>
    <t>Mostaza - Cabildo y Monroe</t>
  </si>
  <si>
    <t>Lo de Jesús - Belgrano</t>
  </si>
  <si>
    <t>20:28</t>
  </si>
  <si>
    <t>Jiro Sushi - Núñez - Turbo</t>
  </si>
  <si>
    <t>20:07</t>
  </si>
  <si>
    <t>Salimos Fuerte, Belgrano</t>
  </si>
  <si>
    <t>19:48</t>
  </si>
  <si>
    <t>19:28</t>
  </si>
  <si>
    <t>Kangoo Pet Food - Scalabrini Ortiz</t>
  </si>
  <si>
    <t>19:08</t>
  </si>
  <si>
    <t>Carrefour Express Almagro</t>
  </si>
  <si>
    <t>18:17</t>
  </si>
  <si>
    <t>05:29</t>
  </si>
  <si>
    <t>05:09</t>
  </si>
  <si>
    <t>04:42</t>
  </si>
  <si>
    <t>4:15 a. m.</t>
  </si>
  <si>
    <t>Open 25, J. Salguero 3077</t>
  </si>
  <si>
    <t>3:57 a. m.</t>
  </si>
  <si>
    <t>3:14 a. m.</t>
  </si>
  <si>
    <t>2:06 a. m.</t>
  </si>
  <si>
    <t>12:20 a. m.</t>
  </si>
  <si>
    <t>4:20 am</t>
  </si>
  <si>
    <t>30/11/2025</t>
  </si>
  <si>
    <t>3:37 am</t>
  </si>
  <si>
    <t>1:53 am</t>
  </si>
  <si>
    <t>OLI - McDonald's Olivos</t>
  </si>
  <si>
    <t>1:21 am</t>
  </si>
  <si>
    <t>Rapanui - Olivos</t>
  </si>
  <si>
    <t>12:52 am</t>
  </si>
  <si>
    <t>Turbo - Vicente Lopez</t>
  </si>
  <si>
    <t>12:34 am</t>
  </si>
  <si>
    <t>12:21 am</t>
  </si>
  <si>
    <t>12:03 am</t>
  </si>
  <si>
    <t>5:51 a. m.</t>
  </si>
  <si>
    <t>The Best, Paraguay</t>
  </si>
  <si>
    <t>04/12/2025</t>
  </si>
  <si>
    <t>5:19 a. m.</t>
  </si>
  <si>
    <t>4:55 a. m.</t>
  </si>
  <si>
    <t>4:01 a. m.</t>
  </si>
  <si>
    <t>1:09 a. m.</t>
  </si>
  <si>
    <t>1:40 a. m.</t>
  </si>
  <si>
    <t>Postres McDonald's - SF3 int</t>
  </si>
  <si>
    <t>2:20 a. m.</t>
  </si>
  <si>
    <t>2:56 a. m.</t>
  </si>
  <si>
    <t>3:25 a. m.</t>
  </si>
  <si>
    <t>12:56 am</t>
  </si>
  <si>
    <t>SFC - McDonald's Santa Fe y Callao Av. Santa Fe 1780</t>
  </si>
  <si>
    <t>12:19 am</t>
  </si>
  <si>
    <t>10:53 pm</t>
  </si>
  <si>
    <t>Asu Mare Barra Cevichera - Once</t>
  </si>
  <si>
    <t>03/12/2025</t>
  </si>
  <si>
    <t>11:39 pm</t>
  </si>
  <si>
    <t>11:52 pm</t>
  </si>
  <si>
    <t>7:45 am</t>
  </si>
  <si>
    <t>Las Medialunas del Abuelo Viamonte</t>
  </si>
  <si>
    <t>09/12/2025</t>
  </si>
  <si>
    <t>8:13 am</t>
  </si>
  <si>
    <t>Turbo, Perón</t>
  </si>
  <si>
    <t>8:36 am</t>
  </si>
  <si>
    <t>Farmacias Dr Ahorro, Recoleta</t>
  </si>
  <si>
    <t>8:55 am</t>
  </si>
  <si>
    <t>10:28 am</t>
  </si>
  <si>
    <t>11:00 am</t>
  </si>
  <si>
    <t>Mostaza Deli – Recoleta Mall</t>
  </si>
  <si>
    <t>12:28 p. m.</t>
  </si>
  <si>
    <t>Churrería el Topo – Diagonal</t>
  </si>
  <si>
    <t>11:27 a. m.</t>
  </si>
  <si>
    <t>10:19 a. m.</t>
  </si>
  <si>
    <t>Pan de Queso Brasil – Almagro</t>
  </si>
  <si>
    <t>9:46 a. m.</t>
  </si>
  <si>
    <t>McDonald’s – MED</t>
  </si>
  <si>
    <t>9:36 a. m.</t>
  </si>
  <si>
    <t>9:05 a. m.</t>
  </si>
  <si>
    <t>Coto, Palermo (56)</t>
  </si>
  <si>
    <t>11:42 p. m.</t>
  </si>
  <si>
    <t>11:03 p. m.</t>
  </si>
  <si>
    <t>10:06 p. m.</t>
  </si>
  <si>
    <t>Fat Broder</t>
  </si>
  <si>
    <t>9:37 p. m.</t>
  </si>
  <si>
    <t>9:17 p. m.</t>
  </si>
  <si>
    <t>Kfc Recoleta Mall</t>
  </si>
  <si>
    <t>Fabric Sushi Recoleta Mall</t>
  </si>
  <si>
    <t>18/12/2025</t>
  </si>
  <si>
    <t>8:48 p. m.</t>
  </si>
  <si>
    <t>Open 25, Av. Pueyrredon 1498 (32)</t>
  </si>
  <si>
    <t>8:33 p. m.</t>
  </si>
  <si>
    <t>Wendy's - Alto Palermo</t>
  </si>
  <si>
    <t>7:57 p. m.</t>
  </si>
  <si>
    <t>Rappi Favor, Bs As CABA (Palermo)</t>
  </si>
  <si>
    <t>7:22 p. m.</t>
  </si>
  <si>
    <t>6:15 p. m.</t>
  </si>
  <si>
    <t>5:47 p. m.</t>
  </si>
  <si>
    <t>Rappi Favor, Bs As CABA (Almagro/Boedo)</t>
  </si>
  <si>
    <t>Wendy's - Distrito Arcos x 2</t>
  </si>
  <si>
    <t>Wendy's - Alto Palermo x 2</t>
  </si>
  <si>
    <t>11:16 pm</t>
  </si>
  <si>
    <t>Casa Sáenz - Botánico</t>
  </si>
  <si>
    <t>22/12/2025</t>
  </si>
  <si>
    <t>9:43 pm</t>
  </si>
  <si>
    <t>Rincón Norteño - Estado de Israel</t>
  </si>
  <si>
    <t>8:58 pm</t>
  </si>
  <si>
    <t>La Causa Nikkei - Scalabrini</t>
  </si>
  <si>
    <t>8:32 pm</t>
  </si>
  <si>
    <t>Lo de Jesús - Caballito</t>
  </si>
  <si>
    <t>Tierra de Nadie - Acoyte</t>
  </si>
  <si>
    <t>7:24 p. m.</t>
  </si>
  <si>
    <t>DIA Envío Rápido, Falcon</t>
  </si>
  <si>
    <t>6:40 p. m.</t>
  </si>
  <si>
    <t>DIA Envío Rápido, Boedo</t>
  </si>
  <si>
    <t>5:59 p. m.</t>
  </si>
  <si>
    <t>McDonalds Desayunos - AR4 int</t>
  </si>
  <si>
    <t>5:42 p. m.</t>
  </si>
  <si>
    <t>11:36 p. m.</t>
  </si>
  <si>
    <t>23/12/2025</t>
  </si>
  <si>
    <t>11:05 p. m.</t>
  </si>
  <si>
    <t>10:55 p. m.</t>
  </si>
  <si>
    <t>El Maiten Empanadas</t>
  </si>
  <si>
    <t>10:30 p. m.</t>
  </si>
  <si>
    <t>Burger King - Abasto</t>
  </si>
  <si>
    <t>SF6 - McDonald's Avda. Santa Fé 3684</t>
  </si>
  <si>
    <t>9:13 p. m.</t>
  </si>
  <si>
    <t>8:29 p. m.</t>
  </si>
  <si>
    <t>8:04 p. m.</t>
  </si>
  <si>
    <t>Coto, 103-Caballito Av. Gaona 1956</t>
  </si>
  <si>
    <t>7:27 p. m.</t>
  </si>
  <si>
    <t>Rapanui Turbo - Caballito</t>
  </si>
  <si>
    <t>7:08 p. m.</t>
  </si>
  <si>
    <t>Lo de Jesús - Caballito - Turbo</t>
  </si>
  <si>
    <t>6:29 p. m.</t>
  </si>
  <si>
    <t>McDonald's Turbo - AR5 Int</t>
  </si>
  <si>
    <t>6:05 p. m.</t>
  </si>
  <si>
    <t>2:41 pm</t>
  </si>
  <si>
    <t>DIA Envío Rápido, Juan Francisco Segui</t>
  </si>
  <si>
    <t>24/12/2025</t>
  </si>
  <si>
    <t>2:10 pm</t>
  </si>
  <si>
    <t>1:38 pm</t>
  </si>
  <si>
    <t>Burger King - P. Italia</t>
  </si>
  <si>
    <t>1:08 pm</t>
  </si>
  <si>
    <t>Helados Italia - Palermo</t>
  </si>
  <si>
    <t>Che Sushi - Soler</t>
  </si>
  <si>
    <t>11:49 AM</t>
  </si>
  <si>
    <t>McCafé - R10</t>
  </si>
  <si>
    <t>11:37 AM</t>
  </si>
  <si>
    <t>TaDa - SF Recoleta</t>
  </si>
  <si>
    <t>11:17 AM</t>
  </si>
  <si>
    <t>Carrefour Recoleta / Disco Uriburu</t>
  </si>
  <si>
    <t>09:47 AM</t>
  </si>
  <si>
    <t>Rapanui Retiro</t>
  </si>
  <si>
    <t>07:12 AM</t>
  </si>
  <si>
    <t>05:46 AM</t>
  </si>
  <si>
    <t>5:06 am</t>
  </si>
  <si>
    <t>4:26 am</t>
  </si>
  <si>
    <t>3:26 am</t>
  </si>
  <si>
    <t>Turbo - Centenera</t>
  </si>
  <si>
    <t>3:05 am</t>
  </si>
  <si>
    <t>2:46 am</t>
  </si>
  <si>
    <t>2:25 am</t>
  </si>
  <si>
    <t>1:50 am</t>
  </si>
  <si>
    <t>11:32 p. m.</t>
  </si>
  <si>
    <t>25/12/2025</t>
  </si>
  <si>
    <t>11:14 p. m.</t>
  </si>
  <si>
    <t>10:20 p. m.</t>
  </si>
  <si>
    <t>El Hornito Santiagueño Av. Las Heras</t>
  </si>
  <si>
    <t>La Causa Nikkei- Cerviño</t>
  </si>
  <si>
    <t>9:48 p. m.</t>
  </si>
  <si>
    <t>9:13 pm</t>
  </si>
  <si>
    <t>7:56 pm</t>
  </si>
  <si>
    <t>6:52 pm</t>
  </si>
  <si>
    <t>5:57 pm</t>
  </si>
  <si>
    <t>Il Quotidiano - Alto Palermo</t>
  </si>
  <si>
    <t>4:55 pm</t>
  </si>
  <si>
    <t>4:14 pm</t>
  </si>
  <si>
    <t>Asu Yopo</t>
  </si>
  <si>
    <t>2:19 pm</t>
  </si>
  <si>
    <t>2:36 pm</t>
  </si>
  <si>
    <t>Brozziano - Av. Santa Fe</t>
  </si>
  <si>
    <t>3:04 pm</t>
  </si>
  <si>
    <t>Farmacity, Canning (73)</t>
  </si>
  <si>
    <t>3:22 pm</t>
  </si>
  <si>
    <t>11:24 pm</t>
  </si>
  <si>
    <t>Rappi Favor Bs As CABA (Palermo)</t>
  </si>
  <si>
    <t>27/12/2025</t>
  </si>
  <si>
    <t>11:05 pm</t>
  </si>
  <si>
    <t>10:16 pm</t>
  </si>
  <si>
    <t>Massey Familia - Cerviño</t>
  </si>
  <si>
    <t>10:03 pm</t>
  </si>
  <si>
    <t>Grido - Parque Las Heras 5215</t>
  </si>
  <si>
    <t>9:34 pm</t>
  </si>
  <si>
    <t>Pizza Yerman–Villa Crespo</t>
  </si>
  <si>
    <t>Los Muchachos de Punto y Banca</t>
  </si>
  <si>
    <t>9:06 pm</t>
  </si>
  <si>
    <t>CHE – McDonald's Av. Córdoba 3831</t>
  </si>
  <si>
    <t>7:47 pm</t>
  </si>
  <si>
    <t>DIA Envío Rápido, Caballito (90)</t>
  </si>
  <si>
    <t>Jumbo, Acoyte (5260)</t>
  </si>
  <si>
    <t>6:49 pm</t>
  </si>
  <si>
    <t>6:20 pm</t>
  </si>
  <si>
    <t>5:37 pm</t>
  </si>
  <si>
    <t>11:26 am</t>
  </si>
  <si>
    <t>Borja Specialty Coffee by Cande</t>
  </si>
  <si>
    <t>10:58 am</t>
  </si>
  <si>
    <t>Cobre Cafe Palermo</t>
  </si>
  <si>
    <t>10:33 am</t>
  </si>
  <si>
    <t>9:50 am</t>
  </si>
  <si>
    <t>La Mantequeria - Palermo</t>
  </si>
  <si>
    <t>9:12 am</t>
  </si>
  <si>
    <t>Panadería Venezolana Galipán</t>
  </si>
  <si>
    <t>10:31 pm</t>
  </si>
  <si>
    <t>10:11 pm</t>
  </si>
  <si>
    <t>Masago Sushi</t>
  </si>
  <si>
    <t>9:48 pm</t>
  </si>
  <si>
    <t>Bravo Pizza Romana</t>
  </si>
  <si>
    <t>9:08 pm</t>
  </si>
  <si>
    <t>Izakaya By Sushi Pop - Coronel Diaz</t>
  </si>
  <si>
    <t>Piccantino</t>
  </si>
  <si>
    <t>7:50 pm</t>
  </si>
  <si>
    <t>Disco, Uriburu Recoleta (35)</t>
  </si>
  <si>
    <t>12:51 pm</t>
  </si>
  <si>
    <t>11:18 am</t>
  </si>
  <si>
    <t>Vea, San Cristóbal (696)</t>
  </si>
  <si>
    <t>10:04 am</t>
  </si>
  <si>
    <t>La Mantequeria Barrio Norte</t>
  </si>
  <si>
    <t>9:39 am</t>
  </si>
  <si>
    <t>McCafé - AB2</t>
  </si>
  <si>
    <t>9:20 am</t>
  </si>
  <si>
    <t>Easy, Almagro (164)</t>
  </si>
  <si>
    <t>9:08 am</t>
  </si>
  <si>
    <t>9:29 pm</t>
  </si>
  <si>
    <t>Tienda de Empanadas - Ecuador</t>
  </si>
  <si>
    <t>9:16 pm</t>
  </si>
  <si>
    <t>Che Sushi - Coronel Diaz</t>
  </si>
  <si>
    <t>8:25 pm</t>
  </si>
  <si>
    <t>8:09 pm</t>
  </si>
  <si>
    <t>7:25 pm</t>
  </si>
  <si>
    <t>11:13 pm</t>
  </si>
  <si>
    <t>AR2 - McDonald's Av Rivadavia 5108</t>
  </si>
  <si>
    <t>9:59 pm</t>
  </si>
  <si>
    <t>Copados cafe</t>
  </si>
  <si>
    <t>9:42 pm</t>
  </si>
  <si>
    <t>The Flour Store</t>
  </si>
  <si>
    <t>5:13 am</t>
  </si>
  <si>
    <t>3:14 am</t>
  </si>
  <si>
    <t>2:28 am</t>
  </si>
  <si>
    <t>1:52 am</t>
  </si>
  <si>
    <t>1:08 am</t>
  </si>
  <si>
    <t xml:space="preserve">mes </t>
  </si>
  <si>
    <t>ingresos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</si>
  <si>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</si>
  <si>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</si>
  <si>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</si>
  <si>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</si>
  <si>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</si>
  <si>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</si>
  <si>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</si>
  <si>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</si>
  <si>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Marzo</t>
  </si>
  <si>
    <t>Abril</t>
  </si>
  <si>
    <t>Mayo</t>
  </si>
  <si>
    <t>Junio</t>
  </si>
  <si>
    <t>Dias Registrados</t>
  </si>
  <si>
    <t>8:38 pm</t>
  </si>
  <si>
    <t>01/01/2026</t>
  </si>
  <si>
    <t>8:13 pm</t>
  </si>
  <si>
    <t>Tekeditos</t>
  </si>
  <si>
    <t>Cala Pizza - Recoleta</t>
  </si>
  <si>
    <t>7:35 pm</t>
  </si>
  <si>
    <t>Nicolo - Independencia</t>
  </si>
  <si>
    <t>5:47 pm</t>
  </si>
  <si>
    <t>Las Medialunas Del Abuelo - Bartolome Mitre</t>
  </si>
  <si>
    <t>5:23 pm</t>
  </si>
  <si>
    <t>Brozziano - Río</t>
  </si>
  <si>
    <t>5:05 pm</t>
  </si>
  <si>
    <t>4:42 pm</t>
  </si>
  <si>
    <t>McDonald's - AR4 int</t>
  </si>
  <si>
    <t>4:10 pm</t>
  </si>
  <si>
    <t>Enfrascados</t>
  </si>
  <si>
    <t>3:51 pm</t>
  </si>
  <si>
    <t>Nicolo - Gaona y Terrero</t>
  </si>
  <si>
    <t>3:36 pm</t>
  </si>
  <si>
    <t>Nicolo - Segurola</t>
  </si>
  <si>
    <t>3:05 pm</t>
  </si>
  <si>
    <t>SM1 - McDonald's Av. San Martín 2880</t>
  </si>
  <si>
    <t>McDonald's Av. San Martín 2880</t>
  </si>
  <si>
    <t>2:35 pm</t>
  </si>
  <si>
    <t>2:08 pm</t>
  </si>
  <si>
    <t>1:58 pm</t>
  </si>
  <si>
    <t>Il Trovatore Gelato</t>
  </si>
  <si>
    <t>1:40 pm</t>
  </si>
  <si>
    <t>Mostaza Acoyte</t>
  </si>
  <si>
    <t>1:16 pm</t>
  </si>
  <si>
    <t>Accademia Della Pizza Boedo</t>
  </si>
  <si>
    <t>12:27 pm</t>
  </si>
  <si>
    <t>Almagro Pet24hs</t>
  </si>
  <si>
    <t>12:03 pm</t>
  </si>
  <si>
    <t>La Gioconda</t>
  </si>
  <si>
    <t>11:49 a. m.</t>
  </si>
  <si>
    <t>La Argentina - Arenales</t>
  </si>
  <si>
    <t>11:08 a. m.</t>
  </si>
  <si>
    <t>21:31</t>
  </si>
  <si>
    <t>02/01/2026</t>
  </si>
  <si>
    <t>22:02</t>
  </si>
  <si>
    <t>Accademia della Pizza</t>
  </si>
  <si>
    <t>22:58</t>
  </si>
  <si>
    <t>Grido - Palermo I</t>
  </si>
  <si>
    <t>23:49</t>
  </si>
  <si>
    <t>Cremolatti - Aguero</t>
  </si>
  <si>
    <t>5:54 am</t>
  </si>
  <si>
    <t>03/01/2026</t>
  </si>
  <si>
    <t>5:35 am</t>
  </si>
  <si>
    <t>5:11 am</t>
  </si>
  <si>
    <t>3:54 am</t>
  </si>
  <si>
    <t>3:42 am</t>
  </si>
  <si>
    <t>3:18 am</t>
  </si>
  <si>
    <t>Sazon Market</t>
  </si>
  <si>
    <t>1:17 am</t>
  </si>
  <si>
    <t>12:47 am</t>
  </si>
  <si>
    <t>11:25 pm</t>
  </si>
  <si>
    <t>Los Maestros - Barrio Norte</t>
  </si>
  <si>
    <t>04/01/2026</t>
  </si>
  <si>
    <t>9:01 pm</t>
  </si>
  <si>
    <t>Nicolo - Honduras</t>
  </si>
  <si>
    <t>8:03 pm</t>
  </si>
  <si>
    <t>DIA Envío Rápido, San Cristóbal (912)</t>
  </si>
  <si>
    <t>7:06 pm</t>
  </si>
  <si>
    <t>Doa Bysuship</t>
  </si>
  <si>
    <t>11:29 pm</t>
  </si>
  <si>
    <t>05/01/2026</t>
  </si>
  <si>
    <t>11:01 pm</t>
  </si>
  <si>
    <t>10:39 pm</t>
  </si>
  <si>
    <t>KFC Recoleta Mall</t>
  </si>
  <si>
    <t>10:29 pm</t>
  </si>
  <si>
    <t>10:01 pm</t>
  </si>
  <si>
    <t>SF3 - McDonald's Av. Santa Fe 2468</t>
  </si>
  <si>
    <t>9:37 pm</t>
  </si>
  <si>
    <t>Jiro Sushi Veggie - Palermo</t>
  </si>
  <si>
    <t>9:22 pm</t>
  </si>
  <si>
    <t>Sushi Lives - Tucuman</t>
  </si>
  <si>
    <t>8:44 pm</t>
  </si>
  <si>
    <t>5:55 am</t>
  </si>
  <si>
    <t>5:41 am</t>
  </si>
  <si>
    <t>Open 25 - Av. Santa Fe 4596</t>
  </si>
  <si>
    <t>5:04 am</t>
  </si>
  <si>
    <t>Naguaráche Colegiales</t>
  </si>
  <si>
    <t>4:35 am</t>
  </si>
  <si>
    <t>2:51 am</t>
  </si>
  <si>
    <t>2:40 am</t>
  </si>
  <si>
    <t>1:39 am</t>
  </si>
  <si>
    <t>1:13 am</t>
  </si>
  <si>
    <t>12:07 pm</t>
  </si>
  <si>
    <t>Disco - Quintana Recoleta</t>
  </si>
  <si>
    <t>10:46 am</t>
  </si>
  <si>
    <t>Lemoulin de la Fleur - Talcahuano 888</t>
  </si>
  <si>
    <t>Cafeteria LuAn</t>
  </si>
  <si>
    <t>9:55 am</t>
  </si>
  <si>
    <t>Churrería el Topo - Diagonal</t>
  </si>
  <si>
    <t>9:00 am</t>
  </si>
  <si>
    <t>La Mantequeria - Recoleta</t>
  </si>
  <si>
    <t>8:39 am</t>
  </si>
  <si>
    <t>Martinelli Caffe</t>
  </si>
  <si>
    <t>7:57 am</t>
  </si>
  <si>
    <t>Postres McDonald's - CLH int</t>
  </si>
  <si>
    <t>7:07 am</t>
  </si>
  <si>
    <t>PuntoMix</t>
  </si>
  <si>
    <t>6:54 am</t>
  </si>
  <si>
    <t>08/01/2026</t>
  </si>
  <si>
    <t>10:45 pm</t>
  </si>
  <si>
    <t>Desarmadero</t>
  </si>
  <si>
    <t>10:06 pm</t>
  </si>
  <si>
    <t>Dean And Dennys - Abasto Shopping</t>
  </si>
  <si>
    <t>Cartago Comida Árabe</t>
  </si>
  <si>
    <t>9:04 pm</t>
  </si>
  <si>
    <t>Pizzería Yunta</t>
  </si>
  <si>
    <t>2:03 am</t>
  </si>
  <si>
    <t>09/01/2026</t>
  </si>
  <si>
    <t>1:54 am</t>
  </si>
  <si>
    <t>1:01 am</t>
  </si>
  <si>
    <t>12:04 am</t>
  </si>
  <si>
    <t>Milanga &amp; Co - Av. Santa Fe</t>
  </si>
  <si>
    <t>6:36 pm</t>
  </si>
  <si>
    <t>5:16 pm</t>
  </si>
  <si>
    <t>1:18 pm</t>
  </si>
  <si>
    <t>451176477</t>
  </si>
  <si>
    <t>12:42 pm</t>
  </si>
  <si>
    <t>11:33 am</t>
  </si>
  <si>
    <t>Brozziano - Peña</t>
  </si>
  <si>
    <t>11:22 am</t>
  </si>
  <si>
    <t>Bienmesabe</t>
  </si>
  <si>
    <t>11:03 am</t>
  </si>
  <si>
    <t>Turbo Market, Peron</t>
  </si>
  <si>
    <t>10:45 am</t>
  </si>
  <si>
    <t>Mostaza Deli - Abasto</t>
  </si>
  <si>
    <t>10:24 am</t>
  </si>
  <si>
    <t>8:44 am</t>
  </si>
  <si>
    <t>8:01 am</t>
  </si>
  <si>
    <t>7:43 am</t>
  </si>
  <si>
    <t>7:33 am</t>
  </si>
  <si>
    <t>5:00 am</t>
  </si>
  <si>
    <t>5:40 am</t>
  </si>
  <si>
    <t>6:59 am</t>
  </si>
  <si>
    <t>7:14 am</t>
  </si>
  <si>
    <t>Turbo Market, Perón</t>
  </si>
  <si>
    <t>DIA, Juan de Garay</t>
  </si>
  <si>
    <t>Jumbo, Recoleta</t>
  </si>
  <si>
    <t>10:45 a. m.</t>
  </si>
  <si>
    <t>10:24 a. m.</t>
  </si>
  <si>
    <t>8:01 a. m.</t>
  </si>
  <si>
    <t>7:43 a. m.</t>
  </si>
  <si>
    <t>7:33 a. m.</t>
  </si>
  <si>
    <t>7:14 a. m.</t>
  </si>
  <si>
    <t>6:59 a. m.</t>
  </si>
  <si>
    <t>5:40 a. m.</t>
  </si>
  <si>
    <t>5:00 a. m.</t>
  </si>
  <si>
    <t>KM</t>
  </si>
  <si>
    <t>6:20 p. m.</t>
  </si>
  <si>
    <t>1:22 p. m.</t>
  </si>
  <si>
    <t>12:31 p. m.</t>
  </si>
  <si>
    <t>12:00 p. m.</t>
  </si>
  <si>
    <t>11:33 a. m.</t>
  </si>
  <si>
    <t>FLA - McDonald's Florida 568</t>
  </si>
  <si>
    <t>10:10 p. m.</t>
  </si>
  <si>
    <t>9:07 p. m.</t>
  </si>
  <si>
    <t>8:42 p. m.</t>
  </si>
  <si>
    <t>11:12 a. m.</t>
  </si>
  <si>
    <t>10:52 a. m.</t>
  </si>
  <si>
    <t>10:21 a. m.</t>
  </si>
  <si>
    <t>9:17 a. m.</t>
  </si>
  <si>
    <t>9:00 a. m.</t>
  </si>
  <si>
    <t>8:36 a. m.</t>
  </si>
  <si>
    <t>8:02 a. m.</t>
  </si>
  <si>
    <t>Tienda de Café - Córdoba</t>
  </si>
  <si>
    <t>Carrefour, Belgrano (386)</t>
  </si>
  <si>
    <t>Dean &amp; Dennys Turbo - Recoleta</t>
  </si>
  <si>
    <t>DIA Envío Rápido, Marcelo T de Alvear (301)</t>
  </si>
  <si>
    <t>Zonatec</t>
  </si>
  <si>
    <t>McCafé - FL2</t>
  </si>
  <si>
    <t>Farmacity, Av De Mayo (52)</t>
  </si>
  <si>
    <t>La Mantequeria - Microcentro</t>
  </si>
  <si>
    <t>McDonald s Desayunos - FLA</t>
  </si>
  <si>
    <t>Merci Recoleta</t>
  </si>
  <si>
    <t>McDonald s Desayunos - SFC int</t>
  </si>
  <si>
    <t>Teque Pops</t>
  </si>
  <si>
    <t>10:49 p. m.</t>
  </si>
  <si>
    <t>Glumy</t>
  </si>
  <si>
    <t>10:32 p. m.</t>
  </si>
  <si>
    <t>Open 25, AV. MEDRANO 928 (295)</t>
  </si>
  <si>
    <t>10:08 p. m.</t>
  </si>
  <si>
    <t>Paraiso Deli</t>
  </si>
  <si>
    <t>9:45 p. m.</t>
  </si>
  <si>
    <t>9:14 p. m.</t>
  </si>
  <si>
    <t>8:32 p. m.</t>
  </si>
  <si>
    <t>Mcdonald's Turbo - CLH</t>
  </si>
  <si>
    <t>7:52 p. m.</t>
  </si>
  <si>
    <t>7:32 p. m.</t>
  </si>
  <si>
    <t>6:38 a. m.</t>
  </si>
  <si>
    <t>5:26 a. m.</t>
  </si>
  <si>
    <t>5:01 a. m.</t>
  </si>
  <si>
    <t>4:29 a. m.</t>
  </si>
  <si>
    <t>3:56 a. m.</t>
  </si>
  <si>
    <t>2:52 a. m.</t>
  </si>
  <si>
    <t>1:29 a. m.</t>
  </si>
  <si>
    <t>Kremowy - Balvanera li</t>
  </si>
  <si>
    <t>1:02 a. m.</t>
  </si>
  <si>
    <t>12:31 a. m.</t>
  </si>
  <si>
    <t>11:52 p. m.</t>
  </si>
  <si>
    <t>null</t>
  </si>
  <si>
    <t>11:10 p. m.</t>
  </si>
  <si>
    <t>10:40 p. m.</t>
  </si>
  <si>
    <t>MAD - McDonald's Av. Alicia Moreau de Justo 1190</t>
  </si>
  <si>
    <t>9:54 p. m.</t>
  </si>
  <si>
    <t>9:34 p. m.</t>
  </si>
  <si>
    <t>9:12 p. m.</t>
  </si>
  <si>
    <t>Pollos Trak - Uruguay</t>
  </si>
  <si>
    <t>8:53 p. m.</t>
  </si>
  <si>
    <t>Rob's Churros Recoleta</t>
  </si>
  <si>
    <t>8:34 p. m.</t>
  </si>
  <si>
    <t>Milanga City</t>
  </si>
  <si>
    <t>8:14 p. m.</t>
  </si>
  <si>
    <t>Asu Mare Varra Cevichera #67213</t>
  </si>
  <si>
    <t>2:44 p. m.</t>
  </si>
  <si>
    <t>Starbucks Uriburu</t>
  </si>
  <si>
    <t>1:49 p. m.</t>
  </si>
  <si>
    <t>Sushi Boom</t>
  </si>
  <si>
    <t>Morita Microcentro</t>
  </si>
  <si>
    <t>1:12 p. m.</t>
  </si>
  <si>
    <t>Disco, Quintana Recoleta</t>
  </si>
  <si>
    <t>12:27 p. m.</t>
  </si>
  <si>
    <t>MandaleFruta, Recoleta</t>
  </si>
  <si>
    <t>10:50 a. m.</t>
  </si>
  <si>
    <t>Costumbres Argentinas - Microcentro</t>
  </si>
  <si>
    <t>10:27 a. m.</t>
  </si>
  <si>
    <t>Import Coffee Company - Esmeralda</t>
  </si>
  <si>
    <t>10:08 a. m.</t>
  </si>
  <si>
    <t>9:51 a. m.</t>
  </si>
  <si>
    <t>9:37 a. m.</t>
  </si>
  <si>
    <t>7:57 a. m.</t>
  </si>
  <si>
    <t>Mostaza Av de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</si>
</sst>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hh:mm:ss;@"/>
    <numFmt numFmtId="166" formatCode="[$-2C0A]hh:mm:ss\ AM/PM;@"/>
    <numFmt numFmtId="167" formatCode="0.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4" tint="0.59999389629810485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64" fontId="0" fillId="0" borderId="0" xfId="0" applyNumberFormat="1"/>
    <xf numFmtId="164" fontId="1" fillId="0" borderId="1" xfId="0" applyNumberFormat="1" applyFont="1" applyBorder="1" applyAlignment="1">
      <alignment horizontal="center" vertical="top"/>
    </xf>
    <xf numFmtId="0" fontId="0" fillId="3" borderId="5" xfId="0" applyFill="1" applyBorder="1"/>
    <xf numFmtId="2" fontId="0" fillId="3" borderId="5" xfId="0" applyNumberFormat="1" applyFill="1" applyBorder="1"/>
    <xf numFmtId="0" fontId="0" fillId="2" borderId="5" xfId="0" applyFill="1" applyBorder="1"/>
    <xf numFmtId="2" fontId="0" fillId="2" borderId="5" xfId="0" applyNumberFormat="1" applyFill="1" applyBorder="1"/>
    <xf numFmtId="0" fontId="0" fillId="4" borderId="5" xfId="0" applyFill="1" applyBorder="1"/>
    <xf numFmtId="0" fontId="0" fillId="3" borderId="6" xfId="0" applyFill="1" applyBorder="1"/>
    <xf numFmtId="0" fontId="1" fillId="5" borderId="3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 wrapText="1"/>
    </xf>
    <xf numFmtId="2" fontId="1" fillId="5" borderId="3" xfId="0" applyNumberFormat="1" applyFont="1" applyFill="1" applyBorder="1" applyAlignment="1">
      <alignment horizontal="center" vertical="top"/>
    </xf>
    <xf numFmtId="0" fontId="0" fillId="6" borderId="0" xfId="0" applyFill="1"/>
    <xf numFmtId="0" fontId="0" fillId="3" borderId="5" xfId="0" applyFill="1" applyBorder="1" applyAlignment="1">
      <alignment wrapText="1"/>
    </xf>
    <xf numFmtId="0" fontId="0" fillId="2" borderId="6" xfId="0" applyFill="1" applyBorder="1"/>
    <xf numFmtId="165" fontId="0" fillId="2" borderId="5" xfId="0" applyNumberFormat="1" applyFill="1" applyBorder="1"/>
    <xf numFmtId="0" fontId="0" fillId="4" borderId="0" xfId="0" applyFill="1"/>
    <xf numFmtId="0" fontId="0" fillId="0" borderId="5" xfId="0" applyBorder="1"/>
    <xf numFmtId="0" fontId="0" fillId="2" borderId="0" xfId="0" applyFill="1"/>
    <xf numFmtId="0" fontId="0" fillId="3" borderId="0" xfId="0" applyFill="1"/>
    <xf numFmtId="2" fontId="0" fillId="2" borderId="0" xfId="0" applyNumberFormat="1" applyFill="1"/>
    <xf numFmtId="2" fontId="0" fillId="3" borderId="0" xfId="0" applyNumberFormat="1" applyFill="1"/>
    <xf numFmtId="0" fontId="0" fillId="3" borderId="7" xfId="0" applyFill="1" applyBorder="1"/>
    <xf numFmtId="0" fontId="0" fillId="2" borderId="7" xfId="0" applyFill="1" applyBorder="1"/>
    <xf numFmtId="0" fontId="0" fillId="0" borderId="0" xfId="0" applyAlignment="1">
      <alignment horizontal="center"/>
    </xf>
    <xf numFmtId="0" fontId="0" fillId="3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0" xfId="0" applyFill="1" applyAlignment="1">
      <alignment horizontal="center"/>
    </xf>
    <xf numFmtId="20" fontId="0" fillId="0" borderId="0" xfId="0" applyNumberFormat="1"/>
    <xf numFmtId="18" fontId="0" fillId="0" borderId="0" xfId="0" applyNumberFormat="1"/>
    <xf numFmtId="166" fontId="0" fillId="0" borderId="0" xfId="0" applyNumberFormat="1"/>
    <xf numFmtId="18" fontId="0" fillId="0" borderId="0" xfId="0" applyNumberFormat="1" applyAlignment="1">
      <alignment horizontal="left"/>
    </xf>
    <xf numFmtId="0" fontId="0" fillId="4" borderId="7" xfId="0" applyFill="1" applyBorder="1"/>
    <xf numFmtId="0" fontId="0" fillId="4" borderId="0" xfId="0" applyFill="1" applyAlignment="1">
      <alignment horizontal="center"/>
    </xf>
    <xf numFmtId="0" fontId="0" fillId="7" borderId="0" xfId="0" applyFill="1"/>
    <xf numFmtId="164" fontId="0" fillId="0" borderId="0" xfId="0" applyNumberFormat="1" applyAlignment="1">
      <alignment horizontal="right"/>
    </xf>
    <xf numFmtId="0" fontId="0" fillId="0" borderId="0" xfId="0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2" fontId="1" fillId="0" borderId="1" xfId="0" applyNumberFormat="1" applyFont="1" applyBorder="1" applyAlignment="1">
      <alignment horizontal="center" vertical="top" wrapText="1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center" vertical="top" wrapText="1"/>
    </xf>
    <xf numFmtId="164" fontId="1" fillId="5" borderId="2" xfId="0" applyNumberFormat="1" applyFont="1" applyFill="1" applyBorder="1" applyAlignment="1">
      <alignment horizontal="right" vertical="top"/>
    </xf>
    <xf numFmtId="164" fontId="0" fillId="2" borderId="4" xfId="0" applyNumberFormat="1" applyFill="1" applyBorder="1" applyAlignment="1">
      <alignment horizontal="right"/>
    </xf>
    <xf numFmtId="164" fontId="0" fillId="3" borderId="4" xfId="0" applyNumberFormat="1" applyFill="1" applyBorder="1" applyAlignment="1">
      <alignment horizontal="right"/>
    </xf>
    <xf numFmtId="164" fontId="0" fillId="4" borderId="4" xfId="0" applyNumberFormat="1" applyFill="1" applyBorder="1" applyAlignment="1">
      <alignment horizontal="right"/>
    </xf>
    <xf numFmtId="164" fontId="0" fillId="0" borderId="4" xfId="0" applyNumberFormat="1" applyBorder="1" applyAlignment="1">
      <alignment horizontal="right"/>
    </xf>
    <xf numFmtId="164" fontId="0" fillId="4" borderId="0" xfId="0" applyNumberFormat="1" applyFill="1" applyAlignment="1">
      <alignment horizontal="right"/>
    </xf>
    <xf numFmtId="167" fontId="1" fillId="5" borderId="8" xfId="0" applyNumberFormat="1" applyFont="1" applyFill="1" applyBorder="1" applyAlignment="1">
      <alignment horizontal="center" vertical="top"/>
    </xf>
    <xf numFmtId="167" fontId="0" fillId="2" borderId="4" xfId="0" applyNumberFormat="1" applyFill="1" applyBorder="1"/>
    <xf numFmtId="167" fontId="0" fillId="3" borderId="4" xfId="0" applyNumberFormat="1" applyFill="1" applyBorder="1"/>
    <xf numFmtId="167" fontId="0" fillId="4" borderId="4" xfId="0" applyNumberFormat="1" applyFill="1" applyBorder="1"/>
    <xf numFmtId="167" fontId="0" fillId="0" borderId="4" xfId="0" applyNumberFormat="1" applyBorder="1"/>
    <xf numFmtId="167" fontId="0" fillId="2" borderId="9" xfId="0" applyNumberFormat="1" applyFill="1" applyBorder="1"/>
    <xf numFmtId="167" fontId="0" fillId="3" borderId="10" xfId="0" applyNumberFormat="1" applyFill="1" applyBorder="1"/>
    <xf numFmtId="167" fontId="0" fillId="2" borderId="10" xfId="0" applyNumberFormat="1" applyFill="1" applyBorder="1"/>
    <xf numFmtId="167" fontId="0" fillId="3" borderId="0" xfId="0" applyNumberFormat="1" applyFill="1"/>
    <xf numFmtId="167" fontId="0" fillId="2" borderId="0" xfId="0" applyNumberFormat="1" applyFill="1"/>
    <xf numFmtId="167" fontId="0" fillId="0" borderId="0" xfId="0" applyNumberFormat="1"/>
    <xf numFmtId="167" fontId="0" fillId="4" borderId="0" xfId="0" applyNumberFormat="1" applyFill="1"/>
    <xf numFmtId="167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16"/>
  <sheetViews>
    <sheetView tabSelected="1" topLeftCell="F1" workbookViewId="0">
      <pane ySplit="1" topLeftCell="A1069" activePane="bottomLeft" state="frozen"/>
      <selection activeCell="C1" sqref="C1"/>
      <selection pane="bottomLeft" activeCell="Q1084" sqref="Q1084"/>
    </sheetView>
  </sheetViews>
  <sheetFormatPr baseColWidth="10" defaultColWidth="8.85546875" defaultRowHeight="15" x14ac:dyDescent="0.25"/>
  <cols>
    <col min="2" max="2" width="11.42578125" customWidth="1"/>
    <col min="3" max="3" width="21.85546875" customWidth="1"/>
    <col min="4" max="4" width="47.85546875" customWidth="1"/>
    <col min="5" max="5" width="21.85546875" customWidth="1"/>
    <col min="6" max="6" width="40.7109375" customWidth="1"/>
    <col min="7" max="7" width="16.42578125" customWidth="1"/>
    <col min="8" max="8" width="17.140625" style="3" customWidth="1"/>
    <col min="9" max="11" width="17.140625" customWidth="1"/>
    <col min="12" max="12" width="17.140625" style="62" customWidth="1"/>
    <col min="13" max="13" width="12.42578125" style="39" customWidth="1"/>
    <col min="14" max="15" width="12.42578125" customWidth="1"/>
    <col min="16" max="16" width="12.42578125" style="27" customWidth="1"/>
    <col min="17" max="17" width="12.42578125" customWidth="1"/>
    <col min="18" max="18" width="33.7109375" customWidth="1"/>
  </cols>
  <sheetData>
    <row r="1" spans="1:20" s="15" customFormat="1" ht="45" x14ac:dyDescent="0.25">
      <c r="A1" s="13" t="s">
        <v>454</v>
      </c>
      <c r="B1" s="13" t="s">
        <v>0</v>
      </c>
      <c r="C1" s="12" t="s">
        <v>1</v>
      </c>
      <c r="D1" s="12" t="s">
        <v>2</v>
      </c>
      <c r="E1" s="12" t="s">
        <v>546</v>
      </c>
      <c r="F1" s="12" t="s">
        <v>250</v>
      </c>
      <c r="G1" s="12" t="s">
        <v>546</v>
      </c>
      <c r="H1" s="14" t="s">
        <v>3</v>
      </c>
      <c r="I1" s="12" t="s">
        <v>335</v>
      </c>
      <c r="J1" s="13" t="s">
        <v>338</v>
      </c>
      <c r="K1" s="12" t="s">
        <v>336</v>
      </c>
      <c r="L1" s="52" t="s">
        <v>1795</v>
      </c>
      <c r="M1" s="46" t="s">
        <v>4</v>
      </c>
      <c r="N1" s="12" t="s">
        <v>332</v>
      </c>
      <c r="O1" s="12" t="s">
        <v>337</v>
      </c>
      <c r="P1" s="12" t="s">
        <v>333</v>
      </c>
      <c r="Q1" s="12" t="s">
        <v>334</v>
      </c>
      <c r="R1" s="12" t="s">
        <v>501</v>
      </c>
      <c r="S1" s="13" t="s">
        <v>502</v>
      </c>
      <c r="T1" s="13" t="s">
        <v>554</v>
      </c>
    </row>
    <row r="2" spans="1:20" x14ac:dyDescent="0.25">
      <c r="A2">
        <v>4</v>
      </c>
      <c r="B2" s="6" t="s">
        <v>5</v>
      </c>
      <c r="C2" s="6" t="s">
        <v>6</v>
      </c>
      <c r="D2" s="8" t="s">
        <v>133</v>
      </c>
      <c r="E2" s="8"/>
      <c r="F2" s="8"/>
      <c r="G2" s="8"/>
      <c r="H2" s="8">
        <v>1910</v>
      </c>
      <c r="I2" s="8"/>
      <c r="J2" s="8"/>
      <c r="K2" s="8"/>
      <c r="L2" s="53"/>
      <c r="M2" s="47">
        <v>45863</v>
      </c>
      <c r="N2" s="6">
        <f t="shared" ref="N2:N65" si="0">DAY(M2)</f>
        <v>25</v>
      </c>
      <c r="O2" s="6" t="str">
        <f t="shared" ref="O2:O65" si="1">TEXT(M2,"DDDD")</f>
        <v>viernes</v>
      </c>
      <c r="P2" s="28">
        <f t="shared" ref="P2:P33" si="2">MONTH(M2)</f>
        <v>7</v>
      </c>
      <c r="Q2" s="6" t="str">
        <f t="shared" ref="Q2:Q33" si="3">TEXT(M2,"MMMM")</f>
        <v>julio</v>
      </c>
    </row>
    <row r="3" spans="1:20" x14ac:dyDescent="0.25">
      <c r="A3">
        <v>4</v>
      </c>
      <c r="B3" s="8" t="s">
        <v>9</v>
      </c>
      <c r="C3" s="8" t="s">
        <v>6</v>
      </c>
      <c r="D3" s="6" t="s">
        <v>135</v>
      </c>
      <c r="E3" s="6"/>
      <c r="F3" s="6"/>
      <c r="G3" s="6"/>
      <c r="H3" s="6">
        <v>2350</v>
      </c>
      <c r="I3" s="6"/>
      <c r="J3" s="6"/>
      <c r="K3" s="6"/>
      <c r="L3" s="54"/>
      <c r="M3" s="48">
        <v>45863</v>
      </c>
      <c r="N3" s="6">
        <f t="shared" si="0"/>
        <v>25</v>
      </c>
      <c r="O3" s="6" t="str">
        <f t="shared" si="1"/>
        <v>viernes</v>
      </c>
      <c r="P3" s="28">
        <f t="shared" si="2"/>
        <v>7</v>
      </c>
      <c r="Q3" s="6" t="str">
        <f t="shared" si="3"/>
        <v>julio</v>
      </c>
    </row>
    <row r="4" spans="1:20" x14ac:dyDescent="0.25">
      <c r="A4">
        <v>1</v>
      </c>
      <c r="B4" s="6" t="s">
        <v>10</v>
      </c>
      <c r="C4" s="6" t="s">
        <v>6</v>
      </c>
      <c r="D4" s="8" t="s">
        <v>137</v>
      </c>
      <c r="E4" s="8"/>
      <c r="F4" s="8"/>
      <c r="G4" s="8"/>
      <c r="H4" s="8">
        <v>2481</v>
      </c>
      <c r="I4" s="8"/>
      <c r="J4" s="8"/>
      <c r="K4" s="8"/>
      <c r="L4" s="53"/>
      <c r="M4" s="47">
        <v>45863</v>
      </c>
      <c r="N4" s="6">
        <f t="shared" si="0"/>
        <v>25</v>
      </c>
      <c r="O4" s="6" t="str">
        <f t="shared" si="1"/>
        <v>viernes</v>
      </c>
      <c r="P4" s="28">
        <f t="shared" si="2"/>
        <v>7</v>
      </c>
      <c r="Q4" s="6" t="str">
        <f t="shared" si="3"/>
        <v>julio</v>
      </c>
    </row>
    <row r="5" spans="1:20" x14ac:dyDescent="0.25">
      <c r="A5">
        <v>1</v>
      </c>
      <c r="B5" s="8" t="s">
        <v>11</v>
      </c>
      <c r="C5" s="8" t="s">
        <v>6</v>
      </c>
      <c r="D5" s="6" t="s">
        <v>139</v>
      </c>
      <c r="E5" s="6"/>
      <c r="F5" s="6"/>
      <c r="G5" s="6"/>
      <c r="H5" s="6">
        <v>2141</v>
      </c>
      <c r="I5" s="6"/>
      <c r="J5" s="6"/>
      <c r="K5" s="6"/>
      <c r="L5" s="54"/>
      <c r="M5" s="48">
        <v>45863</v>
      </c>
      <c r="N5" s="6">
        <f t="shared" si="0"/>
        <v>25</v>
      </c>
      <c r="O5" s="6" t="str">
        <f t="shared" si="1"/>
        <v>viernes</v>
      </c>
      <c r="P5" s="28">
        <f t="shared" si="2"/>
        <v>7</v>
      </c>
      <c r="Q5" s="6" t="str">
        <f t="shared" si="3"/>
        <v>julio</v>
      </c>
    </row>
    <row r="6" spans="1:20" x14ac:dyDescent="0.25">
      <c r="A6">
        <v>1</v>
      </c>
      <c r="B6" s="6" t="s">
        <v>12</v>
      </c>
      <c r="C6" s="6" t="s">
        <v>6</v>
      </c>
      <c r="D6" s="8" t="s">
        <v>53</v>
      </c>
      <c r="E6" s="8"/>
      <c r="F6" s="8"/>
      <c r="G6" s="8"/>
      <c r="H6" s="8">
        <v>3260</v>
      </c>
      <c r="I6" s="8"/>
      <c r="J6" s="8"/>
      <c r="K6" s="8"/>
      <c r="L6" s="53"/>
      <c r="M6" s="47">
        <v>45863</v>
      </c>
      <c r="N6" s="6">
        <f t="shared" si="0"/>
        <v>25</v>
      </c>
      <c r="O6" s="6" t="str">
        <f t="shared" si="1"/>
        <v>viernes</v>
      </c>
      <c r="P6" s="28">
        <f t="shared" si="2"/>
        <v>7</v>
      </c>
      <c r="Q6" s="6" t="str">
        <f t="shared" si="3"/>
        <v>julio</v>
      </c>
    </row>
    <row r="7" spans="1:20" x14ac:dyDescent="0.25">
      <c r="A7">
        <v>1</v>
      </c>
      <c r="B7" s="8" t="s">
        <v>13</v>
      </c>
      <c r="C7" s="8" t="s">
        <v>6</v>
      </c>
      <c r="D7" s="6" t="s">
        <v>142</v>
      </c>
      <c r="E7" s="6"/>
      <c r="F7" s="6"/>
      <c r="G7" s="6"/>
      <c r="H7" s="6">
        <v>2610</v>
      </c>
      <c r="I7" s="6"/>
      <c r="J7" s="6"/>
      <c r="K7" s="6"/>
      <c r="L7" s="54"/>
      <c r="M7" s="48">
        <v>45863</v>
      </c>
      <c r="N7" s="6">
        <f t="shared" si="0"/>
        <v>25</v>
      </c>
      <c r="O7" s="6" t="str">
        <f t="shared" si="1"/>
        <v>viernes</v>
      </c>
      <c r="P7" s="28">
        <f t="shared" si="2"/>
        <v>7</v>
      </c>
      <c r="Q7" s="6" t="str">
        <f t="shared" si="3"/>
        <v>julio</v>
      </c>
    </row>
    <row r="8" spans="1:20" x14ac:dyDescent="0.25">
      <c r="A8">
        <v>1</v>
      </c>
      <c r="B8" s="6" t="s">
        <v>14</v>
      </c>
      <c r="C8" s="6" t="s">
        <v>6</v>
      </c>
      <c r="D8" s="8" t="s">
        <v>24</v>
      </c>
      <c r="E8" s="8"/>
      <c r="F8" s="8"/>
      <c r="G8" s="8"/>
      <c r="H8" s="8">
        <v>5475</v>
      </c>
      <c r="I8" s="8"/>
      <c r="J8" s="8"/>
      <c r="K8" s="8"/>
      <c r="L8" s="53"/>
      <c r="M8" s="47">
        <v>45863</v>
      </c>
      <c r="N8" s="6">
        <f t="shared" si="0"/>
        <v>25</v>
      </c>
      <c r="O8" s="6" t="str">
        <f t="shared" si="1"/>
        <v>viernes</v>
      </c>
      <c r="P8" s="28">
        <f t="shared" si="2"/>
        <v>7</v>
      </c>
      <c r="Q8" s="6" t="str">
        <f t="shared" si="3"/>
        <v>julio</v>
      </c>
    </row>
    <row r="9" spans="1:20" x14ac:dyDescent="0.25">
      <c r="A9">
        <v>5</v>
      </c>
      <c r="B9" s="6" t="s">
        <v>16</v>
      </c>
      <c r="C9" s="6" t="s">
        <v>6</v>
      </c>
      <c r="D9" s="6" t="s">
        <v>197</v>
      </c>
      <c r="E9" s="6"/>
      <c r="F9" s="6" t="s">
        <v>196</v>
      </c>
      <c r="G9" s="6"/>
      <c r="H9" s="6">
        <v>3430</v>
      </c>
      <c r="I9" s="6">
        <v>2710</v>
      </c>
      <c r="J9" s="6"/>
      <c r="K9" s="6">
        <v>600</v>
      </c>
      <c r="L9" s="54"/>
      <c r="M9" s="48">
        <v>45866</v>
      </c>
      <c r="N9" s="6">
        <f t="shared" si="0"/>
        <v>28</v>
      </c>
      <c r="O9" s="6" t="str">
        <f t="shared" si="1"/>
        <v>lunes</v>
      </c>
      <c r="P9" s="28">
        <f t="shared" si="2"/>
        <v>7</v>
      </c>
      <c r="Q9" s="6" t="str">
        <f t="shared" si="3"/>
        <v>julio</v>
      </c>
    </row>
    <row r="10" spans="1:20" x14ac:dyDescent="0.25">
      <c r="A10">
        <v>5</v>
      </c>
      <c r="B10" s="8" t="s">
        <v>18</v>
      </c>
      <c r="C10" s="8" t="s">
        <v>19</v>
      </c>
      <c r="D10" s="8" t="s">
        <v>189</v>
      </c>
      <c r="E10" s="8"/>
      <c r="F10" s="8"/>
      <c r="G10" s="8"/>
      <c r="H10" s="8">
        <v>2960</v>
      </c>
      <c r="I10" s="8">
        <v>1400</v>
      </c>
      <c r="J10" s="8"/>
      <c r="K10" s="8">
        <v>1500</v>
      </c>
      <c r="L10" s="53"/>
      <c r="M10" s="47">
        <v>45866</v>
      </c>
      <c r="N10" s="6">
        <f t="shared" si="0"/>
        <v>28</v>
      </c>
      <c r="O10" s="6" t="str">
        <f t="shared" si="1"/>
        <v>lunes</v>
      </c>
      <c r="P10" s="28">
        <f t="shared" si="2"/>
        <v>7</v>
      </c>
      <c r="Q10" s="6" t="str">
        <f t="shared" si="3"/>
        <v>julio</v>
      </c>
    </row>
    <row r="11" spans="1:20" x14ac:dyDescent="0.25">
      <c r="A11">
        <v>5</v>
      </c>
      <c r="B11" s="6" t="s">
        <v>21</v>
      </c>
      <c r="C11" s="6" t="s">
        <v>19</v>
      </c>
      <c r="D11" s="6" t="s">
        <v>198</v>
      </c>
      <c r="E11" s="6"/>
      <c r="F11" s="6" t="s">
        <v>198</v>
      </c>
      <c r="G11" s="6"/>
      <c r="H11" s="6">
        <v>4710</v>
      </c>
      <c r="I11" s="6">
        <v>3250</v>
      </c>
      <c r="J11" s="6">
        <v>40</v>
      </c>
      <c r="K11" s="6">
        <v>1300</v>
      </c>
      <c r="L11" s="54"/>
      <c r="M11" s="48">
        <v>45866</v>
      </c>
      <c r="N11" s="6">
        <f t="shared" si="0"/>
        <v>28</v>
      </c>
      <c r="O11" s="6" t="str">
        <f t="shared" si="1"/>
        <v>lunes</v>
      </c>
      <c r="P11" s="28">
        <f t="shared" si="2"/>
        <v>7</v>
      </c>
      <c r="Q11" s="6" t="str">
        <f t="shared" si="3"/>
        <v>julio</v>
      </c>
    </row>
    <row r="12" spans="1:20" x14ac:dyDescent="0.25">
      <c r="A12">
        <v>5</v>
      </c>
      <c r="B12" s="8" t="s">
        <v>23</v>
      </c>
      <c r="C12" s="8" t="s">
        <v>19</v>
      </c>
      <c r="D12" s="8" t="s">
        <v>199</v>
      </c>
      <c r="E12" s="8"/>
      <c r="F12" s="8"/>
      <c r="G12" s="8"/>
      <c r="H12" s="8">
        <v>5100</v>
      </c>
      <c r="I12" s="8">
        <v>3540</v>
      </c>
      <c r="J12" s="8"/>
      <c r="K12" s="8">
        <v>1460</v>
      </c>
      <c r="L12" s="53"/>
      <c r="M12" s="47">
        <v>45866</v>
      </c>
      <c r="N12" s="6">
        <f t="shared" si="0"/>
        <v>28</v>
      </c>
      <c r="O12" s="6" t="str">
        <f t="shared" si="1"/>
        <v>lunes</v>
      </c>
      <c r="P12" s="28">
        <f t="shared" si="2"/>
        <v>7</v>
      </c>
      <c r="Q12" s="6" t="str">
        <f t="shared" si="3"/>
        <v>julio</v>
      </c>
    </row>
    <row r="13" spans="1:20" x14ac:dyDescent="0.25">
      <c r="A13">
        <v>5</v>
      </c>
      <c r="B13" s="6" t="s">
        <v>25</v>
      </c>
      <c r="C13" s="6" t="s">
        <v>19</v>
      </c>
      <c r="D13" s="6" t="s">
        <v>200</v>
      </c>
      <c r="E13" s="6"/>
      <c r="F13" s="6"/>
      <c r="G13" s="6"/>
      <c r="H13" s="6">
        <v>2030</v>
      </c>
      <c r="I13" s="6">
        <v>1220</v>
      </c>
      <c r="J13" s="6"/>
      <c r="K13" s="6">
        <v>750</v>
      </c>
      <c r="L13" s="54"/>
      <c r="M13" s="48">
        <v>45866</v>
      </c>
      <c r="N13" s="6">
        <f t="shared" si="0"/>
        <v>28</v>
      </c>
      <c r="O13" s="6" t="str">
        <f t="shared" si="1"/>
        <v>lunes</v>
      </c>
      <c r="P13" s="28">
        <f t="shared" si="2"/>
        <v>7</v>
      </c>
      <c r="Q13" s="6" t="str">
        <f t="shared" si="3"/>
        <v>julio</v>
      </c>
    </row>
    <row r="14" spans="1:20" x14ac:dyDescent="0.25">
      <c r="A14">
        <v>4</v>
      </c>
      <c r="B14" s="8" t="s">
        <v>15</v>
      </c>
      <c r="C14" s="8" t="s">
        <v>6</v>
      </c>
      <c r="D14" s="8" t="s">
        <v>195</v>
      </c>
      <c r="E14" s="8"/>
      <c r="F14" s="8" t="s">
        <v>195</v>
      </c>
      <c r="G14" s="8"/>
      <c r="H14" s="8">
        <v>2120</v>
      </c>
      <c r="I14" s="8">
        <v>1800</v>
      </c>
      <c r="J14" s="8"/>
      <c r="K14" s="8">
        <v>200</v>
      </c>
      <c r="L14" s="53"/>
      <c r="M14" s="47">
        <v>45866</v>
      </c>
      <c r="N14" s="6">
        <f t="shared" si="0"/>
        <v>28</v>
      </c>
      <c r="O14" s="6" t="str">
        <f t="shared" si="1"/>
        <v>lunes</v>
      </c>
      <c r="P14" s="28">
        <f t="shared" si="2"/>
        <v>7</v>
      </c>
      <c r="Q14" s="6" t="str">
        <f t="shared" si="3"/>
        <v>julio</v>
      </c>
    </row>
    <row r="15" spans="1:20" x14ac:dyDescent="0.25">
      <c r="A15">
        <v>4</v>
      </c>
      <c r="B15" s="8" t="s">
        <v>26</v>
      </c>
      <c r="C15" s="8" t="s">
        <v>6</v>
      </c>
      <c r="D15" s="8" t="s">
        <v>201</v>
      </c>
      <c r="E15" s="8"/>
      <c r="F15" s="8"/>
      <c r="G15" s="8"/>
      <c r="H15" s="8">
        <v>1610</v>
      </c>
      <c r="I15" s="8"/>
      <c r="J15" s="8"/>
      <c r="K15" s="8"/>
      <c r="L15" s="53"/>
      <c r="M15" s="47">
        <v>45866</v>
      </c>
      <c r="N15" s="6">
        <f t="shared" si="0"/>
        <v>28</v>
      </c>
      <c r="O15" s="6" t="str">
        <f t="shared" si="1"/>
        <v>lunes</v>
      </c>
      <c r="P15" s="28">
        <f t="shared" si="2"/>
        <v>7</v>
      </c>
      <c r="Q15" s="6" t="str">
        <f t="shared" si="3"/>
        <v>julio</v>
      </c>
    </row>
    <row r="16" spans="1:20" x14ac:dyDescent="0.25">
      <c r="A16">
        <v>12</v>
      </c>
      <c r="B16" s="6" t="s">
        <v>36</v>
      </c>
      <c r="C16" s="6" t="s">
        <v>6</v>
      </c>
      <c r="D16" s="6" t="s">
        <v>173</v>
      </c>
      <c r="E16" s="6"/>
      <c r="F16" s="6" t="s">
        <v>173</v>
      </c>
      <c r="G16" s="6"/>
      <c r="H16" s="6">
        <v>3120</v>
      </c>
      <c r="I16" s="6"/>
      <c r="J16" s="6"/>
      <c r="K16" s="6"/>
      <c r="L16" s="54"/>
      <c r="M16" s="48">
        <v>45867</v>
      </c>
      <c r="N16" s="6">
        <f t="shared" si="0"/>
        <v>29</v>
      </c>
      <c r="O16" s="6" t="str">
        <f t="shared" si="1"/>
        <v>martes</v>
      </c>
      <c r="P16" s="28">
        <f t="shared" si="2"/>
        <v>7</v>
      </c>
      <c r="Q16" s="6" t="str">
        <f t="shared" si="3"/>
        <v>julio</v>
      </c>
    </row>
    <row r="17" spans="1:19" x14ac:dyDescent="0.25">
      <c r="A17">
        <v>12</v>
      </c>
      <c r="B17" s="8" t="s">
        <v>38</v>
      </c>
      <c r="C17" s="8" t="s">
        <v>19</v>
      </c>
      <c r="D17" s="8" t="s">
        <v>153</v>
      </c>
      <c r="E17" s="8"/>
      <c r="F17" s="8"/>
      <c r="G17" s="8"/>
      <c r="H17" s="8">
        <v>1940</v>
      </c>
      <c r="I17" s="8">
        <v>1200</v>
      </c>
      <c r="J17" s="8"/>
      <c r="K17" s="8">
        <v>680</v>
      </c>
      <c r="L17" s="53"/>
      <c r="M17" s="47">
        <v>45867</v>
      </c>
      <c r="N17" s="6">
        <f t="shared" si="0"/>
        <v>29</v>
      </c>
      <c r="O17" s="6" t="str">
        <f t="shared" si="1"/>
        <v>martes</v>
      </c>
      <c r="P17" s="28">
        <f t="shared" si="2"/>
        <v>7</v>
      </c>
      <c r="Q17" s="6" t="str">
        <f t="shared" si="3"/>
        <v>julio</v>
      </c>
    </row>
    <row r="18" spans="1:19" x14ac:dyDescent="0.25">
      <c r="A18">
        <v>11</v>
      </c>
      <c r="B18" s="6" t="s">
        <v>39</v>
      </c>
      <c r="C18" s="6" t="s">
        <v>19</v>
      </c>
      <c r="D18" s="6" t="s">
        <v>174</v>
      </c>
      <c r="E18" s="6"/>
      <c r="F18" s="6"/>
      <c r="G18" s="6"/>
      <c r="H18" s="6">
        <v>1470</v>
      </c>
      <c r="I18" s="6">
        <v>1410</v>
      </c>
      <c r="J18" s="6">
        <v>60</v>
      </c>
      <c r="K18" s="6"/>
      <c r="L18" s="54"/>
      <c r="M18" s="48">
        <v>45867</v>
      </c>
      <c r="N18" s="6">
        <f t="shared" si="0"/>
        <v>29</v>
      </c>
      <c r="O18" s="6" t="str">
        <f t="shared" si="1"/>
        <v>martes</v>
      </c>
      <c r="P18" s="28">
        <f t="shared" si="2"/>
        <v>7</v>
      </c>
      <c r="Q18" s="6" t="str">
        <f t="shared" si="3"/>
        <v>julio</v>
      </c>
    </row>
    <row r="19" spans="1:19" x14ac:dyDescent="0.25">
      <c r="A19">
        <v>11</v>
      </c>
      <c r="B19" s="8" t="s">
        <v>41</v>
      </c>
      <c r="C19" s="8" t="s">
        <v>19</v>
      </c>
      <c r="D19" s="8" t="s">
        <v>157</v>
      </c>
      <c r="E19" s="8"/>
      <c r="F19" s="8"/>
      <c r="G19" s="8"/>
      <c r="H19" s="8">
        <v>3400</v>
      </c>
      <c r="I19" s="8"/>
      <c r="J19" s="8"/>
      <c r="K19" s="8"/>
      <c r="L19" s="53"/>
      <c r="M19" s="47">
        <v>45867</v>
      </c>
      <c r="N19" s="6">
        <f t="shared" si="0"/>
        <v>29</v>
      </c>
      <c r="O19" s="6" t="str">
        <f t="shared" si="1"/>
        <v>martes</v>
      </c>
      <c r="P19" s="28">
        <f t="shared" si="2"/>
        <v>7</v>
      </c>
      <c r="Q19" s="6" t="str">
        <f t="shared" si="3"/>
        <v>julio</v>
      </c>
    </row>
    <row r="20" spans="1:19" x14ac:dyDescent="0.25">
      <c r="A20">
        <v>11</v>
      </c>
      <c r="B20" s="6" t="s">
        <v>43</v>
      </c>
      <c r="C20" s="6" t="s">
        <v>19</v>
      </c>
      <c r="D20" s="6" t="s">
        <v>159</v>
      </c>
      <c r="E20" s="6"/>
      <c r="F20" s="6"/>
      <c r="G20" s="6"/>
      <c r="H20" s="6">
        <v>1260</v>
      </c>
      <c r="I20" s="6">
        <v>1200</v>
      </c>
      <c r="J20" s="6">
        <v>60</v>
      </c>
      <c r="K20" s="6"/>
      <c r="L20" s="54"/>
      <c r="M20" s="48">
        <v>45867</v>
      </c>
      <c r="N20" s="6">
        <f t="shared" si="0"/>
        <v>29</v>
      </c>
      <c r="O20" s="6" t="str">
        <f t="shared" si="1"/>
        <v>martes</v>
      </c>
      <c r="P20" s="28">
        <f t="shared" si="2"/>
        <v>7</v>
      </c>
      <c r="Q20" s="6" t="str">
        <f t="shared" si="3"/>
        <v>julio</v>
      </c>
    </row>
    <row r="21" spans="1:19" x14ac:dyDescent="0.25">
      <c r="A21">
        <v>9</v>
      </c>
      <c r="B21" s="6" t="s">
        <v>27</v>
      </c>
      <c r="C21" s="6" t="s">
        <v>6</v>
      </c>
      <c r="D21" s="6" t="s">
        <v>166</v>
      </c>
      <c r="E21" s="6"/>
      <c r="F21" s="6"/>
      <c r="G21" s="6"/>
      <c r="H21" s="6">
        <v>2500</v>
      </c>
      <c r="I21" s="6">
        <v>1200</v>
      </c>
      <c r="J21" s="6"/>
      <c r="K21" s="6">
        <v>1240</v>
      </c>
      <c r="L21" s="54"/>
      <c r="M21" s="48">
        <v>45867</v>
      </c>
      <c r="N21" s="6">
        <f t="shared" si="0"/>
        <v>29</v>
      </c>
      <c r="O21" s="6" t="str">
        <f t="shared" si="1"/>
        <v>martes</v>
      </c>
      <c r="P21" s="28">
        <f t="shared" si="2"/>
        <v>7</v>
      </c>
      <c r="Q21" s="6" t="str">
        <f t="shared" si="3"/>
        <v>julio</v>
      </c>
    </row>
    <row r="22" spans="1:19" x14ac:dyDescent="0.25">
      <c r="A22">
        <v>9</v>
      </c>
      <c r="B22" s="8" t="s">
        <v>29</v>
      </c>
      <c r="C22" s="8" t="s">
        <v>19</v>
      </c>
      <c r="D22" s="8" t="s">
        <v>167</v>
      </c>
      <c r="E22" s="8"/>
      <c r="F22" s="8"/>
      <c r="G22" s="8"/>
      <c r="H22" s="8">
        <v>1860</v>
      </c>
      <c r="I22" s="8">
        <v>1200</v>
      </c>
      <c r="J22" s="8"/>
      <c r="K22" s="8">
        <v>600</v>
      </c>
      <c r="L22" s="53"/>
      <c r="M22" s="47">
        <v>45867</v>
      </c>
      <c r="N22" s="6">
        <f t="shared" si="0"/>
        <v>29</v>
      </c>
      <c r="O22" s="6" t="str">
        <f t="shared" si="1"/>
        <v>martes</v>
      </c>
      <c r="P22" s="28">
        <f t="shared" si="2"/>
        <v>7</v>
      </c>
      <c r="Q22" s="6" t="str">
        <f t="shared" si="3"/>
        <v>julio</v>
      </c>
    </row>
    <row r="23" spans="1:19" x14ac:dyDescent="0.25">
      <c r="A23">
        <v>9</v>
      </c>
      <c r="B23" s="8" t="s">
        <v>44</v>
      </c>
      <c r="C23" s="8" t="s">
        <v>19</v>
      </c>
      <c r="D23" s="8" t="s">
        <v>161</v>
      </c>
      <c r="E23" s="8"/>
      <c r="F23" s="8"/>
      <c r="G23" s="8"/>
      <c r="H23" s="8">
        <v>1260</v>
      </c>
      <c r="I23" s="8">
        <v>1200</v>
      </c>
      <c r="J23" s="8">
        <v>60</v>
      </c>
      <c r="K23" s="8"/>
      <c r="L23" s="53"/>
      <c r="M23" s="47">
        <v>45867</v>
      </c>
      <c r="N23" s="6">
        <f t="shared" si="0"/>
        <v>29</v>
      </c>
      <c r="O23" s="6" t="str">
        <f t="shared" si="1"/>
        <v>martes</v>
      </c>
      <c r="P23" s="28">
        <f t="shared" si="2"/>
        <v>7</v>
      </c>
      <c r="Q23" s="6" t="str">
        <f t="shared" si="3"/>
        <v>julio</v>
      </c>
    </row>
    <row r="24" spans="1:19" x14ac:dyDescent="0.25">
      <c r="A24">
        <v>9</v>
      </c>
      <c r="B24" s="6" t="s">
        <v>45</v>
      </c>
      <c r="C24" s="6" t="s">
        <v>6</v>
      </c>
      <c r="D24" s="6" t="s">
        <v>175</v>
      </c>
      <c r="E24" s="6"/>
      <c r="F24" s="6"/>
      <c r="G24" s="6"/>
      <c r="H24" s="6">
        <v>2360</v>
      </c>
      <c r="I24" s="6">
        <v>1200</v>
      </c>
      <c r="J24" s="6"/>
      <c r="K24" s="6">
        <v>1100</v>
      </c>
      <c r="L24" s="54"/>
      <c r="M24" s="48">
        <v>45867</v>
      </c>
      <c r="N24" s="6">
        <f t="shared" si="0"/>
        <v>29</v>
      </c>
      <c r="O24" s="6" t="str">
        <f t="shared" si="1"/>
        <v>martes</v>
      </c>
      <c r="P24" s="28">
        <f t="shared" si="2"/>
        <v>7</v>
      </c>
      <c r="Q24" s="6" t="str">
        <f t="shared" si="3"/>
        <v>julio</v>
      </c>
    </row>
    <row r="25" spans="1:19" x14ac:dyDescent="0.25">
      <c r="A25">
        <v>9</v>
      </c>
      <c r="B25" s="8" t="s">
        <v>46</v>
      </c>
      <c r="C25" s="8" t="s">
        <v>19</v>
      </c>
      <c r="D25" s="8" t="s">
        <v>164</v>
      </c>
      <c r="E25" s="8"/>
      <c r="F25" s="8"/>
      <c r="G25" s="8"/>
      <c r="H25" s="8">
        <v>2820</v>
      </c>
      <c r="I25" s="8">
        <v>1200</v>
      </c>
      <c r="J25" s="8"/>
      <c r="K25" s="8">
        <v>1560</v>
      </c>
      <c r="L25" s="53"/>
      <c r="M25" s="47">
        <v>45867</v>
      </c>
      <c r="N25" s="6">
        <f t="shared" si="0"/>
        <v>29</v>
      </c>
      <c r="O25" s="6" t="str">
        <f t="shared" si="1"/>
        <v>martes</v>
      </c>
      <c r="P25" s="28">
        <f t="shared" si="2"/>
        <v>7</v>
      </c>
      <c r="Q25" s="6" t="str">
        <f t="shared" si="3"/>
        <v>julio</v>
      </c>
    </row>
    <row r="26" spans="1:19" x14ac:dyDescent="0.25">
      <c r="A26">
        <v>9</v>
      </c>
      <c r="B26" s="6" t="s">
        <v>48</v>
      </c>
      <c r="C26" s="6" t="s">
        <v>6</v>
      </c>
      <c r="D26" s="6" t="s">
        <v>161</v>
      </c>
      <c r="E26" s="6"/>
      <c r="F26" s="6"/>
      <c r="G26" s="6"/>
      <c r="H26" s="6">
        <v>5850</v>
      </c>
      <c r="I26" s="6">
        <v>4700</v>
      </c>
      <c r="J26" s="6">
        <v>40</v>
      </c>
      <c r="K26" s="6">
        <v>1050</v>
      </c>
      <c r="L26" s="54"/>
      <c r="M26" s="48">
        <v>45867</v>
      </c>
      <c r="N26" s="6">
        <f t="shared" si="0"/>
        <v>29</v>
      </c>
      <c r="O26" s="6" t="str">
        <f t="shared" si="1"/>
        <v>martes</v>
      </c>
      <c r="P26" s="28">
        <f t="shared" si="2"/>
        <v>7</v>
      </c>
      <c r="Q26" s="6" t="str">
        <f t="shared" si="3"/>
        <v>julio</v>
      </c>
    </row>
    <row r="27" spans="1:19" x14ac:dyDescent="0.25">
      <c r="A27">
        <v>8</v>
      </c>
      <c r="B27" s="6" t="s">
        <v>30</v>
      </c>
      <c r="C27" s="6" t="s">
        <v>19</v>
      </c>
      <c r="D27" s="6" t="s">
        <v>147</v>
      </c>
      <c r="E27" s="6"/>
      <c r="F27" s="6"/>
      <c r="G27" s="6"/>
      <c r="H27" s="6">
        <v>2860</v>
      </c>
      <c r="I27" s="6">
        <v>1200</v>
      </c>
      <c r="J27" s="6"/>
      <c r="K27" s="6">
        <v>1600</v>
      </c>
      <c r="L27" s="54"/>
      <c r="M27" s="48">
        <v>45867</v>
      </c>
      <c r="N27" s="6">
        <f t="shared" si="0"/>
        <v>29</v>
      </c>
      <c r="O27" s="6" t="str">
        <f t="shared" si="1"/>
        <v>martes</v>
      </c>
      <c r="P27" s="28">
        <f t="shared" si="2"/>
        <v>7</v>
      </c>
      <c r="Q27" s="6" t="str">
        <f t="shared" si="3"/>
        <v>julio</v>
      </c>
    </row>
    <row r="28" spans="1:19" x14ac:dyDescent="0.25">
      <c r="A28">
        <v>8</v>
      </c>
      <c r="B28" s="8" t="s">
        <v>31</v>
      </c>
      <c r="C28" s="8" t="s">
        <v>19</v>
      </c>
      <c r="D28" s="8" t="s">
        <v>169</v>
      </c>
      <c r="E28" s="8"/>
      <c r="F28" s="8"/>
      <c r="G28" s="8"/>
      <c r="H28" s="8">
        <v>2280</v>
      </c>
      <c r="I28" s="8">
        <v>1200</v>
      </c>
      <c r="J28" s="8"/>
      <c r="K28" s="8">
        <v>1020</v>
      </c>
      <c r="L28" s="53"/>
      <c r="M28" s="47">
        <v>45867</v>
      </c>
      <c r="N28" s="6">
        <f t="shared" si="0"/>
        <v>29</v>
      </c>
      <c r="O28" s="6" t="str">
        <f t="shared" si="1"/>
        <v>martes</v>
      </c>
      <c r="P28" s="28">
        <f t="shared" si="2"/>
        <v>7</v>
      </c>
      <c r="Q28" s="6" t="str">
        <f t="shared" si="3"/>
        <v>julio</v>
      </c>
    </row>
    <row r="29" spans="1:19" x14ac:dyDescent="0.25">
      <c r="A29">
        <v>8</v>
      </c>
      <c r="B29" s="6" t="s">
        <v>32</v>
      </c>
      <c r="C29" s="6" t="s">
        <v>6</v>
      </c>
      <c r="D29" s="6" t="s">
        <v>170</v>
      </c>
      <c r="E29" s="6"/>
      <c r="F29" s="6"/>
      <c r="G29" s="6"/>
      <c r="H29" s="6">
        <v>2760</v>
      </c>
      <c r="I29" s="6">
        <v>1200</v>
      </c>
      <c r="J29" s="6"/>
      <c r="K29" s="6">
        <v>1500</v>
      </c>
      <c r="L29" s="54"/>
      <c r="M29" s="48">
        <v>45867</v>
      </c>
      <c r="N29" s="6">
        <f t="shared" si="0"/>
        <v>29</v>
      </c>
      <c r="O29" s="6" t="str">
        <f t="shared" si="1"/>
        <v>martes</v>
      </c>
      <c r="P29" s="28">
        <f t="shared" si="2"/>
        <v>7</v>
      </c>
      <c r="Q29" s="6" t="str">
        <f t="shared" si="3"/>
        <v>julio</v>
      </c>
    </row>
    <row r="30" spans="1:19" x14ac:dyDescent="0.25">
      <c r="A30">
        <v>7</v>
      </c>
      <c r="B30" s="8" t="s">
        <v>34</v>
      </c>
      <c r="C30" s="8" t="s">
        <v>6</v>
      </c>
      <c r="D30" s="8" t="s">
        <v>171</v>
      </c>
      <c r="E30" s="8"/>
      <c r="F30" s="8" t="s">
        <v>172</v>
      </c>
      <c r="G30" s="8"/>
      <c r="H30" s="8">
        <v>2570</v>
      </c>
      <c r="I30" s="8">
        <v>2450</v>
      </c>
      <c r="J30" s="8"/>
      <c r="K30" s="8"/>
      <c r="L30" s="53"/>
      <c r="M30" s="47">
        <v>45867</v>
      </c>
      <c r="N30" s="6">
        <f t="shared" si="0"/>
        <v>29</v>
      </c>
      <c r="O30" s="6" t="str">
        <f t="shared" si="1"/>
        <v>martes</v>
      </c>
      <c r="P30" s="28">
        <f t="shared" si="2"/>
        <v>7</v>
      </c>
      <c r="Q30" s="6" t="str">
        <f t="shared" si="3"/>
        <v>julio</v>
      </c>
    </row>
    <row r="31" spans="1:19" x14ac:dyDescent="0.25">
      <c r="A31">
        <v>11</v>
      </c>
      <c r="B31" s="6" t="s">
        <v>116</v>
      </c>
      <c r="C31" s="6" t="s">
        <v>117</v>
      </c>
      <c r="D31" s="20" t="s">
        <v>184</v>
      </c>
      <c r="E31" s="20"/>
      <c r="F31" s="20" t="s">
        <v>184</v>
      </c>
      <c r="G31" s="20"/>
      <c r="H31" s="20">
        <v>1920</v>
      </c>
      <c r="I31" s="10">
        <v>1800</v>
      </c>
      <c r="J31" s="10"/>
      <c r="K31" s="10"/>
      <c r="L31" s="55"/>
      <c r="M31" s="49">
        <v>45868</v>
      </c>
      <c r="N31" s="6">
        <f t="shared" si="0"/>
        <v>30</v>
      </c>
      <c r="O31" s="6" t="str">
        <f t="shared" si="1"/>
        <v>miércoles</v>
      </c>
      <c r="P31" s="28">
        <f t="shared" si="2"/>
        <v>7</v>
      </c>
      <c r="Q31" s="6" t="str">
        <f t="shared" si="3"/>
        <v>julio</v>
      </c>
      <c r="R31" t="s">
        <v>339</v>
      </c>
      <c r="S31">
        <v>19692</v>
      </c>
    </row>
    <row r="32" spans="1:19" x14ac:dyDescent="0.25">
      <c r="A32">
        <v>9</v>
      </c>
      <c r="B32" s="8" t="s">
        <v>50</v>
      </c>
      <c r="C32" s="8" t="s">
        <v>19</v>
      </c>
      <c r="D32" s="20" t="s">
        <v>183</v>
      </c>
      <c r="E32" s="20"/>
      <c r="F32" s="20" t="s">
        <v>183</v>
      </c>
      <c r="G32" s="20"/>
      <c r="H32" s="20">
        <v>2720</v>
      </c>
      <c r="I32" s="10">
        <v>2100</v>
      </c>
      <c r="J32" s="10"/>
      <c r="K32" s="10">
        <v>500</v>
      </c>
      <c r="L32" s="55"/>
      <c r="M32" s="49">
        <v>45868</v>
      </c>
      <c r="N32" s="6">
        <f t="shared" si="0"/>
        <v>30</v>
      </c>
      <c r="O32" s="6" t="str">
        <f t="shared" si="1"/>
        <v>miércoles</v>
      </c>
      <c r="P32" s="28">
        <f t="shared" si="2"/>
        <v>7</v>
      </c>
      <c r="Q32" s="6" t="str">
        <f t="shared" si="3"/>
        <v>julio</v>
      </c>
    </row>
    <row r="33" spans="1:19" x14ac:dyDescent="0.25">
      <c r="A33">
        <v>8</v>
      </c>
      <c r="B33" s="6" t="s">
        <v>51</v>
      </c>
      <c r="C33" s="6" t="s">
        <v>19</v>
      </c>
      <c r="D33" s="20" t="s">
        <v>178</v>
      </c>
      <c r="E33" s="20"/>
      <c r="F33" s="20"/>
      <c r="G33" s="20"/>
      <c r="H33" s="20">
        <v>2470</v>
      </c>
      <c r="I33" s="10">
        <v>2050</v>
      </c>
      <c r="J33" s="10"/>
      <c r="K33" s="10">
        <v>360</v>
      </c>
      <c r="L33" s="55"/>
      <c r="M33" s="49">
        <v>45868</v>
      </c>
      <c r="N33" s="6">
        <f t="shared" si="0"/>
        <v>30</v>
      </c>
      <c r="O33" s="6" t="str">
        <f t="shared" si="1"/>
        <v>miércoles</v>
      </c>
      <c r="P33" s="28">
        <f t="shared" si="2"/>
        <v>7</v>
      </c>
      <c r="Q33" s="6" t="str">
        <f t="shared" si="3"/>
        <v>julio</v>
      </c>
    </row>
    <row r="34" spans="1:19" x14ac:dyDescent="0.25">
      <c r="A34">
        <v>8</v>
      </c>
      <c r="B34" s="8" t="s">
        <v>52</v>
      </c>
      <c r="C34" s="8" t="s">
        <v>6</v>
      </c>
      <c r="D34" s="20" t="s">
        <v>185</v>
      </c>
      <c r="E34" s="20"/>
      <c r="F34" s="20"/>
      <c r="G34" s="20"/>
      <c r="H34" s="20">
        <v>2060</v>
      </c>
      <c r="I34" s="10">
        <v>1200</v>
      </c>
      <c r="J34" s="10"/>
      <c r="K34" s="10">
        <v>800</v>
      </c>
      <c r="L34" s="55"/>
      <c r="M34" s="49">
        <v>45868</v>
      </c>
      <c r="N34" s="6">
        <f t="shared" si="0"/>
        <v>30</v>
      </c>
      <c r="O34" s="6" t="str">
        <f t="shared" si="1"/>
        <v>miércoles</v>
      </c>
      <c r="P34" s="28">
        <f t="shared" ref="P34:P65" si="4">MONTH(M34)</f>
        <v>7</v>
      </c>
      <c r="Q34" s="6" t="str">
        <f t="shared" ref="Q34:Q65" si="5">TEXT(M34,"MMMM")</f>
        <v>julio</v>
      </c>
    </row>
    <row r="35" spans="1:19" x14ac:dyDescent="0.25">
      <c r="A35">
        <v>8</v>
      </c>
      <c r="B35" s="6" t="s">
        <v>54</v>
      </c>
      <c r="C35" s="6" t="s">
        <v>6</v>
      </c>
      <c r="D35" s="20" t="s">
        <v>184</v>
      </c>
      <c r="E35" s="20"/>
      <c r="F35" s="20"/>
      <c r="G35" s="20"/>
      <c r="H35" s="20">
        <v>2640</v>
      </c>
      <c r="I35" s="10">
        <v>1200</v>
      </c>
      <c r="J35" s="10"/>
      <c r="K35" s="10">
        <v>1380</v>
      </c>
      <c r="L35" s="55"/>
      <c r="M35" s="49">
        <v>45868</v>
      </c>
      <c r="N35" s="6">
        <f t="shared" si="0"/>
        <v>30</v>
      </c>
      <c r="O35" s="6" t="str">
        <f t="shared" si="1"/>
        <v>miércoles</v>
      </c>
      <c r="P35" s="28">
        <f t="shared" si="4"/>
        <v>7</v>
      </c>
      <c r="Q35" s="6" t="str">
        <f t="shared" si="5"/>
        <v>julio</v>
      </c>
      <c r="R35" t="s">
        <v>339</v>
      </c>
      <c r="S35">
        <v>29719.5</v>
      </c>
    </row>
    <row r="36" spans="1:19" x14ac:dyDescent="0.25">
      <c r="A36">
        <v>8</v>
      </c>
      <c r="B36" s="8" t="s">
        <v>55</v>
      </c>
      <c r="C36" s="8" t="s">
        <v>19</v>
      </c>
      <c r="D36" s="20" t="s">
        <v>184</v>
      </c>
      <c r="E36" s="20"/>
      <c r="F36" s="20"/>
      <c r="G36" s="20"/>
      <c r="H36" s="20">
        <v>2520</v>
      </c>
      <c r="I36" s="10">
        <v>1200</v>
      </c>
      <c r="J36" s="10"/>
      <c r="K36" s="10">
        <v>1260</v>
      </c>
      <c r="L36" s="55"/>
      <c r="M36" s="49">
        <v>45868</v>
      </c>
      <c r="N36" s="6">
        <f t="shared" si="0"/>
        <v>30</v>
      </c>
      <c r="O36" s="6" t="str">
        <f t="shared" si="1"/>
        <v>miércoles</v>
      </c>
      <c r="P36" s="28">
        <f t="shared" si="4"/>
        <v>7</v>
      </c>
      <c r="Q36" s="6" t="str">
        <f t="shared" si="5"/>
        <v>julio</v>
      </c>
    </row>
    <row r="37" spans="1:19" x14ac:dyDescent="0.25">
      <c r="A37">
        <v>9</v>
      </c>
      <c r="B37" s="8" t="s">
        <v>115</v>
      </c>
      <c r="C37" s="8" t="s">
        <v>19</v>
      </c>
      <c r="D37" s="6" t="s">
        <v>255</v>
      </c>
      <c r="E37" s="6"/>
      <c r="F37" s="6"/>
      <c r="G37" s="6"/>
      <c r="H37" s="6">
        <v>1960</v>
      </c>
      <c r="I37" s="6">
        <v>1200</v>
      </c>
      <c r="J37" s="6"/>
      <c r="K37" s="6">
        <v>700</v>
      </c>
      <c r="L37" s="54"/>
      <c r="M37" s="48">
        <v>45870</v>
      </c>
      <c r="N37" s="6">
        <f t="shared" si="0"/>
        <v>1</v>
      </c>
      <c r="O37" s="6" t="str">
        <f t="shared" si="1"/>
        <v>viernes</v>
      </c>
      <c r="P37" s="28">
        <f t="shared" si="4"/>
        <v>8</v>
      </c>
      <c r="Q37" s="6" t="str">
        <f t="shared" si="5"/>
        <v>agosto</v>
      </c>
    </row>
    <row r="38" spans="1:19" x14ac:dyDescent="0.25">
      <c r="A38">
        <v>9</v>
      </c>
      <c r="B38" s="6" t="s">
        <v>113</v>
      </c>
      <c r="C38" s="6" t="s">
        <v>6</v>
      </c>
      <c r="D38" s="8" t="s">
        <v>278</v>
      </c>
      <c r="E38" s="8"/>
      <c r="F38" s="8" t="s">
        <v>279</v>
      </c>
      <c r="G38" s="8"/>
      <c r="H38" s="8">
        <v>3500</v>
      </c>
      <c r="I38" s="8">
        <v>2100</v>
      </c>
      <c r="J38" s="8"/>
      <c r="K38" s="8">
        <v>1280</v>
      </c>
      <c r="L38" s="53"/>
      <c r="M38" s="47">
        <v>45870</v>
      </c>
      <c r="N38" s="6">
        <f t="shared" si="0"/>
        <v>1</v>
      </c>
      <c r="O38" s="6" t="str">
        <f t="shared" si="1"/>
        <v>viernes</v>
      </c>
      <c r="P38" s="28">
        <f t="shared" si="4"/>
        <v>8</v>
      </c>
      <c r="Q38" s="6" t="str">
        <f t="shared" si="5"/>
        <v>agosto</v>
      </c>
    </row>
    <row r="39" spans="1:19" x14ac:dyDescent="0.25">
      <c r="A39">
        <v>9</v>
      </c>
      <c r="B39" s="8" t="s">
        <v>111</v>
      </c>
      <c r="C39" s="8" t="s">
        <v>6</v>
      </c>
      <c r="D39" s="6" t="s">
        <v>280</v>
      </c>
      <c r="E39" s="6"/>
      <c r="F39" s="6"/>
      <c r="G39" s="6"/>
      <c r="H39" s="6">
        <v>3500</v>
      </c>
      <c r="I39" s="6">
        <v>2840</v>
      </c>
      <c r="J39" s="6"/>
      <c r="K39" s="6">
        <v>600</v>
      </c>
      <c r="L39" s="54"/>
      <c r="M39" s="48">
        <v>45870</v>
      </c>
      <c r="N39" s="6">
        <f t="shared" si="0"/>
        <v>1</v>
      </c>
      <c r="O39" s="6" t="str">
        <f t="shared" si="1"/>
        <v>viernes</v>
      </c>
      <c r="P39" s="28">
        <f t="shared" si="4"/>
        <v>8</v>
      </c>
      <c r="Q39" s="6" t="str">
        <f t="shared" si="5"/>
        <v>agosto</v>
      </c>
    </row>
    <row r="40" spans="1:19" x14ac:dyDescent="0.25">
      <c r="A40">
        <v>8</v>
      </c>
      <c r="B40" s="6" t="s">
        <v>109</v>
      </c>
      <c r="C40" s="6" t="s">
        <v>19</v>
      </c>
      <c r="D40" s="8" t="s">
        <v>161</v>
      </c>
      <c r="E40" s="8"/>
      <c r="F40" s="8"/>
      <c r="G40" s="8"/>
      <c r="H40" s="8">
        <v>4400</v>
      </c>
      <c r="I40" s="8">
        <v>3680</v>
      </c>
      <c r="J40" s="8">
        <v>40</v>
      </c>
      <c r="K40" s="8">
        <v>620</v>
      </c>
      <c r="L40" s="53"/>
      <c r="M40" s="47">
        <v>45870</v>
      </c>
      <c r="N40" s="6">
        <f t="shared" si="0"/>
        <v>1</v>
      </c>
      <c r="O40" s="6" t="str">
        <f t="shared" si="1"/>
        <v>viernes</v>
      </c>
      <c r="P40" s="28">
        <f t="shared" si="4"/>
        <v>8</v>
      </c>
      <c r="Q40" s="6" t="str">
        <f t="shared" si="5"/>
        <v>agosto</v>
      </c>
    </row>
    <row r="41" spans="1:19" x14ac:dyDescent="0.25">
      <c r="A41">
        <v>8</v>
      </c>
      <c r="B41" s="6" t="s">
        <v>120</v>
      </c>
      <c r="C41" s="6" t="s">
        <v>6</v>
      </c>
      <c r="D41" s="8" t="s">
        <v>271</v>
      </c>
      <c r="E41" s="8"/>
      <c r="F41" s="8"/>
      <c r="G41" s="8"/>
      <c r="H41" s="8">
        <v>3880</v>
      </c>
      <c r="I41" s="8">
        <v>2340</v>
      </c>
      <c r="J41" s="8"/>
      <c r="K41" s="8">
        <v>1480</v>
      </c>
      <c r="L41" s="53"/>
      <c r="M41" s="47">
        <v>45870</v>
      </c>
      <c r="N41" s="6">
        <f t="shared" si="0"/>
        <v>1</v>
      </c>
      <c r="O41" s="6" t="str">
        <f t="shared" si="1"/>
        <v>viernes</v>
      </c>
      <c r="P41" s="28">
        <f t="shared" si="4"/>
        <v>8</v>
      </c>
      <c r="Q41" s="6" t="str">
        <f t="shared" si="5"/>
        <v>agosto</v>
      </c>
    </row>
    <row r="42" spans="1:19" x14ac:dyDescent="0.25">
      <c r="A42">
        <v>7</v>
      </c>
      <c r="B42" s="8" t="s">
        <v>105</v>
      </c>
      <c r="C42" s="8" t="s">
        <v>19</v>
      </c>
      <c r="D42" s="6" t="s">
        <v>281</v>
      </c>
      <c r="E42" s="6"/>
      <c r="F42" s="6"/>
      <c r="G42" s="6"/>
      <c r="H42" s="6">
        <v>2860</v>
      </c>
      <c r="I42" s="6">
        <v>1200</v>
      </c>
      <c r="J42" s="6"/>
      <c r="K42" s="6">
        <v>1600</v>
      </c>
      <c r="L42" s="54"/>
      <c r="M42" s="48">
        <v>45870</v>
      </c>
      <c r="N42" s="6">
        <f t="shared" si="0"/>
        <v>1</v>
      </c>
      <c r="O42" s="6" t="str">
        <f t="shared" si="1"/>
        <v>viernes</v>
      </c>
      <c r="P42" s="28">
        <f t="shared" si="4"/>
        <v>8</v>
      </c>
      <c r="Q42" s="6" t="str">
        <f t="shared" si="5"/>
        <v>agosto</v>
      </c>
    </row>
    <row r="43" spans="1:19" x14ac:dyDescent="0.25">
      <c r="A43">
        <v>7</v>
      </c>
      <c r="B43" s="6" t="s">
        <v>103</v>
      </c>
      <c r="C43" s="6" t="s">
        <v>19</v>
      </c>
      <c r="D43" s="8" t="s">
        <v>265</v>
      </c>
      <c r="E43" s="8"/>
      <c r="F43" s="8"/>
      <c r="G43" s="8"/>
      <c r="H43" s="8">
        <v>2610</v>
      </c>
      <c r="I43" s="8">
        <v>2050</v>
      </c>
      <c r="J43" s="8"/>
      <c r="K43" s="8">
        <v>500</v>
      </c>
      <c r="L43" s="53"/>
      <c r="M43" s="47">
        <v>45870</v>
      </c>
      <c r="N43" s="6">
        <f t="shared" si="0"/>
        <v>1</v>
      </c>
      <c r="O43" s="6" t="str">
        <f t="shared" si="1"/>
        <v>viernes</v>
      </c>
      <c r="P43" s="28">
        <f t="shared" si="4"/>
        <v>8</v>
      </c>
      <c r="Q43" s="6" t="str">
        <f t="shared" si="5"/>
        <v>agosto</v>
      </c>
    </row>
    <row r="44" spans="1:19" x14ac:dyDescent="0.25">
      <c r="A44">
        <v>7</v>
      </c>
      <c r="B44" s="8" t="s">
        <v>122</v>
      </c>
      <c r="C44" s="8" t="s">
        <v>19</v>
      </c>
      <c r="D44" s="6" t="s">
        <v>282</v>
      </c>
      <c r="E44" s="6"/>
      <c r="F44" s="6" t="s">
        <v>281</v>
      </c>
      <c r="G44" s="6"/>
      <c r="H44" s="6">
        <v>3570</v>
      </c>
      <c r="I44" s="6">
        <v>2320</v>
      </c>
      <c r="J44" s="6"/>
      <c r="K44" s="6">
        <v>1130</v>
      </c>
      <c r="L44" s="54"/>
      <c r="M44" s="48">
        <v>45870</v>
      </c>
      <c r="N44" s="6">
        <f t="shared" si="0"/>
        <v>1</v>
      </c>
      <c r="O44" s="6" t="str">
        <f t="shared" si="1"/>
        <v>viernes</v>
      </c>
      <c r="P44" s="28">
        <f t="shared" si="4"/>
        <v>8</v>
      </c>
      <c r="Q44" s="6" t="str">
        <f t="shared" si="5"/>
        <v>agosto</v>
      </c>
    </row>
    <row r="45" spans="1:19" x14ac:dyDescent="0.25">
      <c r="A45">
        <v>7</v>
      </c>
      <c r="B45" s="6" t="s">
        <v>124</v>
      </c>
      <c r="C45" s="6" t="s">
        <v>6</v>
      </c>
      <c r="D45" s="8" t="s">
        <v>283</v>
      </c>
      <c r="E45" s="8"/>
      <c r="F45" s="8"/>
      <c r="G45" s="8"/>
      <c r="H45" s="8">
        <v>1860</v>
      </c>
      <c r="I45" s="8">
        <v>1200</v>
      </c>
      <c r="J45" s="8"/>
      <c r="K45" s="8">
        <v>600</v>
      </c>
      <c r="L45" s="53"/>
      <c r="M45" s="47">
        <v>45870</v>
      </c>
      <c r="N45" s="6">
        <f t="shared" si="0"/>
        <v>1</v>
      </c>
      <c r="O45" s="6" t="str">
        <f t="shared" si="1"/>
        <v>viernes</v>
      </c>
      <c r="P45" s="28">
        <f t="shared" si="4"/>
        <v>8</v>
      </c>
      <c r="Q45" s="6" t="str">
        <f t="shared" si="5"/>
        <v>agosto</v>
      </c>
    </row>
    <row r="46" spans="1:19" x14ac:dyDescent="0.25">
      <c r="A46">
        <v>7</v>
      </c>
      <c r="B46" s="8" t="s">
        <v>125</v>
      </c>
      <c r="C46" s="8" t="s">
        <v>6</v>
      </c>
      <c r="D46" s="6" t="s">
        <v>284</v>
      </c>
      <c r="E46" s="6"/>
      <c r="F46" s="6"/>
      <c r="G46" s="6"/>
      <c r="H46" s="6">
        <v>1701</v>
      </c>
      <c r="I46" s="6">
        <v>1640</v>
      </c>
      <c r="J46" s="6"/>
      <c r="K46" s="6">
        <v>1</v>
      </c>
      <c r="L46" s="54"/>
      <c r="M46" s="48">
        <v>45870</v>
      </c>
      <c r="N46" s="6">
        <f t="shared" si="0"/>
        <v>1</v>
      </c>
      <c r="O46" s="6" t="str">
        <f t="shared" si="1"/>
        <v>viernes</v>
      </c>
      <c r="P46" s="28">
        <f t="shared" si="4"/>
        <v>8</v>
      </c>
      <c r="Q46" s="6" t="str">
        <f t="shared" si="5"/>
        <v>agosto</v>
      </c>
    </row>
    <row r="47" spans="1:19" x14ac:dyDescent="0.25">
      <c r="A47">
        <v>7</v>
      </c>
      <c r="B47" s="6" t="s">
        <v>108</v>
      </c>
      <c r="C47" s="6" t="s">
        <v>6</v>
      </c>
      <c r="D47" s="8" t="s">
        <v>276</v>
      </c>
      <c r="E47" s="8"/>
      <c r="F47" s="8"/>
      <c r="G47" s="8"/>
      <c r="H47" s="8">
        <v>3570</v>
      </c>
      <c r="I47" s="8">
        <v>1830</v>
      </c>
      <c r="J47" s="8"/>
      <c r="K47" s="8">
        <v>1680</v>
      </c>
      <c r="L47" s="53"/>
      <c r="M47" s="47">
        <v>45870</v>
      </c>
      <c r="N47" s="6">
        <f t="shared" si="0"/>
        <v>1</v>
      </c>
      <c r="O47" s="6" t="str">
        <f t="shared" si="1"/>
        <v>viernes</v>
      </c>
      <c r="P47" s="28">
        <f t="shared" si="4"/>
        <v>8</v>
      </c>
      <c r="Q47" s="6" t="str">
        <f t="shared" si="5"/>
        <v>agosto</v>
      </c>
    </row>
    <row r="48" spans="1:19" x14ac:dyDescent="0.25">
      <c r="A48">
        <v>7</v>
      </c>
      <c r="B48" s="8" t="s">
        <v>128</v>
      </c>
      <c r="C48" s="8" t="s">
        <v>19</v>
      </c>
      <c r="D48" s="6" t="s">
        <v>285</v>
      </c>
      <c r="E48" s="6"/>
      <c r="F48" s="6"/>
      <c r="G48" s="6"/>
      <c r="H48" s="6">
        <v>3310</v>
      </c>
      <c r="I48" s="6">
        <v>1310</v>
      </c>
      <c r="J48" s="6"/>
      <c r="K48" s="6">
        <v>1940</v>
      </c>
      <c r="L48" s="54"/>
      <c r="M48" s="48">
        <v>45870</v>
      </c>
      <c r="N48" s="6">
        <f t="shared" si="0"/>
        <v>1</v>
      </c>
      <c r="O48" s="6" t="str">
        <f t="shared" si="1"/>
        <v>viernes</v>
      </c>
      <c r="P48" s="28">
        <f t="shared" si="4"/>
        <v>8</v>
      </c>
      <c r="Q48" s="6" t="str">
        <f t="shared" si="5"/>
        <v>agosto</v>
      </c>
    </row>
    <row r="49" spans="1:17" x14ac:dyDescent="0.25">
      <c r="A49">
        <v>6</v>
      </c>
      <c r="B49" s="8" t="s">
        <v>102</v>
      </c>
      <c r="C49" s="8" t="s">
        <v>6</v>
      </c>
      <c r="D49" s="6" t="s">
        <v>130</v>
      </c>
      <c r="E49" s="6"/>
      <c r="F49" s="6"/>
      <c r="G49" s="6"/>
      <c r="H49" s="6">
        <v>2970</v>
      </c>
      <c r="I49" s="6">
        <v>2170</v>
      </c>
      <c r="J49" s="6">
        <v>40</v>
      </c>
      <c r="K49" s="6">
        <v>700</v>
      </c>
      <c r="L49" s="54"/>
      <c r="M49" s="48">
        <v>45870</v>
      </c>
      <c r="N49" s="6">
        <f t="shared" si="0"/>
        <v>1</v>
      </c>
      <c r="O49" s="6" t="str">
        <f t="shared" si="1"/>
        <v>viernes</v>
      </c>
      <c r="P49" s="28">
        <f t="shared" si="4"/>
        <v>8</v>
      </c>
      <c r="Q49" s="6" t="str">
        <f t="shared" si="5"/>
        <v>agosto</v>
      </c>
    </row>
    <row r="50" spans="1:17" x14ac:dyDescent="0.25">
      <c r="A50">
        <v>6</v>
      </c>
      <c r="B50" s="6" t="s">
        <v>100</v>
      </c>
      <c r="C50" s="6" t="s">
        <v>19</v>
      </c>
      <c r="D50" s="8" t="s">
        <v>268</v>
      </c>
      <c r="E50" s="8"/>
      <c r="F50" s="8"/>
      <c r="G50" s="8"/>
      <c r="H50" s="8">
        <v>2520</v>
      </c>
      <c r="I50" s="8">
        <v>2460</v>
      </c>
      <c r="J50" s="8"/>
      <c r="K50" s="8"/>
      <c r="L50" s="53"/>
      <c r="M50" s="47">
        <v>45870</v>
      </c>
      <c r="N50" s="6">
        <f t="shared" si="0"/>
        <v>1</v>
      </c>
      <c r="O50" s="6" t="str">
        <f t="shared" si="1"/>
        <v>viernes</v>
      </c>
      <c r="P50" s="28">
        <f t="shared" si="4"/>
        <v>8</v>
      </c>
      <c r="Q50" s="6" t="str">
        <f t="shared" si="5"/>
        <v>agosto</v>
      </c>
    </row>
    <row r="51" spans="1:17" x14ac:dyDescent="0.25">
      <c r="A51">
        <v>6</v>
      </c>
      <c r="B51" s="8" t="s">
        <v>98</v>
      </c>
      <c r="C51" s="8" t="s">
        <v>6</v>
      </c>
      <c r="D51" s="6" t="s">
        <v>130</v>
      </c>
      <c r="E51" s="6"/>
      <c r="F51" s="6"/>
      <c r="G51" s="6"/>
      <c r="H51" s="6">
        <v>3110</v>
      </c>
      <c r="I51" s="6">
        <v>2270</v>
      </c>
      <c r="J51" s="6"/>
      <c r="K51" s="6">
        <v>780</v>
      </c>
      <c r="L51" s="54"/>
      <c r="M51" s="48">
        <v>45870</v>
      </c>
      <c r="N51" s="6">
        <f t="shared" si="0"/>
        <v>1</v>
      </c>
      <c r="O51" s="6" t="str">
        <f t="shared" si="1"/>
        <v>viernes</v>
      </c>
      <c r="P51" s="28">
        <f t="shared" si="4"/>
        <v>8</v>
      </c>
      <c r="Q51" s="6" t="str">
        <f t="shared" si="5"/>
        <v>agosto</v>
      </c>
    </row>
    <row r="52" spans="1:17" x14ac:dyDescent="0.25">
      <c r="A52">
        <v>12</v>
      </c>
      <c r="B52" s="6" t="s">
        <v>144</v>
      </c>
      <c r="C52" s="6" t="s">
        <v>6</v>
      </c>
      <c r="D52" s="8" t="s">
        <v>312</v>
      </c>
      <c r="E52" s="8"/>
      <c r="F52" s="8"/>
      <c r="G52" s="8"/>
      <c r="H52" s="8">
        <v>2380</v>
      </c>
      <c r="I52" s="8">
        <v>1640</v>
      </c>
      <c r="J52" s="8"/>
      <c r="K52" s="8">
        <v>680</v>
      </c>
      <c r="L52" s="53"/>
      <c r="M52" s="47">
        <v>45871</v>
      </c>
      <c r="N52" s="6">
        <f t="shared" si="0"/>
        <v>2</v>
      </c>
      <c r="O52" s="6" t="str">
        <f t="shared" si="1"/>
        <v>sábado</v>
      </c>
      <c r="P52" s="28">
        <f t="shared" si="4"/>
        <v>8</v>
      </c>
      <c r="Q52" s="6" t="str">
        <f t="shared" si="5"/>
        <v>agosto</v>
      </c>
    </row>
    <row r="53" spans="1:17" x14ac:dyDescent="0.25">
      <c r="A53">
        <v>12</v>
      </c>
      <c r="B53" s="8" t="s">
        <v>145</v>
      </c>
      <c r="C53" s="8" t="s">
        <v>19</v>
      </c>
      <c r="D53" s="6" t="s">
        <v>295</v>
      </c>
      <c r="E53" s="6"/>
      <c r="F53" s="6"/>
      <c r="G53" s="6"/>
      <c r="H53" s="6">
        <v>4050</v>
      </c>
      <c r="I53" s="6">
        <v>1990</v>
      </c>
      <c r="J53" s="6"/>
      <c r="K53" s="6">
        <v>2000</v>
      </c>
      <c r="L53" s="54"/>
      <c r="M53" s="48">
        <v>45871</v>
      </c>
      <c r="N53" s="6">
        <f t="shared" si="0"/>
        <v>2</v>
      </c>
      <c r="O53" s="6" t="str">
        <f t="shared" si="1"/>
        <v>sábado</v>
      </c>
      <c r="P53" s="28">
        <f t="shared" si="4"/>
        <v>8</v>
      </c>
      <c r="Q53" s="6" t="str">
        <f t="shared" si="5"/>
        <v>agosto</v>
      </c>
    </row>
    <row r="54" spans="1:17" x14ac:dyDescent="0.25">
      <c r="A54">
        <v>11</v>
      </c>
      <c r="B54" s="6" t="s">
        <v>146</v>
      </c>
      <c r="C54" s="6" t="s">
        <v>6</v>
      </c>
      <c r="D54" s="8" t="s">
        <v>313</v>
      </c>
      <c r="E54" s="8"/>
      <c r="F54" s="8"/>
      <c r="G54" s="8"/>
      <c r="H54" s="8">
        <v>4780</v>
      </c>
      <c r="I54" s="8">
        <v>2220</v>
      </c>
      <c r="J54" s="8"/>
      <c r="K54" s="8">
        <v>2500</v>
      </c>
      <c r="L54" s="53"/>
      <c r="M54" s="47">
        <v>45871</v>
      </c>
      <c r="N54" s="6">
        <f t="shared" si="0"/>
        <v>2</v>
      </c>
      <c r="O54" s="6" t="str">
        <f t="shared" si="1"/>
        <v>sábado</v>
      </c>
      <c r="P54" s="28">
        <f t="shared" si="4"/>
        <v>8</v>
      </c>
      <c r="Q54" s="6" t="str">
        <f t="shared" si="5"/>
        <v>agosto</v>
      </c>
    </row>
    <row r="55" spans="1:17" x14ac:dyDescent="0.25">
      <c r="A55">
        <v>11</v>
      </c>
      <c r="B55" s="18" t="s">
        <v>148</v>
      </c>
      <c r="C55" s="8" t="s">
        <v>6</v>
      </c>
      <c r="D55" s="6" t="s">
        <v>314</v>
      </c>
      <c r="E55" s="6"/>
      <c r="F55" s="6" t="s">
        <v>315</v>
      </c>
      <c r="G55" s="6"/>
      <c r="H55" s="6">
        <v>6670</v>
      </c>
      <c r="I55" s="6">
        <v>4910</v>
      </c>
      <c r="J55" s="6">
        <v>40</v>
      </c>
      <c r="K55" s="6">
        <v>1600</v>
      </c>
      <c r="L55" s="54"/>
      <c r="M55" s="48">
        <v>45871</v>
      </c>
      <c r="N55" s="6">
        <f t="shared" si="0"/>
        <v>2</v>
      </c>
      <c r="O55" s="6" t="str">
        <f t="shared" si="1"/>
        <v>sábado</v>
      </c>
      <c r="P55" s="28">
        <f t="shared" si="4"/>
        <v>8</v>
      </c>
      <c r="Q55" s="6" t="str">
        <f t="shared" si="5"/>
        <v>agosto</v>
      </c>
    </row>
    <row r="56" spans="1:17" x14ac:dyDescent="0.25">
      <c r="A56">
        <v>11</v>
      </c>
      <c r="B56" s="6" t="s">
        <v>149</v>
      </c>
      <c r="C56" s="6" t="s">
        <v>6</v>
      </c>
      <c r="D56" s="8" t="s">
        <v>298</v>
      </c>
      <c r="E56" s="8"/>
      <c r="F56" s="8"/>
      <c r="G56" s="8"/>
      <c r="H56" s="8">
        <v>3160</v>
      </c>
      <c r="I56" s="8">
        <v>1200</v>
      </c>
      <c r="J56" s="8"/>
      <c r="K56" s="8">
        <v>1900</v>
      </c>
      <c r="L56" s="53"/>
      <c r="M56" s="47">
        <v>45871</v>
      </c>
      <c r="N56" s="6">
        <f t="shared" si="0"/>
        <v>2</v>
      </c>
      <c r="O56" s="6" t="str">
        <f t="shared" si="1"/>
        <v>sábado</v>
      </c>
      <c r="P56" s="28">
        <f t="shared" si="4"/>
        <v>8</v>
      </c>
      <c r="Q56" s="6" t="str">
        <f t="shared" si="5"/>
        <v>agosto</v>
      </c>
    </row>
    <row r="57" spans="1:17" x14ac:dyDescent="0.25">
      <c r="A57">
        <v>11</v>
      </c>
      <c r="B57" s="8" t="s">
        <v>150</v>
      </c>
      <c r="C57" s="8" t="s">
        <v>6</v>
      </c>
      <c r="D57" s="6" t="s">
        <v>316</v>
      </c>
      <c r="E57" s="6"/>
      <c r="F57" s="6" t="s">
        <v>317</v>
      </c>
      <c r="G57" s="6"/>
      <c r="H57" s="6">
        <v>4830</v>
      </c>
      <c r="I57" s="6">
        <v>2520</v>
      </c>
      <c r="J57" s="6"/>
      <c r="K57" s="6">
        <v>2190</v>
      </c>
      <c r="L57" s="54"/>
      <c r="M57" s="48">
        <v>45871</v>
      </c>
      <c r="N57" s="6">
        <f t="shared" si="0"/>
        <v>2</v>
      </c>
      <c r="O57" s="6" t="str">
        <f t="shared" si="1"/>
        <v>sábado</v>
      </c>
      <c r="P57" s="28">
        <f t="shared" si="4"/>
        <v>8</v>
      </c>
      <c r="Q57" s="6" t="str">
        <f t="shared" si="5"/>
        <v>agosto</v>
      </c>
    </row>
    <row r="58" spans="1:17" x14ac:dyDescent="0.25">
      <c r="A58">
        <v>10</v>
      </c>
      <c r="B58" s="6" t="s">
        <v>151</v>
      </c>
      <c r="C58" s="6" t="s">
        <v>6</v>
      </c>
      <c r="D58" s="8" t="s">
        <v>301</v>
      </c>
      <c r="E58" s="8"/>
      <c r="F58" s="8"/>
      <c r="G58" s="8"/>
      <c r="H58" s="8">
        <v>3490</v>
      </c>
      <c r="I58" s="8">
        <v>2590</v>
      </c>
      <c r="J58" s="8"/>
      <c r="K58" s="8">
        <v>840</v>
      </c>
      <c r="L58" s="53"/>
      <c r="M58" s="47">
        <v>45871</v>
      </c>
      <c r="N58" s="6">
        <f t="shared" si="0"/>
        <v>2</v>
      </c>
      <c r="O58" s="6" t="str">
        <f t="shared" si="1"/>
        <v>sábado</v>
      </c>
      <c r="P58" s="28">
        <f t="shared" si="4"/>
        <v>8</v>
      </c>
      <c r="Q58" s="6" t="str">
        <f t="shared" si="5"/>
        <v>agosto</v>
      </c>
    </row>
    <row r="59" spans="1:17" x14ac:dyDescent="0.25">
      <c r="A59">
        <v>10</v>
      </c>
      <c r="B59" s="8" t="s">
        <v>152</v>
      </c>
      <c r="C59" s="8" t="s">
        <v>6</v>
      </c>
      <c r="D59" s="6" t="s">
        <v>303</v>
      </c>
      <c r="E59" s="6"/>
      <c r="F59" s="6" t="s">
        <v>303</v>
      </c>
      <c r="G59" s="6"/>
      <c r="H59" s="6">
        <v>6250</v>
      </c>
      <c r="I59" s="6">
        <v>3190</v>
      </c>
      <c r="J59" s="6"/>
      <c r="K59" s="6">
        <v>2940</v>
      </c>
      <c r="L59" s="54"/>
      <c r="M59" s="48">
        <v>45871</v>
      </c>
      <c r="N59" s="6">
        <f t="shared" si="0"/>
        <v>2</v>
      </c>
      <c r="O59" s="6" t="str">
        <f t="shared" si="1"/>
        <v>sábado</v>
      </c>
      <c r="P59" s="28">
        <f t="shared" si="4"/>
        <v>8</v>
      </c>
      <c r="Q59" s="6" t="str">
        <f t="shared" si="5"/>
        <v>agosto</v>
      </c>
    </row>
    <row r="60" spans="1:17" x14ac:dyDescent="0.25">
      <c r="A60">
        <v>10</v>
      </c>
      <c r="B60" s="6" t="s">
        <v>154</v>
      </c>
      <c r="C60" s="6" t="s">
        <v>155</v>
      </c>
      <c r="D60" s="8" t="s">
        <v>304</v>
      </c>
      <c r="E60" s="8"/>
      <c r="F60" s="8"/>
      <c r="G60" s="8"/>
      <c r="H60" s="8">
        <v>3040</v>
      </c>
      <c r="I60" s="8">
        <v>1500</v>
      </c>
      <c r="J60" s="8"/>
      <c r="K60" s="8">
        <v>1480</v>
      </c>
      <c r="L60" s="53"/>
      <c r="M60" s="47">
        <v>45871</v>
      </c>
      <c r="N60" s="6">
        <f t="shared" si="0"/>
        <v>2</v>
      </c>
      <c r="O60" s="6" t="str">
        <f t="shared" si="1"/>
        <v>sábado</v>
      </c>
      <c r="P60" s="28">
        <f t="shared" si="4"/>
        <v>8</v>
      </c>
      <c r="Q60" s="6" t="str">
        <f t="shared" si="5"/>
        <v>agosto</v>
      </c>
    </row>
    <row r="61" spans="1:17" x14ac:dyDescent="0.25">
      <c r="A61">
        <v>10</v>
      </c>
      <c r="B61" s="8" t="s">
        <v>156</v>
      </c>
      <c r="C61" s="8" t="s">
        <v>6</v>
      </c>
      <c r="D61" s="6" t="s">
        <v>318</v>
      </c>
      <c r="E61" s="6"/>
      <c r="F61" s="6"/>
      <c r="G61" s="6"/>
      <c r="H61" s="6">
        <v>3340</v>
      </c>
      <c r="I61" s="6">
        <v>2080</v>
      </c>
      <c r="J61" s="6"/>
      <c r="K61" s="6">
        <v>1200</v>
      </c>
      <c r="L61" s="54"/>
      <c r="M61" s="48">
        <v>45871</v>
      </c>
      <c r="N61" s="6">
        <f t="shared" si="0"/>
        <v>2</v>
      </c>
      <c r="O61" s="6" t="str">
        <f t="shared" si="1"/>
        <v>sábado</v>
      </c>
      <c r="P61" s="28">
        <f t="shared" si="4"/>
        <v>8</v>
      </c>
      <c r="Q61" s="6" t="str">
        <f t="shared" si="5"/>
        <v>agosto</v>
      </c>
    </row>
    <row r="62" spans="1:17" x14ac:dyDescent="0.25">
      <c r="A62">
        <v>8</v>
      </c>
      <c r="B62" s="8" t="s">
        <v>132</v>
      </c>
      <c r="C62" s="8" t="s">
        <v>6</v>
      </c>
      <c r="D62" s="6" t="s">
        <v>306</v>
      </c>
      <c r="E62" s="6"/>
      <c r="F62" s="6" t="s">
        <v>307</v>
      </c>
      <c r="G62" s="6"/>
      <c r="H62" s="6">
        <v>2960</v>
      </c>
      <c r="I62" s="6">
        <v>2100</v>
      </c>
      <c r="J62" s="6"/>
      <c r="K62" s="6">
        <v>740</v>
      </c>
      <c r="L62" s="54"/>
      <c r="M62" s="48">
        <v>45871</v>
      </c>
      <c r="N62" s="6">
        <f t="shared" si="0"/>
        <v>2</v>
      </c>
      <c r="O62" s="6" t="str">
        <f t="shared" si="1"/>
        <v>sábado</v>
      </c>
      <c r="P62" s="28">
        <f t="shared" si="4"/>
        <v>8</v>
      </c>
      <c r="Q62" s="6" t="str">
        <f t="shared" si="5"/>
        <v>agosto</v>
      </c>
    </row>
    <row r="63" spans="1:17" x14ac:dyDescent="0.25">
      <c r="A63">
        <v>8</v>
      </c>
      <c r="B63" s="6" t="s">
        <v>134</v>
      </c>
      <c r="C63" s="6" t="s">
        <v>6</v>
      </c>
      <c r="D63" s="8" t="s">
        <v>308</v>
      </c>
      <c r="E63" s="8"/>
      <c r="F63" s="8"/>
      <c r="G63" s="8"/>
      <c r="H63" s="8">
        <v>1580</v>
      </c>
      <c r="I63" s="8">
        <v>1200</v>
      </c>
      <c r="J63" s="8"/>
      <c r="K63" s="8">
        <v>320</v>
      </c>
      <c r="L63" s="53"/>
      <c r="M63" s="47">
        <v>45871</v>
      </c>
      <c r="N63" s="6">
        <f t="shared" si="0"/>
        <v>2</v>
      </c>
      <c r="O63" s="6" t="str">
        <f t="shared" si="1"/>
        <v>sábado</v>
      </c>
      <c r="P63" s="28">
        <f t="shared" si="4"/>
        <v>8</v>
      </c>
      <c r="Q63" s="6" t="str">
        <f t="shared" si="5"/>
        <v>agosto</v>
      </c>
    </row>
    <row r="64" spans="1:17" x14ac:dyDescent="0.25">
      <c r="A64">
        <v>8</v>
      </c>
      <c r="B64" s="8" t="s">
        <v>136</v>
      </c>
      <c r="C64" s="8" t="s">
        <v>19</v>
      </c>
      <c r="D64" s="6" t="s">
        <v>241</v>
      </c>
      <c r="E64" s="6"/>
      <c r="F64" s="6" t="s">
        <v>241</v>
      </c>
      <c r="G64" s="6"/>
      <c r="H64" s="6">
        <v>4060</v>
      </c>
      <c r="I64" s="6">
        <v>1800</v>
      </c>
      <c r="J64" s="6"/>
      <c r="K64" s="6">
        <v>2140</v>
      </c>
      <c r="L64" s="54"/>
      <c r="M64" s="48">
        <v>45871</v>
      </c>
      <c r="N64" s="6">
        <f t="shared" si="0"/>
        <v>2</v>
      </c>
      <c r="O64" s="6" t="str">
        <f t="shared" si="1"/>
        <v>sábado</v>
      </c>
      <c r="P64" s="28">
        <f t="shared" si="4"/>
        <v>8</v>
      </c>
      <c r="Q64" s="6" t="str">
        <f t="shared" si="5"/>
        <v>agosto</v>
      </c>
    </row>
    <row r="65" spans="1:17" x14ac:dyDescent="0.25">
      <c r="A65">
        <v>8</v>
      </c>
      <c r="B65" s="6" t="s">
        <v>138</v>
      </c>
      <c r="C65" s="6" t="s">
        <v>19</v>
      </c>
      <c r="D65" s="8" t="s">
        <v>309</v>
      </c>
      <c r="E65" s="8"/>
      <c r="F65" s="8"/>
      <c r="G65" s="8"/>
      <c r="H65" s="8">
        <v>1260</v>
      </c>
      <c r="I65" s="8">
        <v>1200</v>
      </c>
      <c r="J65" s="8"/>
      <c r="K65" s="8"/>
      <c r="L65" s="53"/>
      <c r="M65" s="47">
        <v>45871</v>
      </c>
      <c r="N65" s="6">
        <f t="shared" si="0"/>
        <v>2</v>
      </c>
      <c r="O65" s="6" t="str">
        <f t="shared" si="1"/>
        <v>sábado</v>
      </c>
      <c r="P65" s="28">
        <f t="shared" si="4"/>
        <v>8</v>
      </c>
      <c r="Q65" s="6" t="str">
        <f t="shared" si="5"/>
        <v>agosto</v>
      </c>
    </row>
    <row r="66" spans="1:17" x14ac:dyDescent="0.25">
      <c r="A66">
        <v>7</v>
      </c>
      <c r="B66" s="6" t="s">
        <v>107</v>
      </c>
      <c r="C66" s="6" t="s">
        <v>19</v>
      </c>
      <c r="D66" s="8" t="s">
        <v>184</v>
      </c>
      <c r="E66" s="8"/>
      <c r="F66" s="8"/>
      <c r="G66" s="8"/>
      <c r="H66" s="8">
        <v>1600</v>
      </c>
      <c r="I66" s="8">
        <v>1200</v>
      </c>
      <c r="J66" s="8"/>
      <c r="K66" s="8">
        <v>340</v>
      </c>
      <c r="L66" s="53"/>
      <c r="M66" s="47">
        <v>45871</v>
      </c>
      <c r="N66" s="6">
        <f t="shared" ref="N66:N129" si="6">DAY(M66)</f>
        <v>2</v>
      </c>
      <c r="O66" s="6" t="str">
        <f t="shared" ref="O66:O129" si="7">TEXT(M66,"DDDD")</f>
        <v>sábado</v>
      </c>
      <c r="P66" s="28">
        <f t="shared" ref="P66:P97" si="8">MONTH(M66)</f>
        <v>8</v>
      </c>
      <c r="Q66" s="6" t="str">
        <f t="shared" ref="Q66:Q97" si="9">TEXT(M66,"MMMM")</f>
        <v>agosto</v>
      </c>
    </row>
    <row r="67" spans="1:17" x14ac:dyDescent="0.25">
      <c r="A67">
        <v>7</v>
      </c>
      <c r="B67" s="8" t="s">
        <v>140</v>
      </c>
      <c r="C67" s="8" t="s">
        <v>6</v>
      </c>
      <c r="D67" s="6" t="s">
        <v>310</v>
      </c>
      <c r="E67" s="6"/>
      <c r="F67" s="6"/>
      <c r="G67" s="6"/>
      <c r="H67" s="6">
        <v>2420</v>
      </c>
      <c r="I67" s="6">
        <v>1200</v>
      </c>
      <c r="J67" s="6"/>
      <c r="K67" s="6">
        <v>1160</v>
      </c>
      <c r="L67" s="54"/>
      <c r="M67" s="48">
        <v>45871</v>
      </c>
      <c r="N67" s="6">
        <f t="shared" si="6"/>
        <v>2</v>
      </c>
      <c r="O67" s="6" t="str">
        <f t="shared" si="7"/>
        <v>sábado</v>
      </c>
      <c r="P67" s="28">
        <f t="shared" si="8"/>
        <v>8</v>
      </c>
      <c r="Q67" s="6" t="str">
        <f t="shared" si="9"/>
        <v>agosto</v>
      </c>
    </row>
    <row r="68" spans="1:17" x14ac:dyDescent="0.25">
      <c r="A68">
        <v>7</v>
      </c>
      <c r="B68" s="6" t="s">
        <v>141</v>
      </c>
      <c r="C68" s="6" t="s">
        <v>19</v>
      </c>
      <c r="D68" s="8" t="s">
        <v>195</v>
      </c>
      <c r="E68" s="8"/>
      <c r="F68" s="8"/>
      <c r="G68" s="8"/>
      <c r="H68" s="8">
        <v>2380</v>
      </c>
      <c r="I68" s="8">
        <v>1200</v>
      </c>
      <c r="J68" s="8"/>
      <c r="K68" s="8">
        <v>1120</v>
      </c>
      <c r="L68" s="53"/>
      <c r="M68" s="47">
        <v>45871</v>
      </c>
      <c r="N68" s="6">
        <f t="shared" si="6"/>
        <v>2</v>
      </c>
      <c r="O68" s="6" t="str">
        <f t="shared" si="7"/>
        <v>sábado</v>
      </c>
      <c r="P68" s="28">
        <f t="shared" si="8"/>
        <v>8</v>
      </c>
      <c r="Q68" s="6" t="str">
        <f t="shared" si="9"/>
        <v>agosto</v>
      </c>
    </row>
    <row r="69" spans="1:17" x14ac:dyDescent="0.25">
      <c r="A69">
        <v>7</v>
      </c>
      <c r="B69" s="8" t="s">
        <v>143</v>
      </c>
      <c r="C69" s="8" t="s">
        <v>19</v>
      </c>
      <c r="D69" s="6" t="s">
        <v>311</v>
      </c>
      <c r="E69" s="6"/>
      <c r="F69" s="6"/>
      <c r="G69" s="6"/>
      <c r="H69" s="6">
        <v>3080</v>
      </c>
      <c r="I69" s="6">
        <v>1200</v>
      </c>
      <c r="J69" s="6"/>
      <c r="K69" s="6">
        <v>1820</v>
      </c>
      <c r="L69" s="54"/>
      <c r="M69" s="48">
        <v>45871</v>
      </c>
      <c r="N69" s="6">
        <f t="shared" si="6"/>
        <v>2</v>
      </c>
      <c r="O69" s="6" t="str">
        <f t="shared" si="7"/>
        <v>sábado</v>
      </c>
      <c r="P69" s="28">
        <f t="shared" si="8"/>
        <v>8</v>
      </c>
      <c r="Q69" s="6" t="str">
        <f t="shared" si="9"/>
        <v>agosto</v>
      </c>
    </row>
    <row r="70" spans="1:17" x14ac:dyDescent="0.25">
      <c r="A70">
        <v>11</v>
      </c>
      <c r="B70" s="8" t="s">
        <v>186</v>
      </c>
      <c r="C70" s="8" t="s">
        <v>6</v>
      </c>
      <c r="D70" s="6" t="s">
        <v>281</v>
      </c>
      <c r="E70" s="6"/>
      <c r="F70" s="6" t="s">
        <v>281</v>
      </c>
      <c r="G70" s="6"/>
      <c r="H70" s="6">
        <v>3600</v>
      </c>
      <c r="I70" s="6">
        <v>2100</v>
      </c>
      <c r="J70" s="6"/>
      <c r="K70" s="6">
        <v>1380</v>
      </c>
      <c r="L70" s="54"/>
      <c r="M70" s="48">
        <v>45872</v>
      </c>
      <c r="N70" s="6">
        <f t="shared" si="6"/>
        <v>3</v>
      </c>
      <c r="O70" s="6" t="str">
        <f t="shared" si="7"/>
        <v>domingo</v>
      </c>
      <c r="P70" s="28">
        <f t="shared" si="8"/>
        <v>8</v>
      </c>
      <c r="Q70" s="6" t="str">
        <f t="shared" si="9"/>
        <v>agosto</v>
      </c>
    </row>
    <row r="71" spans="1:17" x14ac:dyDescent="0.25">
      <c r="A71">
        <v>11</v>
      </c>
      <c r="B71" s="6" t="s">
        <v>187</v>
      </c>
      <c r="C71" s="6" t="s">
        <v>6</v>
      </c>
      <c r="D71" s="8" t="s">
        <v>330</v>
      </c>
      <c r="E71" s="8"/>
      <c r="F71" s="8"/>
      <c r="G71" s="8"/>
      <c r="H71" s="8">
        <v>2760</v>
      </c>
      <c r="I71" s="8">
        <v>1200</v>
      </c>
      <c r="J71" s="8"/>
      <c r="K71" s="8">
        <v>1500</v>
      </c>
      <c r="L71" s="53"/>
      <c r="M71" s="47">
        <v>45872</v>
      </c>
      <c r="N71" s="6">
        <f t="shared" si="6"/>
        <v>3</v>
      </c>
      <c r="O71" s="6" t="str">
        <f t="shared" si="7"/>
        <v>domingo</v>
      </c>
      <c r="P71" s="28">
        <f t="shared" si="8"/>
        <v>8</v>
      </c>
      <c r="Q71" s="6" t="str">
        <f t="shared" si="9"/>
        <v>agosto</v>
      </c>
    </row>
    <row r="72" spans="1:17" x14ac:dyDescent="0.25">
      <c r="A72">
        <v>11</v>
      </c>
      <c r="B72" s="8" t="s">
        <v>188</v>
      </c>
      <c r="C72" s="8" t="s">
        <v>6</v>
      </c>
      <c r="D72" s="6" t="s">
        <v>331</v>
      </c>
      <c r="E72" s="6"/>
      <c r="F72" s="6"/>
      <c r="G72" s="6"/>
      <c r="H72" s="6">
        <v>1760</v>
      </c>
      <c r="I72" s="6">
        <v>1700</v>
      </c>
      <c r="J72" s="6"/>
      <c r="K72" s="6"/>
      <c r="L72" s="54"/>
      <c r="M72" s="48">
        <v>45872</v>
      </c>
      <c r="N72" s="6">
        <f t="shared" si="6"/>
        <v>3</v>
      </c>
      <c r="O72" s="6" t="str">
        <f t="shared" si="7"/>
        <v>domingo</v>
      </c>
      <c r="P72" s="28">
        <f t="shared" si="8"/>
        <v>8</v>
      </c>
      <c r="Q72" s="6" t="str">
        <f t="shared" si="9"/>
        <v>agosto</v>
      </c>
    </row>
    <row r="73" spans="1:17" x14ac:dyDescent="0.25">
      <c r="A73">
        <v>10</v>
      </c>
      <c r="B73" s="6" t="s">
        <v>190</v>
      </c>
      <c r="C73" s="6" t="s">
        <v>19</v>
      </c>
      <c r="D73" s="8" t="s">
        <v>183</v>
      </c>
      <c r="E73" s="8"/>
      <c r="F73" s="8"/>
      <c r="G73" s="8"/>
      <c r="H73" s="8">
        <v>2760</v>
      </c>
      <c r="I73" s="8">
        <v>1200</v>
      </c>
      <c r="J73" s="8"/>
      <c r="K73" s="8">
        <v>1500</v>
      </c>
      <c r="L73" s="53"/>
      <c r="M73" s="47">
        <v>45872</v>
      </c>
      <c r="N73" s="6">
        <f t="shared" si="6"/>
        <v>3</v>
      </c>
      <c r="O73" s="6" t="str">
        <f t="shared" si="7"/>
        <v>domingo</v>
      </c>
      <c r="P73" s="28">
        <f t="shared" si="8"/>
        <v>8</v>
      </c>
      <c r="Q73" s="6" t="str">
        <f t="shared" si="9"/>
        <v>agosto</v>
      </c>
    </row>
    <row r="74" spans="1:17" x14ac:dyDescent="0.25">
      <c r="A74">
        <v>10</v>
      </c>
      <c r="B74" s="8" t="s">
        <v>191</v>
      </c>
      <c r="C74" s="8" t="s">
        <v>19</v>
      </c>
      <c r="D74" s="6" t="s">
        <v>243</v>
      </c>
      <c r="E74" s="6"/>
      <c r="F74" s="6"/>
      <c r="G74" s="6"/>
      <c r="H74" s="6">
        <v>2060</v>
      </c>
      <c r="I74" s="6">
        <v>1200</v>
      </c>
      <c r="J74" s="6"/>
      <c r="K74" s="6">
        <v>800</v>
      </c>
      <c r="L74" s="54"/>
      <c r="M74" s="48">
        <v>45872</v>
      </c>
      <c r="N74" s="6">
        <f t="shared" si="6"/>
        <v>3</v>
      </c>
      <c r="O74" s="6" t="str">
        <f t="shared" si="7"/>
        <v>domingo</v>
      </c>
      <c r="P74" s="28">
        <f t="shared" si="8"/>
        <v>8</v>
      </c>
      <c r="Q74" s="6" t="str">
        <f t="shared" si="9"/>
        <v>agosto</v>
      </c>
    </row>
    <row r="75" spans="1:17" x14ac:dyDescent="0.25">
      <c r="A75">
        <v>9</v>
      </c>
      <c r="B75" s="6" t="s">
        <v>158</v>
      </c>
      <c r="C75" s="6" t="s">
        <v>6</v>
      </c>
      <c r="D75" s="8" t="s">
        <v>320</v>
      </c>
      <c r="E75" s="8"/>
      <c r="F75" s="8"/>
      <c r="G75" s="8"/>
      <c r="H75" s="8">
        <v>3150</v>
      </c>
      <c r="I75" s="8">
        <v>1650</v>
      </c>
      <c r="J75" s="8"/>
      <c r="K75" s="8">
        <v>1440</v>
      </c>
      <c r="L75" s="53"/>
      <c r="M75" s="47">
        <v>45872</v>
      </c>
      <c r="N75" s="6">
        <f t="shared" si="6"/>
        <v>3</v>
      </c>
      <c r="O75" s="6" t="str">
        <f t="shared" si="7"/>
        <v>domingo</v>
      </c>
      <c r="P75" s="28">
        <f t="shared" si="8"/>
        <v>8</v>
      </c>
      <c r="Q75" s="6" t="str">
        <f t="shared" si="9"/>
        <v>agosto</v>
      </c>
    </row>
    <row r="76" spans="1:17" x14ac:dyDescent="0.25">
      <c r="A76">
        <v>9</v>
      </c>
      <c r="B76" s="8" t="s">
        <v>160</v>
      </c>
      <c r="C76" s="8" t="s">
        <v>19</v>
      </c>
      <c r="D76" s="6" t="s">
        <v>195</v>
      </c>
      <c r="E76" s="6"/>
      <c r="F76" s="6"/>
      <c r="G76" s="6"/>
      <c r="H76" s="6">
        <v>2920</v>
      </c>
      <c r="I76" s="6"/>
      <c r="J76" s="6"/>
      <c r="K76" s="6"/>
      <c r="L76" s="54"/>
      <c r="M76" s="48">
        <v>45872</v>
      </c>
      <c r="N76" s="6">
        <f t="shared" si="6"/>
        <v>3</v>
      </c>
      <c r="O76" s="6" t="str">
        <f t="shared" si="7"/>
        <v>domingo</v>
      </c>
      <c r="P76" s="28">
        <f t="shared" si="8"/>
        <v>8</v>
      </c>
      <c r="Q76" s="6" t="str">
        <f t="shared" si="9"/>
        <v>agosto</v>
      </c>
    </row>
    <row r="77" spans="1:17" x14ac:dyDescent="0.25">
      <c r="A77">
        <v>9</v>
      </c>
      <c r="B77" s="6" t="s">
        <v>162</v>
      </c>
      <c r="C77" s="6" t="s">
        <v>19</v>
      </c>
      <c r="D77" s="8" t="s">
        <v>281</v>
      </c>
      <c r="E77" s="8"/>
      <c r="F77" s="8"/>
      <c r="G77" s="8"/>
      <c r="H77" s="8">
        <v>1760</v>
      </c>
      <c r="I77" s="8">
        <v>1200</v>
      </c>
      <c r="J77" s="8"/>
      <c r="K77" s="8">
        <v>500</v>
      </c>
      <c r="L77" s="53"/>
      <c r="M77" s="47">
        <v>45872</v>
      </c>
      <c r="N77" s="6">
        <f t="shared" si="6"/>
        <v>3</v>
      </c>
      <c r="O77" s="6" t="str">
        <f t="shared" si="7"/>
        <v>domingo</v>
      </c>
      <c r="P77" s="28">
        <f t="shared" si="8"/>
        <v>8</v>
      </c>
      <c r="Q77" s="6" t="str">
        <f t="shared" si="9"/>
        <v>agosto</v>
      </c>
    </row>
    <row r="78" spans="1:17" x14ac:dyDescent="0.25">
      <c r="A78">
        <v>8</v>
      </c>
      <c r="B78" s="8" t="s">
        <v>163</v>
      </c>
      <c r="C78" s="8" t="s">
        <v>6</v>
      </c>
      <c r="D78" s="6" t="s">
        <v>195</v>
      </c>
      <c r="E78" s="6"/>
      <c r="F78" s="6"/>
      <c r="G78" s="6"/>
      <c r="H78" s="6">
        <v>1740</v>
      </c>
      <c r="I78" s="6">
        <v>1200</v>
      </c>
      <c r="J78" s="6"/>
      <c r="K78" s="6">
        <v>480</v>
      </c>
      <c r="L78" s="54"/>
      <c r="M78" s="48">
        <v>45872</v>
      </c>
      <c r="N78" s="6">
        <f t="shared" si="6"/>
        <v>3</v>
      </c>
      <c r="O78" s="6" t="str">
        <f t="shared" si="7"/>
        <v>domingo</v>
      </c>
      <c r="P78" s="28">
        <f t="shared" si="8"/>
        <v>8</v>
      </c>
      <c r="Q78" s="6" t="str">
        <f t="shared" si="9"/>
        <v>agosto</v>
      </c>
    </row>
    <row r="79" spans="1:17" x14ac:dyDescent="0.25">
      <c r="A79">
        <v>7</v>
      </c>
      <c r="B79" s="6" t="s">
        <v>165</v>
      </c>
      <c r="C79" s="6" t="s">
        <v>19</v>
      </c>
      <c r="D79" s="8" t="s">
        <v>325</v>
      </c>
      <c r="E79" s="8"/>
      <c r="F79" s="8"/>
      <c r="G79" s="8"/>
      <c r="H79" s="8">
        <v>2320</v>
      </c>
      <c r="I79" s="8">
        <v>1320</v>
      </c>
      <c r="J79" s="8"/>
      <c r="K79" s="8">
        <v>940</v>
      </c>
      <c r="L79" s="53"/>
      <c r="M79" s="47">
        <v>45872</v>
      </c>
      <c r="N79" s="6">
        <f t="shared" si="6"/>
        <v>3</v>
      </c>
      <c r="O79" s="6" t="str">
        <f t="shared" si="7"/>
        <v>domingo</v>
      </c>
      <c r="P79" s="28">
        <f t="shared" si="8"/>
        <v>8</v>
      </c>
      <c r="Q79" s="6" t="str">
        <f t="shared" si="9"/>
        <v>agosto</v>
      </c>
    </row>
    <row r="80" spans="1:17" x14ac:dyDescent="0.25">
      <c r="A80">
        <v>9</v>
      </c>
      <c r="B80" s="6" t="s">
        <v>192</v>
      </c>
      <c r="C80" s="6" t="s">
        <v>19</v>
      </c>
      <c r="D80" s="20" t="s">
        <v>373</v>
      </c>
      <c r="E80" s="20"/>
      <c r="F80" s="10"/>
      <c r="G80" s="10"/>
      <c r="H80" s="20">
        <v>2700</v>
      </c>
      <c r="I80" s="10">
        <v>1200</v>
      </c>
      <c r="J80" s="10"/>
      <c r="K80" s="10">
        <v>1500</v>
      </c>
      <c r="L80" s="55"/>
      <c r="M80" s="49">
        <v>45875</v>
      </c>
      <c r="N80" s="6">
        <f t="shared" si="6"/>
        <v>6</v>
      </c>
      <c r="O80" s="6" t="str">
        <f t="shared" si="7"/>
        <v>miércoles</v>
      </c>
      <c r="P80" s="28">
        <f t="shared" si="8"/>
        <v>8</v>
      </c>
      <c r="Q80" s="6" t="str">
        <f t="shared" si="9"/>
        <v>agosto</v>
      </c>
    </row>
    <row r="81" spans="1:20" ht="16.149999999999999" customHeight="1" x14ac:dyDescent="0.25">
      <c r="A81">
        <v>9</v>
      </c>
      <c r="B81" s="8" t="s">
        <v>193</v>
      </c>
      <c r="C81" s="8" t="s">
        <v>155</v>
      </c>
      <c r="D81" s="20" t="s">
        <v>157</v>
      </c>
      <c r="E81" s="20"/>
      <c r="F81" s="10"/>
      <c r="G81" s="10"/>
      <c r="H81" s="20">
        <v>2470</v>
      </c>
      <c r="I81" s="10">
        <v>2470</v>
      </c>
      <c r="J81" s="10"/>
      <c r="K81" s="10"/>
      <c r="L81" s="55"/>
      <c r="M81" s="49">
        <v>45875</v>
      </c>
      <c r="N81" s="6">
        <f t="shared" si="6"/>
        <v>6</v>
      </c>
      <c r="O81" s="6" t="str">
        <f t="shared" si="7"/>
        <v>miércoles</v>
      </c>
      <c r="P81" s="28">
        <f t="shared" si="8"/>
        <v>8</v>
      </c>
      <c r="Q81" s="6" t="str">
        <f t="shared" si="9"/>
        <v>agosto</v>
      </c>
      <c r="R81" t="s">
        <v>339</v>
      </c>
      <c r="S81">
        <v>9312</v>
      </c>
    </row>
    <row r="82" spans="1:20" x14ac:dyDescent="0.25">
      <c r="A82">
        <v>3</v>
      </c>
      <c r="B82" s="6" t="s">
        <v>212</v>
      </c>
      <c r="C82" s="6" t="s">
        <v>6</v>
      </c>
      <c r="D82" s="20" t="s">
        <v>183</v>
      </c>
      <c r="E82" s="20"/>
      <c r="F82" s="20" t="s">
        <v>183</v>
      </c>
      <c r="G82" s="20"/>
      <c r="H82" s="20">
        <v>3860</v>
      </c>
      <c r="I82" s="10">
        <v>2220</v>
      </c>
      <c r="J82" s="10"/>
      <c r="K82" s="10">
        <v>1640</v>
      </c>
      <c r="L82" s="55"/>
      <c r="M82" s="49">
        <v>45875</v>
      </c>
      <c r="N82" s="6">
        <f t="shared" si="6"/>
        <v>6</v>
      </c>
      <c r="O82" s="6" t="str">
        <f t="shared" si="7"/>
        <v>miércoles</v>
      </c>
      <c r="P82" s="28">
        <f t="shared" si="8"/>
        <v>8</v>
      </c>
      <c r="Q82" s="6" t="str">
        <f t="shared" si="9"/>
        <v>agosto</v>
      </c>
    </row>
    <row r="83" spans="1:20" x14ac:dyDescent="0.25">
      <c r="A83">
        <v>3</v>
      </c>
      <c r="B83" s="8" t="s">
        <v>213</v>
      </c>
      <c r="C83" s="8" t="s">
        <v>6</v>
      </c>
      <c r="D83" s="20" t="s">
        <v>371</v>
      </c>
      <c r="E83" s="20"/>
      <c r="F83" s="10"/>
      <c r="G83" s="10"/>
      <c r="H83" s="20">
        <v>2040</v>
      </c>
      <c r="I83" s="10">
        <v>1200</v>
      </c>
      <c r="J83" s="10"/>
      <c r="K83" s="10">
        <v>840</v>
      </c>
      <c r="L83" s="55"/>
      <c r="M83" s="49">
        <v>45875</v>
      </c>
      <c r="N83" s="6">
        <f t="shared" si="6"/>
        <v>6</v>
      </c>
      <c r="O83" s="6" t="str">
        <f t="shared" si="7"/>
        <v>miércoles</v>
      </c>
      <c r="P83" s="28">
        <f t="shared" si="8"/>
        <v>8</v>
      </c>
      <c r="Q83" s="6" t="str">
        <f t="shared" si="9"/>
        <v>agosto</v>
      </c>
    </row>
    <row r="84" spans="1:20" x14ac:dyDescent="0.25">
      <c r="A84">
        <v>3</v>
      </c>
      <c r="B84" s="6" t="s">
        <v>214</v>
      </c>
      <c r="C84" s="6" t="s">
        <v>6</v>
      </c>
      <c r="D84" s="20" t="s">
        <v>371</v>
      </c>
      <c r="E84" s="20"/>
      <c r="F84" s="10"/>
      <c r="G84" s="10"/>
      <c r="H84" s="20">
        <v>1900</v>
      </c>
      <c r="I84" s="10">
        <v>1200</v>
      </c>
      <c r="J84" s="10"/>
      <c r="K84" s="10">
        <v>700</v>
      </c>
      <c r="L84" s="55"/>
      <c r="M84" s="49">
        <v>45875</v>
      </c>
      <c r="N84" s="6">
        <f t="shared" si="6"/>
        <v>6</v>
      </c>
      <c r="O84" s="6" t="str">
        <f t="shared" si="7"/>
        <v>miércoles</v>
      </c>
      <c r="P84" s="28">
        <f t="shared" si="8"/>
        <v>8</v>
      </c>
      <c r="Q84" s="6" t="str">
        <f t="shared" si="9"/>
        <v>agosto</v>
      </c>
    </row>
    <row r="85" spans="1:20" x14ac:dyDescent="0.25">
      <c r="A85">
        <v>2</v>
      </c>
      <c r="B85" s="6" t="s">
        <v>204</v>
      </c>
      <c r="C85" s="6" t="s">
        <v>6</v>
      </c>
      <c r="D85" s="20" t="s">
        <v>184</v>
      </c>
      <c r="E85" s="20"/>
      <c r="F85" s="10"/>
      <c r="G85" s="10"/>
      <c r="H85" s="20">
        <v>1585</v>
      </c>
      <c r="I85" s="10">
        <v>1200</v>
      </c>
      <c r="J85" s="10"/>
      <c r="K85" s="10">
        <v>385</v>
      </c>
      <c r="L85" s="55"/>
      <c r="M85" s="49">
        <v>45875</v>
      </c>
      <c r="N85" s="6">
        <f t="shared" si="6"/>
        <v>6</v>
      </c>
      <c r="O85" s="6" t="str">
        <f t="shared" si="7"/>
        <v>miércoles</v>
      </c>
      <c r="P85" s="28">
        <f t="shared" si="8"/>
        <v>8</v>
      </c>
      <c r="Q85" s="6" t="str">
        <f t="shared" si="9"/>
        <v>agosto</v>
      </c>
    </row>
    <row r="86" spans="1:20" x14ac:dyDescent="0.25">
      <c r="A86">
        <v>2</v>
      </c>
      <c r="B86" s="8" t="s">
        <v>205</v>
      </c>
      <c r="C86" s="8" t="s">
        <v>19</v>
      </c>
      <c r="D86" s="20" t="s">
        <v>363</v>
      </c>
      <c r="E86" s="20"/>
      <c r="F86" s="10"/>
      <c r="G86" s="10"/>
      <c r="H86" s="20">
        <v>1200</v>
      </c>
      <c r="I86" s="10">
        <v>1200</v>
      </c>
      <c r="J86" s="10"/>
      <c r="K86" s="10"/>
      <c r="L86" s="55"/>
      <c r="M86" s="49">
        <v>45875</v>
      </c>
      <c r="N86" s="6">
        <f t="shared" si="6"/>
        <v>6</v>
      </c>
      <c r="O86" s="6" t="str">
        <f t="shared" si="7"/>
        <v>miércoles</v>
      </c>
      <c r="P86" s="28">
        <f t="shared" si="8"/>
        <v>8</v>
      </c>
      <c r="Q86" s="6" t="str">
        <f t="shared" si="9"/>
        <v>agosto</v>
      </c>
    </row>
    <row r="87" spans="1:20" x14ac:dyDescent="0.25">
      <c r="A87">
        <v>2</v>
      </c>
      <c r="B87" s="6" t="s">
        <v>207</v>
      </c>
      <c r="C87" s="6" t="s">
        <v>6</v>
      </c>
      <c r="D87" s="20" t="s">
        <v>375</v>
      </c>
      <c r="E87" s="20"/>
      <c r="F87" s="10"/>
      <c r="G87" s="10"/>
      <c r="H87" s="20">
        <v>1320</v>
      </c>
      <c r="I87" s="10">
        <v>1220</v>
      </c>
      <c r="J87" s="10"/>
      <c r="K87" s="10">
        <v>100</v>
      </c>
      <c r="L87" s="55"/>
      <c r="M87" s="49">
        <v>45875</v>
      </c>
      <c r="N87" s="6">
        <f t="shared" si="6"/>
        <v>6</v>
      </c>
      <c r="O87" s="6" t="str">
        <f t="shared" si="7"/>
        <v>miércoles</v>
      </c>
      <c r="P87" s="28">
        <f t="shared" si="8"/>
        <v>8</v>
      </c>
      <c r="Q87" s="6" t="str">
        <f t="shared" si="9"/>
        <v>agosto</v>
      </c>
      <c r="R87" t="s">
        <v>339</v>
      </c>
      <c r="S87">
        <v>7565</v>
      </c>
    </row>
    <row r="88" spans="1:20" x14ac:dyDescent="0.25">
      <c r="A88">
        <v>1</v>
      </c>
      <c r="B88" s="6" t="s">
        <v>202</v>
      </c>
      <c r="C88" s="6" t="s">
        <v>6</v>
      </c>
      <c r="D88" s="20" t="s">
        <v>359</v>
      </c>
      <c r="E88" s="20"/>
      <c r="F88" s="10"/>
      <c r="G88" s="10"/>
      <c r="H88" s="20">
        <v>1290</v>
      </c>
      <c r="I88" s="10">
        <v>1290</v>
      </c>
      <c r="J88" s="10"/>
      <c r="K88" s="10"/>
      <c r="L88" s="55"/>
      <c r="M88" s="49">
        <v>45875</v>
      </c>
      <c r="N88" s="6">
        <f t="shared" si="6"/>
        <v>6</v>
      </c>
      <c r="O88" s="6" t="str">
        <f t="shared" si="7"/>
        <v>miércoles</v>
      </c>
      <c r="P88" s="28">
        <f t="shared" si="8"/>
        <v>8</v>
      </c>
      <c r="Q88" s="6" t="str">
        <f t="shared" si="9"/>
        <v>agosto</v>
      </c>
      <c r="R88" t="s">
        <v>339</v>
      </c>
      <c r="S88">
        <v>22680</v>
      </c>
    </row>
    <row r="89" spans="1:20" x14ac:dyDescent="0.25">
      <c r="A89">
        <v>1</v>
      </c>
      <c r="B89" s="8" t="s">
        <v>203</v>
      </c>
      <c r="C89" s="8" t="s">
        <v>6</v>
      </c>
      <c r="D89" s="20" t="s">
        <v>374</v>
      </c>
      <c r="E89" s="20"/>
      <c r="F89" s="10"/>
      <c r="G89" s="10"/>
      <c r="H89" s="20">
        <v>2150</v>
      </c>
      <c r="I89" s="10">
        <v>1250</v>
      </c>
      <c r="J89" s="10"/>
      <c r="K89" s="10">
        <v>900</v>
      </c>
      <c r="L89" s="55"/>
      <c r="M89" s="49">
        <v>45875</v>
      </c>
      <c r="N89" s="6">
        <f t="shared" si="6"/>
        <v>6</v>
      </c>
      <c r="O89" s="6" t="str">
        <f t="shared" si="7"/>
        <v>miércoles</v>
      </c>
      <c r="P89" s="28">
        <f t="shared" si="8"/>
        <v>8</v>
      </c>
      <c r="Q89" s="6" t="str">
        <f t="shared" si="9"/>
        <v>agosto</v>
      </c>
    </row>
    <row r="90" spans="1:20" x14ac:dyDescent="0.25">
      <c r="A90">
        <v>1</v>
      </c>
      <c r="B90" s="8" t="s">
        <v>209</v>
      </c>
      <c r="C90" s="8" t="s">
        <v>19</v>
      </c>
      <c r="D90" s="20" t="s">
        <v>365</v>
      </c>
      <c r="E90" s="20"/>
      <c r="F90" s="10"/>
      <c r="G90" s="10"/>
      <c r="H90" s="20">
        <v>2050</v>
      </c>
      <c r="I90" s="10">
        <v>1250</v>
      </c>
      <c r="J90" s="10"/>
      <c r="K90" s="10">
        <v>800</v>
      </c>
      <c r="L90" s="55"/>
      <c r="M90" s="49">
        <v>45875</v>
      </c>
      <c r="N90" s="6">
        <f t="shared" si="6"/>
        <v>6</v>
      </c>
      <c r="O90" s="6" t="str">
        <f t="shared" si="7"/>
        <v>miércoles</v>
      </c>
      <c r="P90" s="28">
        <f t="shared" si="8"/>
        <v>8</v>
      </c>
      <c r="Q90" s="6" t="str">
        <f t="shared" si="9"/>
        <v>agosto</v>
      </c>
    </row>
    <row r="91" spans="1:20" x14ac:dyDescent="0.25">
      <c r="A91">
        <v>1</v>
      </c>
      <c r="B91" s="6" t="s">
        <v>210</v>
      </c>
      <c r="C91" s="6" t="s">
        <v>19</v>
      </c>
      <c r="D91" s="20" t="s">
        <v>241</v>
      </c>
      <c r="E91" s="20"/>
      <c r="F91" s="10"/>
      <c r="G91" s="10"/>
      <c r="H91" s="20">
        <v>1900</v>
      </c>
      <c r="I91" s="10">
        <v>1200</v>
      </c>
      <c r="J91" s="10"/>
      <c r="K91" s="10">
        <v>700</v>
      </c>
      <c r="L91" s="55"/>
      <c r="M91" s="49">
        <v>45875</v>
      </c>
      <c r="N91" s="6">
        <f t="shared" si="6"/>
        <v>6</v>
      </c>
      <c r="O91" s="6" t="str">
        <f t="shared" si="7"/>
        <v>miércoles</v>
      </c>
      <c r="P91" s="28">
        <f t="shared" si="8"/>
        <v>8</v>
      </c>
      <c r="Q91" s="6" t="str">
        <f t="shared" si="9"/>
        <v>agosto</v>
      </c>
    </row>
    <row r="92" spans="1:20" x14ac:dyDescent="0.25">
      <c r="A92">
        <v>1</v>
      </c>
      <c r="B92" s="8" t="s">
        <v>211</v>
      </c>
      <c r="C92" s="8" t="s">
        <v>19</v>
      </c>
      <c r="D92" s="20" t="s">
        <v>368</v>
      </c>
      <c r="E92" s="20"/>
      <c r="F92" s="10"/>
      <c r="G92" s="10"/>
      <c r="H92" s="20">
        <v>2140</v>
      </c>
      <c r="I92" s="10">
        <v>1260</v>
      </c>
      <c r="J92" s="10"/>
      <c r="K92" s="10">
        <v>880</v>
      </c>
      <c r="L92" s="55"/>
      <c r="M92" s="49">
        <v>45875</v>
      </c>
      <c r="N92" s="6">
        <f t="shared" si="6"/>
        <v>6</v>
      </c>
      <c r="O92" s="6" t="str">
        <f t="shared" si="7"/>
        <v>miércoles</v>
      </c>
      <c r="P92" s="28">
        <f t="shared" si="8"/>
        <v>8</v>
      </c>
      <c r="Q92" s="6" t="str">
        <f t="shared" si="9"/>
        <v>agosto</v>
      </c>
    </row>
    <row r="93" spans="1:20" x14ac:dyDescent="0.25">
      <c r="A93">
        <v>4</v>
      </c>
      <c r="B93" s="6" t="s">
        <v>223</v>
      </c>
      <c r="C93" s="6" t="s">
        <v>19</v>
      </c>
      <c r="D93" s="20" t="s">
        <v>393</v>
      </c>
      <c r="E93" s="20"/>
      <c r="F93" s="10"/>
      <c r="G93" s="10"/>
      <c r="H93" s="20">
        <v>1700</v>
      </c>
      <c r="I93" s="10">
        <v>1200</v>
      </c>
      <c r="J93" s="10"/>
      <c r="K93" s="10">
        <v>500</v>
      </c>
      <c r="L93" s="55"/>
      <c r="M93" s="49">
        <v>45877</v>
      </c>
      <c r="N93" s="10">
        <f t="shared" si="6"/>
        <v>8</v>
      </c>
      <c r="O93" s="6" t="str">
        <f t="shared" si="7"/>
        <v>viernes</v>
      </c>
      <c r="P93" s="28">
        <f t="shared" si="8"/>
        <v>8</v>
      </c>
      <c r="Q93" s="6" t="str">
        <f t="shared" si="9"/>
        <v>agosto</v>
      </c>
    </row>
    <row r="94" spans="1:20" x14ac:dyDescent="0.25">
      <c r="A94">
        <v>4</v>
      </c>
      <c r="B94" s="8" t="s">
        <v>224</v>
      </c>
      <c r="C94" s="8" t="s">
        <v>6</v>
      </c>
      <c r="D94" s="20" t="s">
        <v>394</v>
      </c>
      <c r="E94" s="20"/>
      <c r="F94" s="10"/>
      <c r="G94" s="10"/>
      <c r="H94" s="20">
        <v>1700</v>
      </c>
      <c r="I94" s="10">
        <v>1200</v>
      </c>
      <c r="J94" s="10"/>
      <c r="K94" s="10">
        <v>500</v>
      </c>
      <c r="L94" s="55"/>
      <c r="M94" s="49">
        <v>45877</v>
      </c>
      <c r="N94" s="10">
        <f t="shared" si="6"/>
        <v>8</v>
      </c>
      <c r="O94" s="6" t="str">
        <f t="shared" si="7"/>
        <v>viernes</v>
      </c>
      <c r="P94" s="28">
        <f t="shared" si="8"/>
        <v>8</v>
      </c>
      <c r="Q94" s="6" t="str">
        <f t="shared" si="9"/>
        <v>agosto</v>
      </c>
    </row>
    <row r="95" spans="1:20" x14ac:dyDescent="0.25">
      <c r="A95">
        <v>3</v>
      </c>
      <c r="B95" s="8" t="s">
        <v>215</v>
      </c>
      <c r="C95" s="8" t="s">
        <v>6</v>
      </c>
      <c r="D95" s="20" t="s">
        <v>388</v>
      </c>
      <c r="E95" s="20"/>
      <c r="F95" s="10"/>
      <c r="G95" s="10"/>
      <c r="H95" s="20">
        <v>1740</v>
      </c>
      <c r="I95" s="10">
        <v>140</v>
      </c>
      <c r="J95" s="10"/>
      <c r="K95" s="10">
        <v>500</v>
      </c>
      <c r="L95" s="55"/>
      <c r="M95" s="49">
        <v>45877</v>
      </c>
      <c r="N95" s="10">
        <f t="shared" si="6"/>
        <v>8</v>
      </c>
      <c r="O95" s="6" t="str">
        <f t="shared" si="7"/>
        <v>viernes</v>
      </c>
      <c r="P95" s="28">
        <f t="shared" si="8"/>
        <v>8</v>
      </c>
      <c r="Q95" s="6" t="str">
        <f t="shared" si="9"/>
        <v>agosto</v>
      </c>
      <c r="T95">
        <v>8</v>
      </c>
    </row>
    <row r="96" spans="1:20" x14ac:dyDescent="0.25">
      <c r="A96">
        <v>3</v>
      </c>
      <c r="B96" s="6" t="s">
        <v>216</v>
      </c>
      <c r="C96" s="6" t="s">
        <v>6</v>
      </c>
      <c r="D96" s="20" t="s">
        <v>389</v>
      </c>
      <c r="E96" s="20"/>
      <c r="F96" s="10"/>
      <c r="G96" s="10"/>
      <c r="H96" s="20">
        <v>1375</v>
      </c>
      <c r="I96" s="10">
        <v>1200</v>
      </c>
      <c r="J96" s="10"/>
      <c r="K96" s="10">
        <v>175</v>
      </c>
      <c r="L96" s="55"/>
      <c r="M96" s="49">
        <v>45877</v>
      </c>
      <c r="N96" s="10">
        <f t="shared" si="6"/>
        <v>8</v>
      </c>
      <c r="O96" s="6" t="str">
        <f t="shared" si="7"/>
        <v>viernes</v>
      </c>
      <c r="P96" s="28">
        <f t="shared" si="8"/>
        <v>8</v>
      </c>
      <c r="Q96" s="6" t="str">
        <f t="shared" si="9"/>
        <v>agosto</v>
      </c>
    </row>
    <row r="97" spans="1:17" x14ac:dyDescent="0.25">
      <c r="A97">
        <v>2</v>
      </c>
      <c r="B97" s="8" t="s">
        <v>217</v>
      </c>
      <c r="C97" s="8" t="s">
        <v>6</v>
      </c>
      <c r="D97" s="20" t="s">
        <v>379</v>
      </c>
      <c r="E97" s="20"/>
      <c r="F97" s="10"/>
      <c r="G97" s="10"/>
      <c r="H97" s="20">
        <v>2320</v>
      </c>
      <c r="I97" s="10">
        <v>1200</v>
      </c>
      <c r="J97" s="10"/>
      <c r="K97" s="10">
        <v>1120</v>
      </c>
      <c r="L97" s="55"/>
      <c r="M97" s="49">
        <v>45877</v>
      </c>
      <c r="N97" s="10">
        <f t="shared" si="6"/>
        <v>8</v>
      </c>
      <c r="O97" s="6" t="str">
        <f t="shared" si="7"/>
        <v>viernes</v>
      </c>
      <c r="P97" s="28">
        <f t="shared" si="8"/>
        <v>8</v>
      </c>
      <c r="Q97" s="6" t="str">
        <f t="shared" si="9"/>
        <v>agosto</v>
      </c>
    </row>
    <row r="98" spans="1:17" x14ac:dyDescent="0.25">
      <c r="A98">
        <v>2</v>
      </c>
      <c r="B98" s="6" t="s">
        <v>219</v>
      </c>
      <c r="C98" s="6" t="s">
        <v>19</v>
      </c>
      <c r="D98" s="20" t="s">
        <v>381</v>
      </c>
      <c r="E98" s="20"/>
      <c r="F98" s="10"/>
      <c r="G98" s="10"/>
      <c r="H98" s="20">
        <v>1740</v>
      </c>
      <c r="I98" s="10">
        <v>1200</v>
      </c>
      <c r="J98" s="10"/>
      <c r="K98" s="10">
        <v>540</v>
      </c>
      <c r="L98" s="55"/>
      <c r="M98" s="49">
        <v>45877</v>
      </c>
      <c r="N98" s="10">
        <f t="shared" si="6"/>
        <v>8</v>
      </c>
      <c r="O98" s="6" t="str">
        <f t="shared" si="7"/>
        <v>viernes</v>
      </c>
      <c r="P98" s="28">
        <f t="shared" ref="P98:P116" si="10">MONTH(M98)</f>
        <v>8</v>
      </c>
      <c r="Q98" s="6" t="str">
        <f t="shared" ref="Q98:Q116" si="11">TEXT(M98,"MMMM")</f>
        <v>agosto</v>
      </c>
    </row>
    <row r="99" spans="1:17" x14ac:dyDescent="0.25">
      <c r="A99">
        <v>2</v>
      </c>
      <c r="B99" s="8" t="s">
        <v>220</v>
      </c>
      <c r="C99" s="8" t="s">
        <v>6</v>
      </c>
      <c r="D99" s="20" t="s">
        <v>390</v>
      </c>
      <c r="E99" s="20"/>
      <c r="F99" s="10"/>
      <c r="G99" s="10"/>
      <c r="H99" s="20">
        <v>1870</v>
      </c>
      <c r="I99" s="10">
        <v>1870</v>
      </c>
      <c r="J99" s="10"/>
      <c r="K99" s="10"/>
      <c r="L99" s="55"/>
      <c r="M99" s="49">
        <v>45877</v>
      </c>
      <c r="N99" s="10">
        <f t="shared" si="6"/>
        <v>8</v>
      </c>
      <c r="O99" s="6" t="str">
        <f t="shared" si="7"/>
        <v>viernes</v>
      </c>
      <c r="P99" s="28">
        <f t="shared" si="10"/>
        <v>8</v>
      </c>
      <c r="Q99" s="6" t="str">
        <f t="shared" si="11"/>
        <v>agosto</v>
      </c>
    </row>
    <row r="100" spans="1:17" x14ac:dyDescent="0.25">
      <c r="A100">
        <v>2</v>
      </c>
      <c r="B100" s="6" t="s">
        <v>221</v>
      </c>
      <c r="C100" s="6" t="s">
        <v>19</v>
      </c>
      <c r="D100" s="20" t="s">
        <v>391</v>
      </c>
      <c r="E100" s="20"/>
      <c r="F100" s="10"/>
      <c r="G100" s="10"/>
      <c r="H100" s="20">
        <v>1790</v>
      </c>
      <c r="I100" s="10">
        <v>1790</v>
      </c>
      <c r="J100" s="10"/>
      <c r="K100" s="10"/>
      <c r="L100" s="55"/>
      <c r="M100" s="49">
        <v>45877</v>
      </c>
      <c r="N100" s="10">
        <f t="shared" si="6"/>
        <v>8</v>
      </c>
      <c r="O100" s="6" t="str">
        <f t="shared" si="7"/>
        <v>viernes</v>
      </c>
      <c r="P100" s="28">
        <f t="shared" si="10"/>
        <v>8</v>
      </c>
      <c r="Q100" s="6" t="str">
        <f t="shared" si="11"/>
        <v>agosto</v>
      </c>
    </row>
    <row r="101" spans="1:17" x14ac:dyDescent="0.25">
      <c r="A101">
        <v>1</v>
      </c>
      <c r="B101" s="8" t="s">
        <v>222</v>
      </c>
      <c r="C101" s="8" t="s">
        <v>6</v>
      </c>
      <c r="D101" s="20" t="s">
        <v>392</v>
      </c>
      <c r="E101" s="20"/>
      <c r="F101" s="10"/>
      <c r="G101" s="10"/>
      <c r="H101" s="20">
        <v>1200</v>
      </c>
      <c r="I101" s="10">
        <v>1200</v>
      </c>
      <c r="J101" s="10"/>
      <c r="K101" s="10"/>
      <c r="L101" s="55"/>
      <c r="M101" s="49">
        <v>45877</v>
      </c>
      <c r="N101" s="10">
        <f t="shared" si="6"/>
        <v>8</v>
      </c>
      <c r="O101" s="6" t="str">
        <f t="shared" si="7"/>
        <v>viernes</v>
      </c>
      <c r="P101" s="28">
        <f t="shared" si="10"/>
        <v>8</v>
      </c>
      <c r="Q101" s="6" t="str">
        <f t="shared" si="11"/>
        <v>agosto</v>
      </c>
    </row>
    <row r="102" spans="1:17" x14ac:dyDescent="0.25">
      <c r="A102">
        <v>11</v>
      </c>
      <c r="B102" s="6" t="s">
        <v>146</v>
      </c>
      <c r="C102" s="6" t="s">
        <v>6</v>
      </c>
      <c r="D102" s="20" t="s">
        <v>208</v>
      </c>
      <c r="E102" s="20"/>
      <c r="F102" s="10"/>
      <c r="G102" s="10"/>
      <c r="H102" s="20">
        <v>1550</v>
      </c>
      <c r="I102" s="10">
        <v>1200</v>
      </c>
      <c r="J102" s="10"/>
      <c r="K102" s="10">
        <v>350</v>
      </c>
      <c r="L102" s="55"/>
      <c r="M102" s="49">
        <v>45878</v>
      </c>
      <c r="N102" s="10">
        <f t="shared" si="6"/>
        <v>9</v>
      </c>
      <c r="O102" s="6" t="str">
        <f t="shared" si="7"/>
        <v>sábado</v>
      </c>
      <c r="P102" s="28">
        <f t="shared" si="10"/>
        <v>8</v>
      </c>
      <c r="Q102" s="6" t="str">
        <f t="shared" si="11"/>
        <v>agosto</v>
      </c>
    </row>
    <row r="103" spans="1:17" x14ac:dyDescent="0.25">
      <c r="A103">
        <v>11</v>
      </c>
      <c r="B103" s="8" t="s">
        <v>225</v>
      </c>
      <c r="C103" s="8" t="s">
        <v>6</v>
      </c>
      <c r="D103" s="20" t="s">
        <v>243</v>
      </c>
      <c r="E103" s="20"/>
      <c r="F103" s="10"/>
      <c r="G103" s="10"/>
      <c r="H103" s="20">
        <v>2000</v>
      </c>
      <c r="I103" s="10">
        <v>1200</v>
      </c>
      <c r="J103" s="10"/>
      <c r="K103" s="10">
        <v>800</v>
      </c>
      <c r="L103" s="55"/>
      <c r="M103" s="49">
        <v>45878</v>
      </c>
      <c r="N103" s="10">
        <f t="shared" si="6"/>
        <v>9</v>
      </c>
      <c r="O103" s="6" t="str">
        <f t="shared" si="7"/>
        <v>sábado</v>
      </c>
      <c r="P103" s="28">
        <f t="shared" si="10"/>
        <v>8</v>
      </c>
      <c r="Q103" s="6" t="str">
        <f t="shared" si="11"/>
        <v>agosto</v>
      </c>
    </row>
    <row r="104" spans="1:17" x14ac:dyDescent="0.25">
      <c r="A104">
        <v>11</v>
      </c>
      <c r="B104" s="6" t="s">
        <v>226</v>
      </c>
      <c r="C104" s="6" t="s">
        <v>6</v>
      </c>
      <c r="D104" s="20" t="s">
        <v>397</v>
      </c>
      <c r="E104" s="20"/>
      <c r="F104" s="10"/>
      <c r="G104" s="10"/>
      <c r="H104" s="20">
        <v>1700</v>
      </c>
      <c r="I104" s="10">
        <v>1200</v>
      </c>
      <c r="J104" s="10"/>
      <c r="K104" s="10">
        <v>500</v>
      </c>
      <c r="L104" s="55"/>
      <c r="M104" s="49">
        <v>45878</v>
      </c>
      <c r="N104" s="10">
        <f t="shared" si="6"/>
        <v>9</v>
      </c>
      <c r="O104" s="6" t="str">
        <f t="shared" si="7"/>
        <v>sábado</v>
      </c>
      <c r="P104" s="28">
        <f t="shared" si="10"/>
        <v>8</v>
      </c>
      <c r="Q104" s="6" t="str">
        <f t="shared" si="11"/>
        <v>agosto</v>
      </c>
    </row>
    <row r="105" spans="1:17" x14ac:dyDescent="0.25">
      <c r="A105">
        <v>11</v>
      </c>
      <c r="B105" s="8" t="s">
        <v>227</v>
      </c>
      <c r="C105" s="8" t="s">
        <v>6</v>
      </c>
      <c r="D105" s="20" t="s">
        <v>413</v>
      </c>
      <c r="E105" s="20"/>
      <c r="F105" s="10"/>
      <c r="G105" s="10"/>
      <c r="H105" s="20">
        <v>1830</v>
      </c>
      <c r="I105" s="10">
        <v>1830</v>
      </c>
      <c r="J105" s="10"/>
      <c r="K105" s="10"/>
      <c r="L105" s="55"/>
      <c r="M105" s="49">
        <v>45878</v>
      </c>
      <c r="N105" s="10">
        <f t="shared" si="6"/>
        <v>9</v>
      </c>
      <c r="O105" s="6" t="str">
        <f t="shared" si="7"/>
        <v>sábado</v>
      </c>
      <c r="P105" s="28">
        <f t="shared" si="10"/>
        <v>8</v>
      </c>
      <c r="Q105" s="6" t="str">
        <f t="shared" si="11"/>
        <v>agosto</v>
      </c>
    </row>
    <row r="106" spans="1:17" x14ac:dyDescent="0.25">
      <c r="A106">
        <v>11</v>
      </c>
      <c r="B106" s="6" t="s">
        <v>228</v>
      </c>
      <c r="C106" s="6" t="s">
        <v>6</v>
      </c>
      <c r="D106" s="20" t="s">
        <v>414</v>
      </c>
      <c r="E106" s="20"/>
      <c r="F106" s="10"/>
      <c r="G106" s="10"/>
      <c r="H106" s="20">
        <v>3930</v>
      </c>
      <c r="I106" s="10">
        <v>3930</v>
      </c>
      <c r="J106" s="10"/>
      <c r="K106" s="10"/>
      <c r="L106" s="55"/>
      <c r="M106" s="49">
        <v>45878</v>
      </c>
      <c r="N106" s="10">
        <f t="shared" si="6"/>
        <v>9</v>
      </c>
      <c r="O106" s="6" t="str">
        <f t="shared" si="7"/>
        <v>sábado</v>
      </c>
      <c r="P106" s="28">
        <f t="shared" si="10"/>
        <v>8</v>
      </c>
      <c r="Q106" s="6" t="str">
        <f t="shared" si="11"/>
        <v>agosto</v>
      </c>
    </row>
    <row r="107" spans="1:17" x14ac:dyDescent="0.25">
      <c r="A107">
        <v>10</v>
      </c>
      <c r="B107" s="8" t="s">
        <v>190</v>
      </c>
      <c r="C107" s="8" t="s">
        <v>19</v>
      </c>
      <c r="D107" s="20" t="s">
        <v>415</v>
      </c>
      <c r="E107" s="20"/>
      <c r="F107" s="10"/>
      <c r="G107" s="10"/>
      <c r="H107" s="20">
        <v>1950</v>
      </c>
      <c r="I107" s="10">
        <v>1200</v>
      </c>
      <c r="J107" s="10"/>
      <c r="K107" s="10">
        <v>750</v>
      </c>
      <c r="L107" s="55"/>
      <c r="M107" s="49">
        <v>45878</v>
      </c>
      <c r="N107" s="10">
        <f t="shared" si="6"/>
        <v>9</v>
      </c>
      <c r="O107" s="6" t="str">
        <f t="shared" si="7"/>
        <v>sábado</v>
      </c>
      <c r="P107" s="28">
        <f t="shared" si="10"/>
        <v>8</v>
      </c>
      <c r="Q107" s="6" t="str">
        <f t="shared" si="11"/>
        <v>agosto</v>
      </c>
    </row>
    <row r="108" spans="1:17" x14ac:dyDescent="0.25">
      <c r="A108">
        <v>10</v>
      </c>
      <c r="B108" s="6" t="s">
        <v>231</v>
      </c>
      <c r="C108" s="6" t="s">
        <v>19</v>
      </c>
      <c r="D108" s="20" t="s">
        <v>416</v>
      </c>
      <c r="E108" s="20"/>
      <c r="F108" s="10"/>
      <c r="G108" s="10"/>
      <c r="H108" s="20">
        <v>1761</v>
      </c>
      <c r="I108" s="10">
        <v>1760</v>
      </c>
      <c r="J108" s="10"/>
      <c r="K108" s="10">
        <v>1</v>
      </c>
      <c r="L108" s="55"/>
      <c r="M108" s="49">
        <v>45878</v>
      </c>
      <c r="N108" s="10">
        <f t="shared" si="6"/>
        <v>9</v>
      </c>
      <c r="O108" s="6" t="str">
        <f t="shared" si="7"/>
        <v>sábado</v>
      </c>
      <c r="P108" s="28">
        <f t="shared" si="10"/>
        <v>8</v>
      </c>
      <c r="Q108" s="6" t="str">
        <f t="shared" si="11"/>
        <v>agosto</v>
      </c>
    </row>
    <row r="109" spans="1:17" x14ac:dyDescent="0.25">
      <c r="A109">
        <v>10</v>
      </c>
      <c r="B109" s="8" t="s">
        <v>232</v>
      </c>
      <c r="C109" s="8" t="s">
        <v>6</v>
      </c>
      <c r="D109" s="20" t="s">
        <v>309</v>
      </c>
      <c r="E109" s="20"/>
      <c r="F109" s="10"/>
      <c r="G109" s="10"/>
      <c r="H109" s="20">
        <v>1200</v>
      </c>
      <c r="I109" s="10">
        <v>1200</v>
      </c>
      <c r="J109" s="10"/>
      <c r="K109" s="10"/>
      <c r="L109" s="55"/>
      <c r="M109" s="49">
        <v>45878</v>
      </c>
      <c r="N109" s="10">
        <f t="shared" si="6"/>
        <v>9</v>
      </c>
      <c r="O109" s="6" t="str">
        <f t="shared" si="7"/>
        <v>sábado</v>
      </c>
      <c r="P109" s="28">
        <f t="shared" si="10"/>
        <v>8</v>
      </c>
      <c r="Q109" s="6" t="str">
        <f t="shared" si="11"/>
        <v>agosto</v>
      </c>
    </row>
    <row r="110" spans="1:17" x14ac:dyDescent="0.25">
      <c r="A110">
        <v>10</v>
      </c>
      <c r="B110" s="6" t="s">
        <v>233</v>
      </c>
      <c r="C110" s="6" t="s">
        <v>6</v>
      </c>
      <c r="D110" s="20" t="s">
        <v>404</v>
      </c>
      <c r="E110" s="20"/>
      <c r="F110" s="10"/>
      <c r="G110" s="10"/>
      <c r="H110" s="20">
        <v>3070</v>
      </c>
      <c r="I110" s="10">
        <v>1850</v>
      </c>
      <c r="J110" s="10"/>
      <c r="K110" s="10">
        <v>1220</v>
      </c>
      <c r="L110" s="55"/>
      <c r="M110" s="49">
        <v>45878</v>
      </c>
      <c r="N110" s="10">
        <f t="shared" si="6"/>
        <v>9</v>
      </c>
      <c r="O110" s="6" t="str">
        <f t="shared" si="7"/>
        <v>sábado</v>
      </c>
      <c r="P110" s="28">
        <f t="shared" si="10"/>
        <v>8</v>
      </c>
      <c r="Q110" s="6" t="str">
        <f t="shared" si="11"/>
        <v>agosto</v>
      </c>
    </row>
    <row r="111" spans="1:17" x14ac:dyDescent="0.25">
      <c r="A111">
        <v>10</v>
      </c>
      <c r="B111" s="6" t="s">
        <v>259</v>
      </c>
      <c r="C111" s="6" t="s">
        <v>6</v>
      </c>
      <c r="D111" s="20" t="s">
        <v>418</v>
      </c>
      <c r="E111" s="20"/>
      <c r="F111" s="10"/>
      <c r="G111" s="10"/>
      <c r="H111" s="20">
        <v>1740</v>
      </c>
      <c r="I111" s="10">
        <v>1540</v>
      </c>
      <c r="J111" s="10"/>
      <c r="K111" s="10">
        <v>200</v>
      </c>
      <c r="L111" s="55"/>
      <c r="M111" s="49">
        <v>45878</v>
      </c>
      <c r="N111" s="10">
        <f t="shared" si="6"/>
        <v>9</v>
      </c>
      <c r="O111" s="6" t="str">
        <f t="shared" si="7"/>
        <v>sábado</v>
      </c>
      <c r="P111" s="28">
        <f t="shared" si="10"/>
        <v>8</v>
      </c>
      <c r="Q111" s="6" t="str">
        <f t="shared" si="11"/>
        <v>agosto</v>
      </c>
    </row>
    <row r="112" spans="1:17" x14ac:dyDescent="0.25">
      <c r="A112">
        <v>10</v>
      </c>
      <c r="B112" s="8" t="s">
        <v>260</v>
      </c>
      <c r="C112" s="8" t="s">
        <v>6</v>
      </c>
      <c r="D112" s="20" t="s">
        <v>419</v>
      </c>
      <c r="E112" s="20"/>
      <c r="F112" s="10"/>
      <c r="G112" s="10"/>
      <c r="H112" s="20">
        <v>2280</v>
      </c>
      <c r="I112" s="10">
        <v>1200</v>
      </c>
      <c r="J112" s="10"/>
      <c r="K112" s="10">
        <v>1080</v>
      </c>
      <c r="L112" s="55"/>
      <c r="M112" s="49">
        <v>45878</v>
      </c>
      <c r="N112" s="10">
        <f t="shared" si="6"/>
        <v>9</v>
      </c>
      <c r="O112" s="6" t="str">
        <f t="shared" si="7"/>
        <v>sábado</v>
      </c>
      <c r="P112" s="28">
        <f t="shared" si="10"/>
        <v>8</v>
      </c>
      <c r="Q112" s="6" t="str">
        <f t="shared" si="11"/>
        <v>agosto</v>
      </c>
    </row>
    <row r="113" spans="1:19" x14ac:dyDescent="0.25">
      <c r="A113">
        <v>10</v>
      </c>
      <c r="B113" s="6" t="s">
        <v>261</v>
      </c>
      <c r="C113" s="6" t="s">
        <v>19</v>
      </c>
      <c r="D113" s="20" t="s">
        <v>420</v>
      </c>
      <c r="E113" s="20"/>
      <c r="F113" s="10"/>
      <c r="G113" s="10"/>
      <c r="H113" s="20">
        <v>1200</v>
      </c>
      <c r="I113" s="10"/>
      <c r="J113" s="10"/>
      <c r="K113" s="10"/>
      <c r="L113" s="55"/>
      <c r="M113" s="49">
        <v>45878</v>
      </c>
      <c r="N113" s="10">
        <f t="shared" si="6"/>
        <v>9</v>
      </c>
      <c r="O113" s="6" t="str">
        <f t="shared" si="7"/>
        <v>sábado</v>
      </c>
      <c r="P113" s="28">
        <f t="shared" si="10"/>
        <v>8</v>
      </c>
      <c r="Q113" s="6" t="str">
        <f t="shared" si="11"/>
        <v>agosto</v>
      </c>
    </row>
    <row r="114" spans="1:19" x14ac:dyDescent="0.25">
      <c r="A114">
        <v>9</v>
      </c>
      <c r="B114" s="8" t="s">
        <v>234</v>
      </c>
      <c r="C114" s="8" t="s">
        <v>6</v>
      </c>
      <c r="D114" s="20" t="s">
        <v>406</v>
      </c>
      <c r="E114" s="20"/>
      <c r="F114" s="10"/>
      <c r="G114" s="10"/>
      <c r="H114" s="20">
        <v>2680</v>
      </c>
      <c r="I114" s="10">
        <v>1200</v>
      </c>
      <c r="J114" s="10"/>
      <c r="K114" s="10">
        <v>1480</v>
      </c>
      <c r="L114" s="55"/>
      <c r="M114" s="49">
        <v>45878</v>
      </c>
      <c r="N114" s="10">
        <f t="shared" si="6"/>
        <v>9</v>
      </c>
      <c r="O114" s="6" t="str">
        <f t="shared" si="7"/>
        <v>sábado</v>
      </c>
      <c r="P114" s="28">
        <f t="shared" si="10"/>
        <v>8</v>
      </c>
      <c r="Q114" s="6" t="str">
        <f t="shared" si="11"/>
        <v>agosto</v>
      </c>
    </row>
    <row r="115" spans="1:19" x14ac:dyDescent="0.25">
      <c r="A115">
        <v>9</v>
      </c>
      <c r="B115" s="6" t="s">
        <v>236</v>
      </c>
      <c r="C115" s="6" t="s">
        <v>6</v>
      </c>
      <c r="D115" s="20" t="s">
        <v>408</v>
      </c>
      <c r="E115" s="20"/>
      <c r="F115" s="10"/>
      <c r="G115" s="10"/>
      <c r="H115" s="20">
        <v>2250</v>
      </c>
      <c r="I115" s="10">
        <v>1200</v>
      </c>
      <c r="J115" s="10"/>
      <c r="K115" s="10">
        <v>1050</v>
      </c>
      <c r="L115" s="55"/>
      <c r="M115" s="49">
        <v>45878</v>
      </c>
      <c r="N115" s="10">
        <f t="shared" si="6"/>
        <v>9</v>
      </c>
      <c r="O115" s="6" t="str">
        <f t="shared" si="7"/>
        <v>sábado</v>
      </c>
      <c r="P115" s="28">
        <f t="shared" si="10"/>
        <v>8</v>
      </c>
      <c r="Q115" s="6" t="str">
        <f t="shared" si="11"/>
        <v>agosto</v>
      </c>
    </row>
    <row r="116" spans="1:19" x14ac:dyDescent="0.25">
      <c r="A116">
        <v>9</v>
      </c>
      <c r="B116" s="8" t="s">
        <v>120</v>
      </c>
      <c r="C116" s="8" t="s">
        <v>6</v>
      </c>
      <c r="D116" s="20" t="s">
        <v>417</v>
      </c>
      <c r="E116" s="20"/>
      <c r="F116" s="10"/>
      <c r="G116" s="10"/>
      <c r="H116" s="20">
        <v>2700</v>
      </c>
      <c r="I116" s="10">
        <v>1200</v>
      </c>
      <c r="J116" s="10"/>
      <c r="K116" s="10">
        <v>1500</v>
      </c>
      <c r="L116" s="55"/>
      <c r="M116" s="49">
        <v>45878</v>
      </c>
      <c r="N116" s="10">
        <f t="shared" si="6"/>
        <v>9</v>
      </c>
      <c r="O116" s="6" t="str">
        <f t="shared" si="7"/>
        <v>sábado</v>
      </c>
      <c r="P116" s="28">
        <f t="shared" si="10"/>
        <v>8</v>
      </c>
      <c r="Q116" s="6" t="str">
        <f t="shared" si="11"/>
        <v>agosto</v>
      </c>
    </row>
    <row r="117" spans="1:19" x14ac:dyDescent="0.25">
      <c r="A117">
        <v>12</v>
      </c>
      <c r="B117" s="8" t="s">
        <v>270</v>
      </c>
      <c r="C117" s="8" t="s">
        <v>6</v>
      </c>
      <c r="D117" s="20" t="s">
        <v>447</v>
      </c>
      <c r="E117" s="20"/>
      <c r="F117" s="20"/>
      <c r="G117" s="20"/>
      <c r="H117" s="20">
        <v>2510</v>
      </c>
      <c r="I117" s="10">
        <v>1210</v>
      </c>
      <c r="J117" s="20"/>
      <c r="K117" s="10">
        <v>1300</v>
      </c>
      <c r="L117" s="55"/>
      <c r="M117" s="49">
        <v>45879</v>
      </c>
      <c r="N117" s="10">
        <f t="shared" si="6"/>
        <v>10</v>
      </c>
      <c r="O117" s="6" t="str">
        <f t="shared" si="7"/>
        <v>domingo</v>
      </c>
      <c r="P117" s="29"/>
      <c r="Q117" s="20"/>
      <c r="R117" t="s">
        <v>339</v>
      </c>
      <c r="S117">
        <v>15355</v>
      </c>
    </row>
    <row r="118" spans="1:19" x14ac:dyDescent="0.25">
      <c r="A118">
        <v>12</v>
      </c>
      <c r="B118" s="6" t="s">
        <v>272</v>
      </c>
      <c r="C118" s="6" t="s">
        <v>6</v>
      </c>
      <c r="D118" s="20" t="s">
        <v>174</v>
      </c>
      <c r="E118" s="20"/>
      <c r="F118" s="20"/>
      <c r="G118" s="20"/>
      <c r="H118" s="20">
        <v>1550</v>
      </c>
      <c r="I118" s="10">
        <v>1200</v>
      </c>
      <c r="J118" s="20"/>
      <c r="K118" s="10">
        <v>350</v>
      </c>
      <c r="L118" s="55"/>
      <c r="M118" s="49">
        <v>45879</v>
      </c>
      <c r="N118" s="10">
        <f t="shared" si="6"/>
        <v>10</v>
      </c>
      <c r="O118" s="6" t="str">
        <f t="shared" si="7"/>
        <v>domingo</v>
      </c>
      <c r="P118" s="29"/>
      <c r="Q118" s="20"/>
    </row>
    <row r="119" spans="1:19" x14ac:dyDescent="0.25">
      <c r="A119">
        <v>12</v>
      </c>
      <c r="B119" s="8" t="s">
        <v>273</v>
      </c>
      <c r="C119" s="8" t="s">
        <v>6</v>
      </c>
      <c r="D119" s="20" t="s">
        <v>448</v>
      </c>
      <c r="E119" s="20"/>
      <c r="F119" s="20" t="s">
        <v>449</v>
      </c>
      <c r="G119" s="20"/>
      <c r="H119" s="20">
        <v>4900</v>
      </c>
      <c r="I119" s="10">
        <v>2100</v>
      </c>
      <c r="J119" s="20"/>
      <c r="K119" s="10">
        <v>2800</v>
      </c>
      <c r="L119" s="55"/>
      <c r="M119" s="49">
        <v>45879</v>
      </c>
      <c r="N119" s="10">
        <f t="shared" si="6"/>
        <v>10</v>
      </c>
      <c r="O119" s="6" t="str">
        <f t="shared" si="7"/>
        <v>domingo</v>
      </c>
      <c r="P119" s="29"/>
      <c r="Q119" s="20"/>
    </row>
    <row r="120" spans="1:19" x14ac:dyDescent="0.25">
      <c r="A120">
        <v>11</v>
      </c>
      <c r="B120" s="8" t="s">
        <v>267</v>
      </c>
      <c r="C120" s="8" t="s">
        <v>6</v>
      </c>
      <c r="D120" s="20" t="s">
        <v>445</v>
      </c>
      <c r="E120" s="20"/>
      <c r="F120" s="10" t="s">
        <v>446</v>
      </c>
      <c r="G120" s="10"/>
      <c r="H120" s="20">
        <v>4210</v>
      </c>
      <c r="I120" s="10">
        <v>2710</v>
      </c>
      <c r="J120" s="10"/>
      <c r="K120" s="10">
        <v>1500</v>
      </c>
      <c r="L120" s="55"/>
      <c r="M120" s="49">
        <v>45879</v>
      </c>
      <c r="N120" s="10">
        <f t="shared" si="6"/>
        <v>10</v>
      </c>
      <c r="O120" s="6" t="str">
        <f t="shared" si="7"/>
        <v>domingo</v>
      </c>
      <c r="P120" s="28">
        <f>MONTH(M120)</f>
        <v>8</v>
      </c>
      <c r="Q120" s="6" t="str">
        <f>TEXT(M120,"MMMM")</f>
        <v>agosto</v>
      </c>
    </row>
    <row r="121" spans="1:19" x14ac:dyDescent="0.25">
      <c r="A121">
        <v>11</v>
      </c>
      <c r="B121" s="6" t="s">
        <v>269</v>
      </c>
      <c r="C121" s="6" t="s">
        <v>19</v>
      </c>
      <c r="D121" s="20" t="s">
        <v>425</v>
      </c>
      <c r="E121" s="20"/>
      <c r="F121" s="10"/>
      <c r="G121" s="10"/>
      <c r="H121" s="20">
        <v>2720</v>
      </c>
      <c r="I121" s="10">
        <v>2620</v>
      </c>
      <c r="J121" s="10"/>
      <c r="K121" s="10">
        <v>100</v>
      </c>
      <c r="L121" s="55"/>
      <c r="M121" s="49">
        <v>45879</v>
      </c>
      <c r="N121" s="10">
        <f t="shared" si="6"/>
        <v>10</v>
      </c>
      <c r="O121" s="6" t="str">
        <f t="shared" si="7"/>
        <v>domingo</v>
      </c>
      <c r="P121" s="28">
        <f>MONTH(M121)</f>
        <v>8</v>
      </c>
      <c r="Q121" s="6" t="str">
        <f>TEXT(M121,"MMMM")</f>
        <v>agosto</v>
      </c>
    </row>
    <row r="122" spans="1:19" x14ac:dyDescent="0.25">
      <c r="A122">
        <v>11</v>
      </c>
      <c r="B122" s="6" t="s">
        <v>274</v>
      </c>
      <c r="C122" s="6" t="s">
        <v>19</v>
      </c>
      <c r="D122" s="20" t="s">
        <v>450</v>
      </c>
      <c r="E122" s="20"/>
      <c r="F122" s="20"/>
      <c r="G122" s="20"/>
      <c r="H122" s="20">
        <v>2380</v>
      </c>
      <c r="I122" s="10">
        <v>1200</v>
      </c>
      <c r="J122" s="20"/>
      <c r="K122" s="10">
        <v>1180</v>
      </c>
      <c r="L122" s="55"/>
      <c r="M122" s="49">
        <v>45879</v>
      </c>
      <c r="N122" s="10">
        <f t="shared" si="6"/>
        <v>10</v>
      </c>
      <c r="O122" s="6" t="str">
        <f t="shared" si="7"/>
        <v>domingo</v>
      </c>
      <c r="P122" s="29"/>
      <c r="Q122" s="20"/>
    </row>
    <row r="123" spans="1:19" x14ac:dyDescent="0.25">
      <c r="A123">
        <v>11</v>
      </c>
      <c r="B123" s="8" t="s">
        <v>275</v>
      </c>
      <c r="C123" s="8" t="s">
        <v>6</v>
      </c>
      <c r="D123" s="20" t="s">
        <v>451</v>
      </c>
      <c r="E123" s="20"/>
      <c r="F123" s="20"/>
      <c r="G123" s="20"/>
      <c r="H123" s="20">
        <v>1200</v>
      </c>
      <c r="I123" s="10">
        <v>1200</v>
      </c>
      <c r="J123" s="20"/>
      <c r="K123" s="20"/>
      <c r="L123" s="56"/>
      <c r="M123" s="49">
        <v>45879</v>
      </c>
      <c r="N123" s="10">
        <f t="shared" si="6"/>
        <v>10</v>
      </c>
      <c r="O123" s="6" t="str">
        <f t="shared" si="7"/>
        <v>domingo</v>
      </c>
      <c r="P123" s="29"/>
      <c r="Q123" s="20"/>
    </row>
    <row r="124" spans="1:19" x14ac:dyDescent="0.25">
      <c r="A124">
        <v>11</v>
      </c>
      <c r="B124" s="6" t="s">
        <v>277</v>
      </c>
      <c r="C124" s="6" t="s">
        <v>6</v>
      </c>
      <c r="D124" s="20" t="s">
        <v>431</v>
      </c>
      <c r="E124" s="20"/>
      <c r="F124" s="20"/>
      <c r="G124" s="20"/>
      <c r="H124" s="20">
        <v>3000</v>
      </c>
      <c r="I124" s="10">
        <v>1260</v>
      </c>
      <c r="J124" s="20"/>
      <c r="K124" s="10">
        <v>1740</v>
      </c>
      <c r="L124" s="55"/>
      <c r="M124" s="49">
        <v>45879</v>
      </c>
      <c r="N124" s="10">
        <f t="shared" si="6"/>
        <v>10</v>
      </c>
      <c r="O124" s="6" t="str">
        <f t="shared" si="7"/>
        <v>domingo</v>
      </c>
      <c r="P124" s="29"/>
      <c r="Q124" s="20"/>
    </row>
    <row r="125" spans="1:19" x14ac:dyDescent="0.25">
      <c r="A125">
        <v>11</v>
      </c>
      <c r="B125" s="6" t="s">
        <v>292</v>
      </c>
      <c r="C125" s="6" t="s">
        <v>6</v>
      </c>
      <c r="D125" s="20" t="s">
        <v>439</v>
      </c>
      <c r="E125" s="20"/>
      <c r="F125" s="20"/>
      <c r="G125" s="20"/>
      <c r="H125" s="20">
        <v>2020</v>
      </c>
      <c r="I125" s="10">
        <v>1200</v>
      </c>
      <c r="J125" s="20"/>
      <c r="K125" s="10">
        <v>820</v>
      </c>
      <c r="L125" s="55"/>
      <c r="M125" s="49">
        <v>45879</v>
      </c>
      <c r="N125" s="10">
        <f t="shared" si="6"/>
        <v>10</v>
      </c>
      <c r="O125" s="6" t="str">
        <f t="shared" si="7"/>
        <v>domingo</v>
      </c>
      <c r="P125" s="29"/>
      <c r="Q125" s="20"/>
      <c r="R125" t="s">
        <v>339</v>
      </c>
      <c r="S125">
        <v>10819</v>
      </c>
    </row>
    <row r="126" spans="1:19" x14ac:dyDescent="0.25">
      <c r="A126">
        <v>11</v>
      </c>
      <c r="B126" s="8" t="s">
        <v>293</v>
      </c>
      <c r="C126" s="8" t="s">
        <v>6</v>
      </c>
      <c r="D126" s="20" t="s">
        <v>195</v>
      </c>
      <c r="E126" s="20"/>
      <c r="F126" s="20"/>
      <c r="G126" s="20"/>
      <c r="H126" s="20">
        <v>1200</v>
      </c>
      <c r="I126" s="10">
        <v>1200</v>
      </c>
      <c r="J126" s="20"/>
      <c r="K126" s="20"/>
      <c r="L126" s="56"/>
      <c r="M126" s="49">
        <v>45879</v>
      </c>
      <c r="N126" s="10">
        <f t="shared" si="6"/>
        <v>10</v>
      </c>
      <c r="O126" s="6" t="str">
        <f t="shared" si="7"/>
        <v>domingo</v>
      </c>
      <c r="P126" s="29"/>
      <c r="Q126" s="20"/>
    </row>
    <row r="127" spans="1:19" x14ac:dyDescent="0.25">
      <c r="A127">
        <v>11</v>
      </c>
      <c r="B127" s="6" t="s">
        <v>294</v>
      </c>
      <c r="C127" s="6" t="s">
        <v>6</v>
      </c>
      <c r="D127" s="20" t="s">
        <v>442</v>
      </c>
      <c r="E127" s="20"/>
      <c r="F127" s="20" t="s">
        <v>442</v>
      </c>
      <c r="G127" s="20"/>
      <c r="H127" s="20">
        <v>3380</v>
      </c>
      <c r="I127" s="10">
        <v>1800</v>
      </c>
      <c r="J127" s="20"/>
      <c r="K127" s="10">
        <v>1580</v>
      </c>
      <c r="L127" s="55"/>
      <c r="M127" s="49">
        <v>45879</v>
      </c>
      <c r="N127" s="10">
        <f t="shared" si="6"/>
        <v>10</v>
      </c>
      <c r="O127" s="6" t="str">
        <f t="shared" si="7"/>
        <v>domingo</v>
      </c>
      <c r="P127" s="29"/>
      <c r="Q127" s="20"/>
      <c r="R127" t="s">
        <v>339</v>
      </c>
      <c r="S127">
        <v>34860</v>
      </c>
    </row>
    <row r="128" spans="1:19" x14ac:dyDescent="0.25">
      <c r="A128">
        <v>10</v>
      </c>
      <c r="B128" s="8" t="s">
        <v>296</v>
      </c>
      <c r="C128" s="8" t="s">
        <v>6</v>
      </c>
      <c r="D128" s="20" t="s">
        <v>443</v>
      </c>
      <c r="E128" s="20"/>
      <c r="F128" s="20"/>
      <c r="G128" s="20"/>
      <c r="H128" s="20">
        <v>4200</v>
      </c>
      <c r="I128" s="10">
        <v>1200</v>
      </c>
      <c r="J128" s="20"/>
      <c r="K128" s="10">
        <v>3000</v>
      </c>
      <c r="L128" s="55"/>
      <c r="M128" s="49">
        <v>45879</v>
      </c>
      <c r="N128" s="10">
        <f t="shared" si="6"/>
        <v>10</v>
      </c>
      <c r="O128" s="6" t="str">
        <f t="shared" si="7"/>
        <v>domingo</v>
      </c>
      <c r="P128" s="29"/>
      <c r="Q128" s="20"/>
    </row>
    <row r="129" spans="1:19" x14ac:dyDescent="0.25">
      <c r="A129">
        <v>10</v>
      </c>
      <c r="B129" s="6" t="s">
        <v>260</v>
      </c>
      <c r="C129" s="6" t="s">
        <v>19</v>
      </c>
      <c r="D129" s="20" t="s">
        <v>444</v>
      </c>
      <c r="E129" s="20"/>
      <c r="F129" s="20"/>
      <c r="G129" s="20"/>
      <c r="H129" s="20">
        <v>1520</v>
      </c>
      <c r="I129" s="10">
        <v>1520</v>
      </c>
      <c r="J129" s="20"/>
      <c r="K129" s="20"/>
      <c r="L129" s="56"/>
      <c r="M129" s="49">
        <v>45879</v>
      </c>
      <c r="N129" s="10">
        <f t="shared" si="6"/>
        <v>10</v>
      </c>
      <c r="O129" s="6" t="str">
        <f t="shared" si="7"/>
        <v>domingo</v>
      </c>
      <c r="P129" s="29"/>
      <c r="Q129" s="20"/>
    </row>
    <row r="130" spans="1:19" x14ac:dyDescent="0.25">
      <c r="A130">
        <v>9</v>
      </c>
      <c r="B130" s="8" t="s">
        <v>262</v>
      </c>
      <c r="C130" s="8" t="s">
        <v>19</v>
      </c>
      <c r="D130" s="20" t="s">
        <v>394</v>
      </c>
      <c r="E130" s="20"/>
      <c r="F130" s="10"/>
      <c r="G130" s="10"/>
      <c r="H130" s="20">
        <v>1200</v>
      </c>
      <c r="I130" s="10">
        <v>1200</v>
      </c>
      <c r="J130" s="10"/>
      <c r="K130" s="10"/>
      <c r="L130" s="55"/>
      <c r="M130" s="49">
        <v>45879</v>
      </c>
      <c r="N130" s="10">
        <f t="shared" ref="N130:N193" si="12">DAY(M130)</f>
        <v>10</v>
      </c>
      <c r="O130" s="6" t="str">
        <f t="shared" ref="O130:O193" si="13">TEXT(M130,"DDDD")</f>
        <v>domingo</v>
      </c>
      <c r="P130" s="28">
        <f>MONTH(M130)</f>
        <v>8</v>
      </c>
      <c r="Q130" s="6" t="str">
        <f>TEXT(M130,"MMMM")</f>
        <v>agosto</v>
      </c>
    </row>
    <row r="131" spans="1:19" x14ac:dyDescent="0.25">
      <c r="A131">
        <v>9</v>
      </c>
      <c r="B131" s="6" t="s">
        <v>263</v>
      </c>
      <c r="C131" s="6" t="s">
        <v>6</v>
      </c>
      <c r="D131" s="20" t="s">
        <v>184</v>
      </c>
      <c r="E131" s="20"/>
      <c r="F131" s="10"/>
      <c r="G131" s="10"/>
      <c r="H131" s="20">
        <v>1640</v>
      </c>
      <c r="I131" s="10">
        <v>1200</v>
      </c>
      <c r="J131" s="10"/>
      <c r="K131" s="10">
        <v>440</v>
      </c>
      <c r="L131" s="55"/>
      <c r="M131" s="49">
        <v>45879</v>
      </c>
      <c r="N131" s="10">
        <f t="shared" si="12"/>
        <v>10</v>
      </c>
      <c r="O131" s="6" t="str">
        <f t="shared" si="13"/>
        <v>domingo</v>
      </c>
      <c r="P131" s="28">
        <f>MONTH(M131)</f>
        <v>8</v>
      </c>
      <c r="Q131" s="6" t="str">
        <f>TEXT(M131,"MMMM")</f>
        <v>agosto</v>
      </c>
      <c r="R131" t="s">
        <v>339</v>
      </c>
      <c r="S131">
        <v>10000</v>
      </c>
    </row>
    <row r="132" spans="1:19" x14ac:dyDescent="0.25">
      <c r="A132">
        <v>9</v>
      </c>
      <c r="B132" s="8" t="s">
        <v>264</v>
      </c>
      <c r="C132" s="8" t="s">
        <v>6</v>
      </c>
      <c r="D132" s="20" t="s">
        <v>423</v>
      </c>
      <c r="E132" s="20"/>
      <c r="F132" s="10" t="s">
        <v>229</v>
      </c>
      <c r="G132" s="10"/>
      <c r="H132" s="20">
        <v>3880</v>
      </c>
      <c r="I132" s="10">
        <v>1990</v>
      </c>
      <c r="J132" s="10"/>
      <c r="K132" s="10">
        <v>1890</v>
      </c>
      <c r="L132" s="55"/>
      <c r="M132" s="49">
        <v>45879</v>
      </c>
      <c r="N132" s="10">
        <f t="shared" si="12"/>
        <v>10</v>
      </c>
      <c r="O132" s="6" t="str">
        <f t="shared" si="13"/>
        <v>domingo</v>
      </c>
      <c r="P132" s="28">
        <f>MONTH(M132)</f>
        <v>8</v>
      </c>
      <c r="Q132" s="6" t="str">
        <f>TEXT(M132,"MMMM")</f>
        <v>agosto</v>
      </c>
    </row>
    <row r="133" spans="1:19" x14ac:dyDescent="0.25">
      <c r="A133">
        <v>8</v>
      </c>
      <c r="B133" s="6" t="s">
        <v>266</v>
      </c>
      <c r="C133" s="6" t="s">
        <v>19</v>
      </c>
      <c r="D133" s="20" t="s">
        <v>309</v>
      </c>
      <c r="E133" s="20"/>
      <c r="F133" s="20" t="s">
        <v>309</v>
      </c>
      <c r="G133" s="20"/>
      <c r="H133" s="20">
        <v>3503.88</v>
      </c>
      <c r="I133" s="10">
        <v>1800</v>
      </c>
      <c r="J133" s="10"/>
      <c r="K133" s="10">
        <v>1703.9</v>
      </c>
      <c r="L133" s="55"/>
      <c r="M133" s="49">
        <v>45879</v>
      </c>
      <c r="N133" s="10">
        <f t="shared" si="12"/>
        <v>10</v>
      </c>
      <c r="O133" s="6" t="str">
        <f t="shared" si="13"/>
        <v>domingo</v>
      </c>
      <c r="P133" s="28">
        <f>MONTH(M133)</f>
        <v>8</v>
      </c>
      <c r="Q133" s="6" t="str">
        <f>TEXT(M133,"MMMM")</f>
        <v>agosto</v>
      </c>
    </row>
    <row r="134" spans="1:19" x14ac:dyDescent="0.25">
      <c r="A134">
        <v>3</v>
      </c>
      <c r="B134" s="8" t="s">
        <v>286</v>
      </c>
      <c r="C134" s="8" t="s">
        <v>6</v>
      </c>
      <c r="D134" s="20" t="s">
        <v>452</v>
      </c>
      <c r="E134" s="20"/>
      <c r="F134" s="20" t="s">
        <v>452</v>
      </c>
      <c r="G134" s="20"/>
      <c r="H134" s="20">
        <v>5980</v>
      </c>
      <c r="I134" s="10">
        <v>3040</v>
      </c>
      <c r="J134" s="20"/>
      <c r="K134" s="10">
        <v>2940</v>
      </c>
      <c r="L134" s="55"/>
      <c r="M134" s="49">
        <v>45879</v>
      </c>
      <c r="N134" s="10">
        <f t="shared" si="12"/>
        <v>10</v>
      </c>
      <c r="O134" s="6" t="str">
        <f t="shared" si="13"/>
        <v>domingo</v>
      </c>
      <c r="P134" s="29"/>
      <c r="Q134" s="20"/>
      <c r="R134" t="s">
        <v>339</v>
      </c>
      <c r="S134">
        <v>33792</v>
      </c>
    </row>
    <row r="135" spans="1:19" x14ac:dyDescent="0.25">
      <c r="A135">
        <v>2</v>
      </c>
      <c r="B135" s="6" t="s">
        <v>287</v>
      </c>
      <c r="C135" s="6" t="s">
        <v>19</v>
      </c>
      <c r="D135" s="20" t="s">
        <v>434</v>
      </c>
      <c r="E135" s="20"/>
      <c r="F135" s="20"/>
      <c r="G135" s="20"/>
      <c r="H135" s="20"/>
      <c r="I135" s="20"/>
      <c r="J135" s="20"/>
      <c r="K135" s="20"/>
      <c r="L135" s="56"/>
      <c r="M135" s="49">
        <v>45879</v>
      </c>
      <c r="N135" s="10">
        <f t="shared" si="12"/>
        <v>10</v>
      </c>
      <c r="O135" s="6" t="str">
        <f t="shared" si="13"/>
        <v>domingo</v>
      </c>
      <c r="P135" s="29"/>
      <c r="Q135" s="20"/>
    </row>
    <row r="136" spans="1:19" x14ac:dyDescent="0.25">
      <c r="A136">
        <v>2</v>
      </c>
      <c r="B136" s="8" t="s">
        <v>288</v>
      </c>
      <c r="C136" s="8" t="s">
        <v>6</v>
      </c>
      <c r="D136" s="20" t="s">
        <v>230</v>
      </c>
      <c r="E136" s="20"/>
      <c r="F136" s="20"/>
      <c r="G136" s="20"/>
      <c r="H136" s="20">
        <v>2240</v>
      </c>
      <c r="I136" s="10">
        <v>1280</v>
      </c>
      <c r="J136" s="20"/>
      <c r="K136" s="10">
        <v>960</v>
      </c>
      <c r="L136" s="55"/>
      <c r="M136" s="49">
        <v>45879</v>
      </c>
      <c r="N136" s="10">
        <f t="shared" si="12"/>
        <v>10</v>
      </c>
      <c r="O136" s="6" t="str">
        <f t="shared" si="13"/>
        <v>domingo</v>
      </c>
      <c r="P136" s="29"/>
      <c r="Q136" s="20"/>
    </row>
    <row r="137" spans="1:19" x14ac:dyDescent="0.25">
      <c r="A137">
        <v>2</v>
      </c>
      <c r="B137" s="6" t="s">
        <v>289</v>
      </c>
      <c r="C137" s="6" t="s">
        <v>6</v>
      </c>
      <c r="D137" s="20" t="s">
        <v>208</v>
      </c>
      <c r="E137" s="20"/>
      <c r="F137" s="20"/>
      <c r="G137" s="20"/>
      <c r="H137" s="20">
        <v>1400</v>
      </c>
      <c r="I137" s="10">
        <v>1200</v>
      </c>
      <c r="J137" s="20"/>
      <c r="K137" s="10">
        <v>200</v>
      </c>
      <c r="L137" s="55"/>
      <c r="M137" s="49">
        <v>45879</v>
      </c>
      <c r="N137" s="10">
        <f t="shared" si="12"/>
        <v>10</v>
      </c>
      <c r="O137" s="6" t="str">
        <f t="shared" si="13"/>
        <v>domingo</v>
      </c>
      <c r="P137" s="29"/>
      <c r="Q137" s="20"/>
    </row>
    <row r="138" spans="1:19" x14ac:dyDescent="0.25">
      <c r="A138">
        <v>1</v>
      </c>
      <c r="B138" s="8" t="s">
        <v>182</v>
      </c>
      <c r="C138" s="8" t="s">
        <v>19</v>
      </c>
      <c r="D138" s="20" t="s">
        <v>184</v>
      </c>
      <c r="E138" s="20"/>
      <c r="F138" s="20"/>
      <c r="G138" s="20"/>
      <c r="H138" s="20">
        <v>2720</v>
      </c>
      <c r="I138" s="10">
        <v>1200</v>
      </c>
      <c r="J138" s="20"/>
      <c r="K138" s="10">
        <v>1520</v>
      </c>
      <c r="L138" s="55"/>
      <c r="M138" s="49">
        <v>45879</v>
      </c>
      <c r="N138" s="10">
        <f t="shared" si="12"/>
        <v>10</v>
      </c>
      <c r="O138" s="6" t="str">
        <f t="shared" si="13"/>
        <v>domingo</v>
      </c>
      <c r="P138" s="29"/>
      <c r="Q138" s="20"/>
    </row>
    <row r="139" spans="1:19" x14ac:dyDescent="0.25">
      <c r="A139">
        <v>1</v>
      </c>
      <c r="B139" s="6" t="s">
        <v>290</v>
      </c>
      <c r="C139" s="6" t="s">
        <v>19</v>
      </c>
      <c r="D139" s="20" t="s">
        <v>453</v>
      </c>
      <c r="E139" s="20"/>
      <c r="F139" s="20"/>
      <c r="G139" s="20"/>
      <c r="H139" s="20">
        <v>3140</v>
      </c>
      <c r="I139" s="20"/>
      <c r="J139" s="20"/>
      <c r="K139" s="20"/>
      <c r="L139" s="56"/>
      <c r="M139" s="49">
        <v>45879</v>
      </c>
      <c r="N139" s="10">
        <f t="shared" si="12"/>
        <v>10</v>
      </c>
      <c r="O139" s="6" t="str">
        <f t="shared" si="13"/>
        <v>domingo</v>
      </c>
      <c r="P139" s="29"/>
      <c r="Q139" s="20"/>
      <c r="R139" t="s">
        <v>339</v>
      </c>
      <c r="S139">
        <v>11601</v>
      </c>
    </row>
    <row r="140" spans="1:19" x14ac:dyDescent="0.25">
      <c r="A140">
        <v>1</v>
      </c>
      <c r="B140" s="8" t="s">
        <v>291</v>
      </c>
      <c r="C140" s="8" t="s">
        <v>6</v>
      </c>
      <c r="D140" s="20" t="s">
        <v>437</v>
      </c>
      <c r="E140" s="20"/>
      <c r="F140" s="20"/>
      <c r="G140" s="20"/>
      <c r="H140" s="20">
        <v>1400</v>
      </c>
      <c r="I140" s="10">
        <v>1300</v>
      </c>
      <c r="J140" s="20"/>
      <c r="K140" s="10">
        <v>100</v>
      </c>
      <c r="L140" s="55"/>
      <c r="M140" s="49">
        <v>45879</v>
      </c>
      <c r="N140" s="10">
        <f t="shared" si="12"/>
        <v>10</v>
      </c>
      <c r="O140" s="6" t="str">
        <f t="shared" si="13"/>
        <v>domingo</v>
      </c>
      <c r="P140" s="29"/>
      <c r="Q140" s="20"/>
    </row>
    <row r="141" spans="1:19" x14ac:dyDescent="0.25">
      <c r="A141">
        <v>12</v>
      </c>
      <c r="B141" s="8" t="s">
        <v>297</v>
      </c>
      <c r="C141" s="8" t="s">
        <v>6</v>
      </c>
      <c r="D141" s="6" t="s">
        <v>112</v>
      </c>
      <c r="E141" s="6"/>
      <c r="F141" s="6"/>
      <c r="G141" s="6"/>
      <c r="H141" s="7">
        <v>1291</v>
      </c>
      <c r="I141" s="6"/>
      <c r="J141" s="6"/>
      <c r="K141" s="6"/>
      <c r="L141" s="54"/>
      <c r="M141" s="48">
        <v>45884</v>
      </c>
      <c r="N141" s="6">
        <f t="shared" si="12"/>
        <v>15</v>
      </c>
      <c r="O141" s="6" t="str">
        <f t="shared" si="13"/>
        <v>viernes</v>
      </c>
      <c r="P141" s="28">
        <f t="shared" ref="P141:P204" si="14">MONTH(M141)</f>
        <v>8</v>
      </c>
      <c r="Q141" s="6" t="str">
        <f t="shared" ref="Q141:Q204" si="15">TEXT(M141,"MMMM")</f>
        <v>agosto</v>
      </c>
    </row>
    <row r="142" spans="1:19" x14ac:dyDescent="0.25">
      <c r="A142">
        <v>12</v>
      </c>
      <c r="B142" s="6" t="s">
        <v>299</v>
      </c>
      <c r="C142" s="6" t="s">
        <v>6</v>
      </c>
      <c r="D142" s="8" t="s">
        <v>24</v>
      </c>
      <c r="E142" s="8"/>
      <c r="F142" s="8"/>
      <c r="G142" s="8"/>
      <c r="H142" s="9">
        <v>2200</v>
      </c>
      <c r="I142" s="8"/>
      <c r="J142" s="8"/>
      <c r="K142" s="8"/>
      <c r="L142" s="53"/>
      <c r="M142" s="47">
        <v>45884</v>
      </c>
      <c r="N142" s="6">
        <f t="shared" si="12"/>
        <v>15</v>
      </c>
      <c r="O142" s="6" t="str">
        <f t="shared" si="13"/>
        <v>viernes</v>
      </c>
      <c r="P142" s="28">
        <f t="shared" si="14"/>
        <v>8</v>
      </c>
      <c r="Q142" s="6" t="str">
        <f t="shared" si="15"/>
        <v>agosto</v>
      </c>
    </row>
    <row r="143" spans="1:19" x14ac:dyDescent="0.25">
      <c r="A143">
        <v>12</v>
      </c>
      <c r="B143" s="8" t="s">
        <v>300</v>
      </c>
      <c r="C143" s="8" t="s">
        <v>6</v>
      </c>
      <c r="D143" s="6" t="s">
        <v>114</v>
      </c>
      <c r="E143" s="6"/>
      <c r="F143" s="6"/>
      <c r="G143" s="6"/>
      <c r="H143" s="7">
        <v>2040</v>
      </c>
      <c r="I143" s="6"/>
      <c r="J143" s="6"/>
      <c r="K143" s="6"/>
      <c r="L143" s="54"/>
      <c r="M143" s="48">
        <v>45884</v>
      </c>
      <c r="N143" s="6">
        <f t="shared" si="12"/>
        <v>15</v>
      </c>
      <c r="O143" s="6" t="str">
        <f t="shared" si="13"/>
        <v>viernes</v>
      </c>
      <c r="P143" s="28">
        <f t="shared" si="14"/>
        <v>8</v>
      </c>
      <c r="Q143" s="6" t="str">
        <f t="shared" si="15"/>
        <v>agosto</v>
      </c>
    </row>
    <row r="144" spans="1:19" x14ac:dyDescent="0.25">
      <c r="A144">
        <v>12</v>
      </c>
      <c r="B144" s="6" t="s">
        <v>302</v>
      </c>
      <c r="C144" s="6" t="s">
        <v>6</v>
      </c>
      <c r="D144" s="8" t="s">
        <v>112</v>
      </c>
      <c r="E144" s="8"/>
      <c r="F144" s="8"/>
      <c r="G144" s="8"/>
      <c r="H144" s="9">
        <v>1291</v>
      </c>
      <c r="I144" s="8"/>
      <c r="J144" s="8"/>
      <c r="K144" s="8"/>
      <c r="L144" s="53"/>
      <c r="M144" s="47">
        <v>45884</v>
      </c>
      <c r="N144" s="6">
        <f t="shared" si="12"/>
        <v>15</v>
      </c>
      <c r="O144" s="6" t="str">
        <f t="shared" si="13"/>
        <v>viernes</v>
      </c>
      <c r="P144" s="28">
        <f t="shared" si="14"/>
        <v>8</v>
      </c>
      <c r="Q144" s="6" t="str">
        <f t="shared" si="15"/>
        <v>agosto</v>
      </c>
    </row>
    <row r="145" spans="1:17" x14ac:dyDescent="0.25">
      <c r="A145">
        <v>11</v>
      </c>
      <c r="B145" s="8" t="s">
        <v>146</v>
      </c>
      <c r="C145" s="8" t="s">
        <v>6</v>
      </c>
      <c r="D145" s="6" t="s">
        <v>110</v>
      </c>
      <c r="E145" s="6"/>
      <c r="F145" s="6"/>
      <c r="G145" s="6"/>
      <c r="H145" s="7">
        <v>2380</v>
      </c>
      <c r="I145" s="6"/>
      <c r="J145" s="6"/>
      <c r="K145" s="6"/>
      <c r="L145" s="54"/>
      <c r="M145" s="48">
        <v>45884</v>
      </c>
      <c r="N145" s="6">
        <f t="shared" si="12"/>
        <v>15</v>
      </c>
      <c r="O145" s="6" t="str">
        <f t="shared" si="13"/>
        <v>viernes</v>
      </c>
      <c r="P145" s="28">
        <f t="shared" si="14"/>
        <v>8</v>
      </c>
      <c r="Q145" s="6" t="str">
        <f t="shared" si="15"/>
        <v>agosto</v>
      </c>
    </row>
    <row r="146" spans="1:17" x14ac:dyDescent="0.25">
      <c r="A146">
        <v>11</v>
      </c>
      <c r="B146" s="6" t="s">
        <v>305</v>
      </c>
      <c r="C146" s="6" t="s">
        <v>6</v>
      </c>
      <c r="D146" s="8" t="s">
        <v>106</v>
      </c>
      <c r="E146" s="8"/>
      <c r="F146" s="8"/>
      <c r="G146" s="8"/>
      <c r="H146" s="9">
        <v>4248</v>
      </c>
      <c r="I146" s="8"/>
      <c r="J146" s="8"/>
      <c r="K146" s="8"/>
      <c r="L146" s="53"/>
      <c r="M146" s="47">
        <v>45884</v>
      </c>
      <c r="N146" s="6">
        <f t="shared" si="12"/>
        <v>15</v>
      </c>
      <c r="O146" s="6" t="str">
        <f t="shared" si="13"/>
        <v>viernes</v>
      </c>
      <c r="P146" s="28">
        <f t="shared" si="14"/>
        <v>8</v>
      </c>
      <c r="Q146" s="6" t="str">
        <f t="shared" si="15"/>
        <v>agosto</v>
      </c>
    </row>
    <row r="147" spans="1:17" x14ac:dyDescent="0.25">
      <c r="A147">
        <v>2</v>
      </c>
      <c r="B147" s="8" t="s">
        <v>319</v>
      </c>
      <c r="C147" s="8" t="s">
        <v>6</v>
      </c>
      <c r="D147" s="6" t="s">
        <v>104</v>
      </c>
      <c r="E147" s="6"/>
      <c r="F147" s="6"/>
      <c r="G147" s="6"/>
      <c r="H147" s="7">
        <v>1760</v>
      </c>
      <c r="I147" s="6"/>
      <c r="J147" s="6"/>
      <c r="K147" s="6"/>
      <c r="L147" s="54"/>
      <c r="M147" s="48">
        <v>45884</v>
      </c>
      <c r="N147" s="6">
        <f t="shared" si="12"/>
        <v>15</v>
      </c>
      <c r="O147" s="6" t="str">
        <f t="shared" si="13"/>
        <v>viernes</v>
      </c>
      <c r="P147" s="28">
        <f t="shared" si="14"/>
        <v>8</v>
      </c>
      <c r="Q147" s="6" t="str">
        <f t="shared" si="15"/>
        <v>agosto</v>
      </c>
    </row>
    <row r="148" spans="1:17" x14ac:dyDescent="0.25">
      <c r="A148">
        <v>2</v>
      </c>
      <c r="B148" s="6" t="s">
        <v>321</v>
      </c>
      <c r="C148" s="6" t="s">
        <v>6</v>
      </c>
      <c r="D148" s="8" t="s">
        <v>118</v>
      </c>
      <c r="E148" s="8"/>
      <c r="F148" s="8"/>
      <c r="G148" s="8"/>
      <c r="H148" s="9">
        <v>2120</v>
      </c>
      <c r="I148" s="8"/>
      <c r="J148" s="8"/>
      <c r="K148" s="8"/>
      <c r="L148" s="53"/>
      <c r="M148" s="47">
        <v>45884</v>
      </c>
      <c r="N148" s="6">
        <f t="shared" si="12"/>
        <v>15</v>
      </c>
      <c r="O148" s="6" t="str">
        <f t="shared" si="13"/>
        <v>viernes</v>
      </c>
      <c r="P148" s="28">
        <f t="shared" si="14"/>
        <v>8</v>
      </c>
      <c r="Q148" s="6" t="str">
        <f t="shared" si="15"/>
        <v>agosto</v>
      </c>
    </row>
    <row r="149" spans="1:17" x14ac:dyDescent="0.25">
      <c r="A149">
        <v>2</v>
      </c>
      <c r="B149" s="8" t="s">
        <v>322</v>
      </c>
      <c r="C149" s="8" t="s">
        <v>6</v>
      </c>
      <c r="D149" s="6" t="s">
        <v>101</v>
      </c>
      <c r="E149" s="6"/>
      <c r="F149" s="6"/>
      <c r="G149" s="6"/>
      <c r="H149" s="7">
        <v>3190</v>
      </c>
      <c r="I149" s="6"/>
      <c r="J149" s="6"/>
      <c r="K149" s="6"/>
      <c r="L149" s="54"/>
      <c r="M149" s="48">
        <v>45884</v>
      </c>
      <c r="N149" s="6">
        <f t="shared" si="12"/>
        <v>15</v>
      </c>
      <c r="O149" s="6" t="str">
        <f t="shared" si="13"/>
        <v>viernes</v>
      </c>
      <c r="P149" s="28">
        <f t="shared" si="14"/>
        <v>8</v>
      </c>
      <c r="Q149" s="6" t="str">
        <f t="shared" si="15"/>
        <v>agosto</v>
      </c>
    </row>
    <row r="150" spans="1:17" x14ac:dyDescent="0.25">
      <c r="A150">
        <v>2</v>
      </c>
      <c r="B150" s="6" t="s">
        <v>323</v>
      </c>
      <c r="C150" s="6" t="s">
        <v>6</v>
      </c>
      <c r="D150" s="8" t="s">
        <v>99</v>
      </c>
      <c r="E150" s="8"/>
      <c r="F150" s="8"/>
      <c r="G150" s="8"/>
      <c r="H150" s="9">
        <v>2120</v>
      </c>
      <c r="I150" s="8"/>
      <c r="J150" s="8"/>
      <c r="K150" s="8"/>
      <c r="L150" s="53"/>
      <c r="M150" s="47">
        <v>45884</v>
      </c>
      <c r="N150" s="6">
        <f t="shared" si="12"/>
        <v>15</v>
      </c>
      <c r="O150" s="6" t="str">
        <f t="shared" si="13"/>
        <v>viernes</v>
      </c>
      <c r="P150" s="28">
        <f t="shared" si="14"/>
        <v>8</v>
      </c>
      <c r="Q150" s="6" t="str">
        <f t="shared" si="15"/>
        <v>agosto</v>
      </c>
    </row>
    <row r="151" spans="1:17" x14ac:dyDescent="0.25">
      <c r="A151">
        <v>3</v>
      </c>
      <c r="B151" s="6" t="s">
        <v>327</v>
      </c>
      <c r="C151" s="6" t="s">
        <v>6</v>
      </c>
      <c r="D151" s="8" t="s">
        <v>126</v>
      </c>
      <c r="E151" s="8"/>
      <c r="F151" s="8"/>
      <c r="G151" s="8"/>
      <c r="H151" s="9">
        <v>2440</v>
      </c>
      <c r="I151" s="8"/>
      <c r="J151" s="8"/>
      <c r="K151" s="8"/>
      <c r="L151" s="53"/>
      <c r="M151" s="47">
        <v>45885</v>
      </c>
      <c r="N151" s="6">
        <f t="shared" si="12"/>
        <v>16</v>
      </c>
      <c r="O151" s="6" t="str">
        <f t="shared" si="13"/>
        <v>sábado</v>
      </c>
      <c r="P151" s="28">
        <f t="shared" si="14"/>
        <v>8</v>
      </c>
      <c r="Q151" s="6" t="str">
        <f t="shared" si="15"/>
        <v>agosto</v>
      </c>
    </row>
    <row r="152" spans="1:17" x14ac:dyDescent="0.25">
      <c r="A152">
        <v>3</v>
      </c>
      <c r="B152" s="8" t="s">
        <v>328</v>
      </c>
      <c r="C152" s="8" t="s">
        <v>6</v>
      </c>
      <c r="D152" s="6" t="s">
        <v>127</v>
      </c>
      <c r="E152" s="6"/>
      <c r="F152" s="6"/>
      <c r="G152" s="6"/>
      <c r="H152" s="7">
        <v>3040</v>
      </c>
      <c r="I152" s="6"/>
      <c r="J152" s="6"/>
      <c r="K152" s="6"/>
      <c r="L152" s="54"/>
      <c r="M152" s="48">
        <v>45885</v>
      </c>
      <c r="N152" s="6">
        <f t="shared" si="12"/>
        <v>16</v>
      </c>
      <c r="O152" s="6" t="str">
        <f t="shared" si="13"/>
        <v>sábado</v>
      </c>
      <c r="P152" s="28">
        <f t="shared" si="14"/>
        <v>8</v>
      </c>
      <c r="Q152" s="6" t="str">
        <f t="shared" si="15"/>
        <v>agosto</v>
      </c>
    </row>
    <row r="153" spans="1:17" x14ac:dyDescent="0.25">
      <c r="A153">
        <v>3</v>
      </c>
      <c r="B153" s="6" t="s">
        <v>329</v>
      </c>
      <c r="C153" s="6" t="s">
        <v>6</v>
      </c>
      <c r="D153" s="8" t="s">
        <v>129</v>
      </c>
      <c r="E153" s="8"/>
      <c r="F153" s="8"/>
      <c r="G153" s="8"/>
      <c r="H153" s="9">
        <v>1720</v>
      </c>
      <c r="I153" s="8"/>
      <c r="J153" s="8"/>
      <c r="K153" s="8"/>
      <c r="L153" s="53"/>
      <c r="M153" s="47">
        <v>45885</v>
      </c>
      <c r="N153" s="6">
        <f t="shared" si="12"/>
        <v>16</v>
      </c>
      <c r="O153" s="6" t="str">
        <f t="shared" si="13"/>
        <v>sábado</v>
      </c>
      <c r="P153" s="28">
        <f t="shared" si="14"/>
        <v>8</v>
      </c>
      <c r="Q153" s="6" t="str">
        <f t="shared" si="15"/>
        <v>agosto</v>
      </c>
    </row>
    <row r="154" spans="1:17" x14ac:dyDescent="0.25">
      <c r="A154">
        <v>2</v>
      </c>
      <c r="B154" s="20" t="s">
        <v>176</v>
      </c>
      <c r="C154" s="20" t="s">
        <v>6</v>
      </c>
      <c r="D154" s="6" t="s">
        <v>130</v>
      </c>
      <c r="E154" s="6"/>
      <c r="F154" s="6"/>
      <c r="G154" s="6"/>
      <c r="H154" s="7">
        <v>3850</v>
      </c>
      <c r="I154" s="6"/>
      <c r="J154" s="6"/>
      <c r="K154" s="6"/>
      <c r="L154" s="54"/>
      <c r="M154" s="48">
        <v>45885</v>
      </c>
      <c r="N154" s="6">
        <f t="shared" si="12"/>
        <v>16</v>
      </c>
      <c r="O154" s="6" t="str">
        <f t="shared" si="13"/>
        <v>sábado</v>
      </c>
      <c r="P154" s="28">
        <f t="shared" si="14"/>
        <v>8</v>
      </c>
      <c r="Q154" s="6" t="str">
        <f t="shared" si="15"/>
        <v>agosto</v>
      </c>
    </row>
    <row r="155" spans="1:17" x14ac:dyDescent="0.25">
      <c r="A155">
        <v>1</v>
      </c>
      <c r="B155" s="8" t="s">
        <v>324</v>
      </c>
      <c r="C155" s="8" t="s">
        <v>6</v>
      </c>
      <c r="D155" s="6" t="s">
        <v>121</v>
      </c>
      <c r="E155" s="6"/>
      <c r="F155" s="6"/>
      <c r="G155" s="6"/>
      <c r="H155" s="7">
        <v>2180</v>
      </c>
      <c r="I155" s="6"/>
      <c r="J155" s="6"/>
      <c r="K155" s="6"/>
      <c r="L155" s="54"/>
      <c r="M155" s="48">
        <v>45885</v>
      </c>
      <c r="N155" s="6">
        <f t="shared" si="12"/>
        <v>16</v>
      </c>
      <c r="O155" s="6" t="str">
        <f t="shared" si="13"/>
        <v>sábado</v>
      </c>
      <c r="P155" s="28">
        <f t="shared" si="14"/>
        <v>8</v>
      </c>
      <c r="Q155" s="6" t="str">
        <f t="shared" si="15"/>
        <v>agosto</v>
      </c>
    </row>
    <row r="156" spans="1:17" x14ac:dyDescent="0.25">
      <c r="A156">
        <v>1</v>
      </c>
      <c r="B156" s="6" t="s">
        <v>326</v>
      </c>
      <c r="C156" s="6" t="s">
        <v>6</v>
      </c>
      <c r="D156" s="8" t="s">
        <v>123</v>
      </c>
      <c r="E156" s="8"/>
      <c r="F156" s="8"/>
      <c r="G156" s="8"/>
      <c r="H156" s="9">
        <v>2870</v>
      </c>
      <c r="I156" s="8"/>
      <c r="J156" s="8"/>
      <c r="K156" s="8"/>
      <c r="L156" s="53"/>
      <c r="M156" s="47">
        <v>45885</v>
      </c>
      <c r="N156" s="6">
        <f t="shared" si="12"/>
        <v>16</v>
      </c>
      <c r="O156" s="6" t="str">
        <f t="shared" si="13"/>
        <v>sábado</v>
      </c>
      <c r="P156" s="28">
        <f t="shared" si="14"/>
        <v>8</v>
      </c>
      <c r="Q156" s="6" t="str">
        <f t="shared" si="15"/>
        <v>agosto</v>
      </c>
    </row>
    <row r="157" spans="1:17" x14ac:dyDescent="0.25">
      <c r="A157">
        <v>1</v>
      </c>
      <c r="B157" s="21" t="s">
        <v>202</v>
      </c>
      <c r="C157" s="21" t="s">
        <v>19</v>
      </c>
      <c r="D157" s="22" t="s">
        <v>99</v>
      </c>
      <c r="E157" s="22"/>
      <c r="F157" s="22"/>
      <c r="G157" s="22"/>
      <c r="H157" s="24">
        <v>5370</v>
      </c>
      <c r="I157" s="6"/>
      <c r="J157" s="6"/>
      <c r="K157" s="6"/>
      <c r="L157" s="54"/>
      <c r="M157" s="48">
        <v>45885</v>
      </c>
      <c r="N157" s="6">
        <f t="shared" si="12"/>
        <v>16</v>
      </c>
      <c r="O157" s="6" t="str">
        <f t="shared" si="13"/>
        <v>sábado</v>
      </c>
      <c r="P157" s="28">
        <f t="shared" si="14"/>
        <v>8</v>
      </c>
      <c r="Q157" s="6" t="str">
        <f t="shared" si="15"/>
        <v>agosto</v>
      </c>
    </row>
    <row r="158" spans="1:17" x14ac:dyDescent="0.25">
      <c r="A158">
        <v>12</v>
      </c>
      <c r="B158" t="s">
        <v>340</v>
      </c>
      <c r="C158" t="s">
        <v>6</v>
      </c>
      <c r="D158" s="21" t="s">
        <v>42</v>
      </c>
      <c r="E158" s="21"/>
      <c r="F158" s="21"/>
      <c r="G158" s="21"/>
      <c r="H158" s="23">
        <v>1260</v>
      </c>
      <c r="I158" s="8"/>
      <c r="J158" s="8"/>
      <c r="K158" s="8"/>
      <c r="L158" s="53"/>
      <c r="M158" s="47">
        <v>45889</v>
      </c>
      <c r="N158" s="6">
        <f t="shared" si="12"/>
        <v>20</v>
      </c>
      <c r="O158" s="6" t="str">
        <f t="shared" si="13"/>
        <v>miércoles</v>
      </c>
      <c r="P158" s="28">
        <f t="shared" si="14"/>
        <v>8</v>
      </c>
      <c r="Q158" s="6" t="str">
        <f t="shared" si="15"/>
        <v>agosto</v>
      </c>
    </row>
    <row r="159" spans="1:17" x14ac:dyDescent="0.25">
      <c r="A159">
        <v>12</v>
      </c>
      <c r="B159" t="s">
        <v>349</v>
      </c>
      <c r="C159" t="s">
        <v>6</v>
      </c>
      <c r="D159" s="22" t="s">
        <v>990</v>
      </c>
      <c r="E159" s="22"/>
      <c r="F159" s="22"/>
      <c r="G159" s="22"/>
      <c r="H159" s="24">
        <v>2720</v>
      </c>
      <c r="I159" s="6"/>
      <c r="J159" s="6"/>
      <c r="K159" s="6"/>
      <c r="L159" s="54"/>
      <c r="M159" s="48">
        <v>45889</v>
      </c>
      <c r="N159" s="6">
        <f t="shared" si="12"/>
        <v>20</v>
      </c>
      <c r="O159" s="6" t="str">
        <f t="shared" si="13"/>
        <v>miércoles</v>
      </c>
      <c r="P159" s="28">
        <f t="shared" si="14"/>
        <v>8</v>
      </c>
      <c r="Q159" s="6" t="str">
        <f t="shared" si="15"/>
        <v>agosto</v>
      </c>
    </row>
    <row r="160" spans="1:17" x14ac:dyDescent="0.25">
      <c r="A160">
        <v>12</v>
      </c>
      <c r="B160" t="s">
        <v>351</v>
      </c>
      <c r="C160" t="s">
        <v>6</v>
      </c>
      <c r="D160" s="21" t="s">
        <v>991</v>
      </c>
      <c r="E160" s="21"/>
      <c r="F160" s="21"/>
      <c r="G160" s="21"/>
      <c r="H160" s="23">
        <v>1980</v>
      </c>
      <c r="I160" s="8"/>
      <c r="J160" s="8"/>
      <c r="K160" s="8"/>
      <c r="L160" s="53"/>
      <c r="M160" s="47">
        <v>45889</v>
      </c>
      <c r="N160" s="6">
        <f t="shared" si="12"/>
        <v>20</v>
      </c>
      <c r="O160" s="6" t="str">
        <f t="shared" si="13"/>
        <v>miércoles</v>
      </c>
      <c r="P160" s="28">
        <f t="shared" si="14"/>
        <v>8</v>
      </c>
      <c r="Q160" s="6" t="str">
        <f t="shared" si="15"/>
        <v>agosto</v>
      </c>
    </row>
    <row r="161" spans="1:17" x14ac:dyDescent="0.25">
      <c r="A161">
        <v>10</v>
      </c>
      <c r="B161" t="s">
        <v>342</v>
      </c>
      <c r="C161" t="s">
        <v>6</v>
      </c>
      <c r="D161" s="22" t="s">
        <v>992</v>
      </c>
      <c r="E161" s="22"/>
      <c r="F161" s="22"/>
      <c r="G161" s="22"/>
      <c r="H161" s="24">
        <v>2840</v>
      </c>
      <c r="I161" s="6"/>
      <c r="J161" s="6"/>
      <c r="K161" s="6"/>
      <c r="L161" s="54"/>
      <c r="M161" s="48">
        <v>45889</v>
      </c>
      <c r="N161" s="6">
        <f t="shared" si="12"/>
        <v>20</v>
      </c>
      <c r="O161" s="6" t="str">
        <f t="shared" si="13"/>
        <v>miércoles</v>
      </c>
      <c r="P161" s="28">
        <f t="shared" si="14"/>
        <v>8</v>
      </c>
      <c r="Q161" s="6" t="str">
        <f t="shared" si="15"/>
        <v>agosto</v>
      </c>
    </row>
    <row r="162" spans="1:17" x14ac:dyDescent="0.25">
      <c r="A162">
        <v>10</v>
      </c>
      <c r="B162" t="s">
        <v>343</v>
      </c>
      <c r="C162" t="s">
        <v>19</v>
      </c>
      <c r="D162" s="21" t="s">
        <v>47</v>
      </c>
      <c r="E162" s="21"/>
      <c r="F162" s="21"/>
      <c r="G162" s="21"/>
      <c r="H162" s="23">
        <v>1261</v>
      </c>
      <c r="I162" s="8"/>
      <c r="J162" s="8"/>
      <c r="K162" s="8"/>
      <c r="L162" s="53"/>
      <c r="M162" s="47">
        <v>45889</v>
      </c>
      <c r="N162" s="6">
        <f t="shared" si="12"/>
        <v>20</v>
      </c>
      <c r="O162" s="6" t="str">
        <f t="shared" si="13"/>
        <v>miércoles</v>
      </c>
      <c r="P162" s="28">
        <f t="shared" si="14"/>
        <v>8</v>
      </c>
      <c r="Q162" s="6" t="str">
        <f t="shared" si="15"/>
        <v>agosto</v>
      </c>
    </row>
    <row r="163" spans="1:17" x14ac:dyDescent="0.25">
      <c r="A163">
        <v>10</v>
      </c>
      <c r="B163" t="s">
        <v>344</v>
      </c>
      <c r="C163" t="s">
        <v>6</v>
      </c>
      <c r="D163" s="22" t="s">
        <v>49</v>
      </c>
      <c r="E163" s="22"/>
      <c r="F163" s="22"/>
      <c r="G163" s="22"/>
      <c r="H163" s="24">
        <v>2240</v>
      </c>
      <c r="I163" s="6"/>
      <c r="J163" s="6"/>
      <c r="K163" s="6"/>
      <c r="L163" s="54"/>
      <c r="M163" s="48">
        <v>45889</v>
      </c>
      <c r="N163" s="6">
        <f t="shared" si="12"/>
        <v>20</v>
      </c>
      <c r="O163" s="6" t="str">
        <f t="shared" si="13"/>
        <v>miércoles</v>
      </c>
      <c r="P163" s="28">
        <f t="shared" si="14"/>
        <v>8</v>
      </c>
      <c r="Q163" s="6" t="str">
        <f t="shared" si="15"/>
        <v>agosto</v>
      </c>
    </row>
    <row r="164" spans="1:17" x14ac:dyDescent="0.25">
      <c r="A164">
        <v>10</v>
      </c>
      <c r="B164" t="s">
        <v>345</v>
      </c>
      <c r="C164" t="s">
        <v>19</v>
      </c>
      <c r="D164" s="21" t="s">
        <v>991</v>
      </c>
      <c r="E164" s="21"/>
      <c r="F164" s="21"/>
      <c r="G164" s="21"/>
      <c r="H164" s="23">
        <v>1260</v>
      </c>
      <c r="I164" s="8"/>
      <c r="J164" s="8"/>
      <c r="K164" s="8"/>
      <c r="L164" s="53"/>
      <c r="M164" s="47">
        <v>45889</v>
      </c>
      <c r="N164" s="6">
        <f t="shared" si="12"/>
        <v>20</v>
      </c>
      <c r="O164" s="6" t="str">
        <f t="shared" si="13"/>
        <v>miércoles</v>
      </c>
      <c r="P164" s="28">
        <f t="shared" si="14"/>
        <v>8</v>
      </c>
      <c r="Q164" s="6" t="str">
        <f t="shared" si="15"/>
        <v>agosto</v>
      </c>
    </row>
    <row r="165" spans="1:17" x14ac:dyDescent="0.25">
      <c r="A165">
        <v>9</v>
      </c>
      <c r="B165" t="s">
        <v>346</v>
      </c>
      <c r="C165" t="s">
        <v>19</v>
      </c>
      <c r="D165" s="22" t="s">
        <v>991</v>
      </c>
      <c r="E165" s="22"/>
      <c r="F165" s="22"/>
      <c r="G165" s="22"/>
      <c r="H165" s="24">
        <v>1620</v>
      </c>
      <c r="I165" s="6"/>
      <c r="J165" s="6"/>
      <c r="K165" s="6"/>
      <c r="L165" s="54"/>
      <c r="M165" s="48">
        <v>45889</v>
      </c>
      <c r="N165" s="6">
        <f t="shared" si="12"/>
        <v>20</v>
      </c>
      <c r="O165" s="6" t="str">
        <f t="shared" si="13"/>
        <v>miércoles</v>
      </c>
      <c r="P165" s="28">
        <f t="shared" si="14"/>
        <v>8</v>
      </c>
      <c r="Q165" s="6" t="str">
        <f t="shared" si="15"/>
        <v>agosto</v>
      </c>
    </row>
    <row r="166" spans="1:17" x14ac:dyDescent="0.25">
      <c r="A166">
        <v>9</v>
      </c>
      <c r="B166" t="s">
        <v>347</v>
      </c>
      <c r="C166" t="s">
        <v>19</v>
      </c>
      <c r="D166" s="21" t="s">
        <v>53</v>
      </c>
      <c r="E166" s="21"/>
      <c r="F166" s="21"/>
      <c r="G166" s="21"/>
      <c r="H166" s="23">
        <v>4120</v>
      </c>
      <c r="I166" s="8"/>
      <c r="J166" s="8"/>
      <c r="K166" s="8"/>
      <c r="L166" s="53"/>
      <c r="M166" s="47">
        <v>45889</v>
      </c>
      <c r="N166" s="6">
        <f t="shared" si="12"/>
        <v>20</v>
      </c>
      <c r="O166" s="6" t="str">
        <f t="shared" si="13"/>
        <v>miércoles</v>
      </c>
      <c r="P166" s="28">
        <f t="shared" si="14"/>
        <v>8</v>
      </c>
      <c r="Q166" s="6" t="str">
        <f t="shared" si="15"/>
        <v>agosto</v>
      </c>
    </row>
    <row r="167" spans="1:17" x14ac:dyDescent="0.25">
      <c r="A167">
        <v>2</v>
      </c>
      <c r="B167" t="s">
        <v>177</v>
      </c>
      <c r="C167" t="s">
        <v>19</v>
      </c>
      <c r="D167" s="22" t="s">
        <v>993</v>
      </c>
      <c r="E167" s="22"/>
      <c r="F167" s="22"/>
      <c r="G167" s="22"/>
      <c r="H167" s="24">
        <v>3600</v>
      </c>
      <c r="I167" s="6"/>
      <c r="J167" s="6"/>
      <c r="K167" s="6"/>
      <c r="L167" s="54"/>
      <c r="M167" s="48">
        <v>45889</v>
      </c>
      <c r="N167" s="6">
        <f t="shared" si="12"/>
        <v>20</v>
      </c>
      <c r="O167" s="6" t="str">
        <f t="shared" si="13"/>
        <v>miércoles</v>
      </c>
      <c r="P167" s="28">
        <f t="shared" si="14"/>
        <v>8</v>
      </c>
      <c r="Q167" s="6" t="str">
        <f t="shared" si="15"/>
        <v>agosto</v>
      </c>
    </row>
    <row r="168" spans="1:17" x14ac:dyDescent="0.25">
      <c r="A168">
        <v>2</v>
      </c>
      <c r="B168" t="s">
        <v>179</v>
      </c>
      <c r="C168" t="s">
        <v>6</v>
      </c>
      <c r="D168" s="21" t="s">
        <v>994</v>
      </c>
      <c r="E168" s="21"/>
      <c r="F168" s="21"/>
      <c r="G168" s="21"/>
      <c r="H168" s="23">
        <v>1800</v>
      </c>
      <c r="I168" s="8"/>
      <c r="J168" s="8"/>
      <c r="K168" s="8"/>
      <c r="L168" s="53"/>
      <c r="M168" s="47">
        <v>45889</v>
      </c>
      <c r="N168" s="6">
        <f t="shared" si="12"/>
        <v>20</v>
      </c>
      <c r="O168" s="6" t="str">
        <f t="shared" si="13"/>
        <v>miércoles</v>
      </c>
      <c r="P168" s="28">
        <f t="shared" si="14"/>
        <v>8</v>
      </c>
      <c r="Q168" s="6" t="str">
        <f t="shared" si="15"/>
        <v>agosto</v>
      </c>
    </row>
    <row r="169" spans="1:17" x14ac:dyDescent="0.25">
      <c r="A169">
        <v>2</v>
      </c>
      <c r="B169" t="s">
        <v>180</v>
      </c>
      <c r="C169" t="s">
        <v>6</v>
      </c>
      <c r="D169" s="22" t="s">
        <v>40</v>
      </c>
      <c r="E169" s="22"/>
      <c r="F169" s="22"/>
      <c r="G169" s="22"/>
      <c r="H169" s="24">
        <v>3240</v>
      </c>
      <c r="I169" s="6"/>
      <c r="J169" s="6"/>
      <c r="K169" s="6"/>
      <c r="L169" s="54"/>
      <c r="M169" s="48">
        <v>45889</v>
      </c>
      <c r="N169" s="6">
        <f t="shared" si="12"/>
        <v>20</v>
      </c>
      <c r="O169" s="6" t="str">
        <f t="shared" si="13"/>
        <v>miércoles</v>
      </c>
      <c r="P169" s="28">
        <f t="shared" si="14"/>
        <v>8</v>
      </c>
      <c r="Q169" s="6" t="str">
        <f t="shared" si="15"/>
        <v>agosto</v>
      </c>
    </row>
    <row r="170" spans="1:17" x14ac:dyDescent="0.25">
      <c r="A170">
        <v>2</v>
      </c>
      <c r="B170" t="s">
        <v>181</v>
      </c>
      <c r="C170" t="s">
        <v>6</v>
      </c>
      <c r="D170" s="21" t="s">
        <v>42</v>
      </c>
      <c r="E170" s="21"/>
      <c r="F170" s="21"/>
      <c r="G170" s="21"/>
      <c r="H170" s="23">
        <v>1790</v>
      </c>
      <c r="I170" s="8"/>
      <c r="J170" s="8"/>
      <c r="K170" s="8"/>
      <c r="L170" s="53"/>
      <c r="M170" s="47">
        <v>45889</v>
      </c>
      <c r="N170" s="6">
        <f t="shared" si="12"/>
        <v>20</v>
      </c>
      <c r="O170" s="6" t="str">
        <f t="shared" si="13"/>
        <v>miércoles</v>
      </c>
      <c r="P170" s="28">
        <f t="shared" si="14"/>
        <v>8</v>
      </c>
      <c r="Q170" s="6" t="str">
        <f t="shared" si="15"/>
        <v>agosto</v>
      </c>
    </row>
    <row r="171" spans="1:17" x14ac:dyDescent="0.25">
      <c r="A171">
        <v>1</v>
      </c>
      <c r="B171" t="s">
        <v>182</v>
      </c>
      <c r="C171" t="s">
        <v>6</v>
      </c>
      <c r="D171" s="22" t="s">
        <v>24</v>
      </c>
      <c r="E171" s="22"/>
      <c r="F171" s="22"/>
      <c r="G171" s="22"/>
      <c r="H171" s="24">
        <v>3900</v>
      </c>
      <c r="I171" s="6"/>
      <c r="J171" s="6"/>
      <c r="K171" s="6"/>
      <c r="L171" s="54"/>
      <c r="M171" s="48">
        <v>45889</v>
      </c>
      <c r="N171" s="6">
        <f t="shared" si="12"/>
        <v>20</v>
      </c>
      <c r="O171" s="6" t="str">
        <f t="shared" si="13"/>
        <v>miércoles</v>
      </c>
      <c r="P171" s="28">
        <f t="shared" si="14"/>
        <v>8</v>
      </c>
      <c r="Q171" s="6" t="str">
        <f t="shared" si="15"/>
        <v>agosto</v>
      </c>
    </row>
    <row r="172" spans="1:17" x14ac:dyDescent="0.25">
      <c r="A172">
        <v>12</v>
      </c>
      <c r="B172" t="s">
        <v>356</v>
      </c>
      <c r="C172" t="s">
        <v>6</v>
      </c>
      <c r="D172" s="22" t="s">
        <v>996</v>
      </c>
      <c r="E172" s="22"/>
      <c r="F172" s="6"/>
      <c r="G172" s="22"/>
      <c r="H172" s="24">
        <v>1520</v>
      </c>
      <c r="I172" s="6">
        <v>1200</v>
      </c>
      <c r="J172" s="16">
        <v>60</v>
      </c>
      <c r="K172" s="6">
        <v>260</v>
      </c>
      <c r="L172" s="54"/>
      <c r="M172" s="48">
        <v>45890</v>
      </c>
      <c r="N172" s="6">
        <f t="shared" si="12"/>
        <v>21</v>
      </c>
      <c r="O172" s="6" t="str">
        <f t="shared" si="13"/>
        <v>jueves</v>
      </c>
      <c r="P172" s="28">
        <f t="shared" si="14"/>
        <v>8</v>
      </c>
      <c r="Q172" s="6" t="str">
        <f t="shared" si="15"/>
        <v>agosto</v>
      </c>
    </row>
    <row r="173" spans="1:17" x14ac:dyDescent="0.25">
      <c r="A173">
        <v>12</v>
      </c>
      <c r="B173" t="s">
        <v>357</v>
      </c>
      <c r="C173" t="s">
        <v>6</v>
      </c>
      <c r="D173" s="21" t="s">
        <v>995</v>
      </c>
      <c r="E173" s="21"/>
      <c r="F173" s="8"/>
      <c r="G173" s="21"/>
      <c r="H173" s="23">
        <v>2000</v>
      </c>
      <c r="I173" s="8">
        <v>1200</v>
      </c>
      <c r="J173" s="8">
        <v>60</v>
      </c>
      <c r="K173" s="8">
        <v>740</v>
      </c>
      <c r="L173" s="53"/>
      <c r="M173" s="47">
        <v>45890</v>
      </c>
      <c r="N173" s="6">
        <f t="shared" si="12"/>
        <v>21</v>
      </c>
      <c r="O173" s="6" t="str">
        <f t="shared" si="13"/>
        <v>jueves</v>
      </c>
      <c r="P173" s="28">
        <f t="shared" si="14"/>
        <v>8</v>
      </c>
      <c r="Q173" s="6" t="str">
        <f t="shared" si="15"/>
        <v>agosto</v>
      </c>
    </row>
    <row r="174" spans="1:17" x14ac:dyDescent="0.25">
      <c r="A174">
        <v>12</v>
      </c>
      <c r="B174" t="s">
        <v>358</v>
      </c>
      <c r="C174" t="s">
        <v>6</v>
      </c>
      <c r="D174" s="21" t="s">
        <v>997</v>
      </c>
      <c r="E174" s="22"/>
      <c r="F174" s="6"/>
      <c r="G174" s="22"/>
      <c r="H174" s="24">
        <v>1260</v>
      </c>
      <c r="I174" s="6">
        <v>1200</v>
      </c>
      <c r="J174" s="6">
        <v>60</v>
      </c>
      <c r="K174" s="6"/>
      <c r="L174" s="54"/>
      <c r="M174" s="48">
        <v>45890</v>
      </c>
      <c r="N174" s="6">
        <f t="shared" si="12"/>
        <v>21</v>
      </c>
      <c r="O174" s="6" t="str">
        <f t="shared" si="13"/>
        <v>jueves</v>
      </c>
      <c r="P174" s="28">
        <f t="shared" si="14"/>
        <v>8</v>
      </c>
      <c r="Q174" s="6" t="str">
        <f t="shared" si="15"/>
        <v>agosto</v>
      </c>
    </row>
    <row r="175" spans="1:17" x14ac:dyDescent="0.25">
      <c r="A175">
        <v>12</v>
      </c>
      <c r="B175" t="s">
        <v>360</v>
      </c>
      <c r="C175" t="s">
        <v>19</v>
      </c>
      <c r="D175" s="21" t="s">
        <v>998</v>
      </c>
      <c r="E175" s="21"/>
      <c r="F175" s="8"/>
      <c r="G175" s="21"/>
      <c r="H175" s="23">
        <v>1740</v>
      </c>
      <c r="I175" s="8">
        <v>1200</v>
      </c>
      <c r="J175" s="8">
        <v>60</v>
      </c>
      <c r="K175" s="8">
        <v>480</v>
      </c>
      <c r="L175" s="53"/>
      <c r="M175" s="47">
        <v>45890</v>
      </c>
      <c r="N175" s="6">
        <f t="shared" si="12"/>
        <v>21</v>
      </c>
      <c r="O175" s="6" t="str">
        <f t="shared" si="13"/>
        <v>jueves</v>
      </c>
      <c r="P175" s="28">
        <f t="shared" si="14"/>
        <v>8</v>
      </c>
      <c r="Q175" s="6" t="str">
        <f t="shared" si="15"/>
        <v>agosto</v>
      </c>
    </row>
    <row r="176" spans="1:17" x14ac:dyDescent="0.25">
      <c r="A176">
        <v>12</v>
      </c>
      <c r="B176" t="s">
        <v>361</v>
      </c>
      <c r="C176" t="s">
        <v>6</v>
      </c>
      <c r="D176" s="22" t="s">
        <v>999</v>
      </c>
      <c r="E176" s="22"/>
      <c r="F176" s="6"/>
      <c r="G176" s="22"/>
      <c r="H176" s="24">
        <v>1260</v>
      </c>
      <c r="I176" s="6">
        <v>1200</v>
      </c>
      <c r="J176" s="6">
        <v>60</v>
      </c>
      <c r="K176" s="6"/>
      <c r="L176" s="54"/>
      <c r="M176" s="48">
        <v>45890</v>
      </c>
      <c r="N176" s="6">
        <f t="shared" si="12"/>
        <v>21</v>
      </c>
      <c r="O176" s="6" t="str">
        <f t="shared" si="13"/>
        <v>jueves</v>
      </c>
      <c r="P176" s="28">
        <f t="shared" si="14"/>
        <v>8</v>
      </c>
      <c r="Q176" s="6" t="str">
        <f t="shared" si="15"/>
        <v>agosto</v>
      </c>
    </row>
    <row r="177" spans="1:17" x14ac:dyDescent="0.25">
      <c r="A177">
        <v>11</v>
      </c>
      <c r="B177" t="s">
        <v>362</v>
      </c>
      <c r="C177" t="s">
        <v>19</v>
      </c>
      <c r="D177" s="21" t="s">
        <v>1000</v>
      </c>
      <c r="E177" s="21"/>
      <c r="F177" s="8"/>
      <c r="G177" s="21"/>
      <c r="H177" s="23">
        <v>2760</v>
      </c>
      <c r="I177" s="8">
        <v>1200</v>
      </c>
      <c r="J177" s="8">
        <v>60</v>
      </c>
      <c r="K177" s="8">
        <v>1500</v>
      </c>
      <c r="L177" s="53"/>
      <c r="M177" s="47">
        <v>45890</v>
      </c>
      <c r="N177" s="6">
        <f t="shared" si="12"/>
        <v>21</v>
      </c>
      <c r="O177" s="6" t="str">
        <f t="shared" si="13"/>
        <v>jueves</v>
      </c>
      <c r="P177" s="28">
        <f t="shared" si="14"/>
        <v>8</v>
      </c>
      <c r="Q177" s="6" t="str">
        <f t="shared" si="15"/>
        <v>agosto</v>
      </c>
    </row>
    <row r="178" spans="1:17" x14ac:dyDescent="0.25">
      <c r="A178">
        <v>9</v>
      </c>
      <c r="B178" t="s">
        <v>376</v>
      </c>
      <c r="C178" t="s">
        <v>6</v>
      </c>
      <c r="D178" s="21" t="s">
        <v>995</v>
      </c>
      <c r="E178" s="21"/>
      <c r="F178" s="8"/>
      <c r="G178" s="21"/>
      <c r="H178" s="23">
        <v>1261</v>
      </c>
      <c r="I178" s="8"/>
      <c r="J178" s="8"/>
      <c r="K178" s="8"/>
      <c r="L178" s="53"/>
      <c r="M178" s="47">
        <v>45890</v>
      </c>
      <c r="N178" s="6">
        <f t="shared" si="12"/>
        <v>21</v>
      </c>
      <c r="O178" s="6" t="str">
        <f t="shared" si="13"/>
        <v>jueves</v>
      </c>
      <c r="P178" s="28">
        <f t="shared" si="14"/>
        <v>8</v>
      </c>
      <c r="Q178" s="6" t="str">
        <f t="shared" si="15"/>
        <v>agosto</v>
      </c>
    </row>
    <row r="179" spans="1:17" x14ac:dyDescent="0.25">
      <c r="A179">
        <v>9</v>
      </c>
      <c r="B179" t="s">
        <v>377</v>
      </c>
      <c r="C179" t="s">
        <v>155</v>
      </c>
      <c r="D179" s="22" t="s">
        <v>28</v>
      </c>
      <c r="E179" s="22"/>
      <c r="F179" s="6"/>
      <c r="G179" s="22"/>
      <c r="H179" s="24">
        <v>1740</v>
      </c>
      <c r="I179" s="6"/>
      <c r="J179" s="6"/>
      <c r="K179" s="6"/>
      <c r="L179" s="54"/>
      <c r="M179" s="48">
        <v>45890</v>
      </c>
      <c r="N179" s="6">
        <f t="shared" si="12"/>
        <v>21</v>
      </c>
      <c r="O179" s="6" t="str">
        <f t="shared" si="13"/>
        <v>jueves</v>
      </c>
      <c r="P179" s="28">
        <f t="shared" si="14"/>
        <v>8</v>
      </c>
      <c r="Q179" s="6" t="str">
        <f t="shared" si="15"/>
        <v>agosto</v>
      </c>
    </row>
    <row r="180" spans="1:17" x14ac:dyDescent="0.25">
      <c r="A180">
        <v>6</v>
      </c>
      <c r="B180" t="s">
        <v>378</v>
      </c>
      <c r="C180" t="s">
        <v>6</v>
      </c>
      <c r="D180" s="21" t="s">
        <v>24</v>
      </c>
      <c r="E180" s="21"/>
      <c r="F180" s="8"/>
      <c r="G180" s="21"/>
      <c r="H180" s="23">
        <v>2280</v>
      </c>
      <c r="I180" s="8"/>
      <c r="J180" s="8"/>
      <c r="K180" s="8"/>
      <c r="L180" s="53"/>
      <c r="M180" s="47">
        <v>45890</v>
      </c>
      <c r="N180" s="6">
        <f t="shared" si="12"/>
        <v>21</v>
      </c>
      <c r="O180" s="6" t="str">
        <f t="shared" si="13"/>
        <v>jueves</v>
      </c>
      <c r="P180" s="28">
        <f t="shared" si="14"/>
        <v>8</v>
      </c>
      <c r="Q180" s="6" t="str">
        <f t="shared" si="15"/>
        <v>agosto</v>
      </c>
    </row>
    <row r="181" spans="1:17" x14ac:dyDescent="0.25">
      <c r="A181">
        <v>6</v>
      </c>
      <c r="B181" t="s">
        <v>380</v>
      </c>
      <c r="C181" t="s">
        <v>6</v>
      </c>
      <c r="D181" s="22" t="s">
        <v>24</v>
      </c>
      <c r="E181" s="22"/>
      <c r="F181" s="6"/>
      <c r="G181" s="22"/>
      <c r="H181" s="24">
        <v>2270</v>
      </c>
      <c r="I181" s="6"/>
      <c r="J181" s="6"/>
      <c r="K181" s="6"/>
      <c r="L181" s="54"/>
      <c r="M181" s="48">
        <v>45890</v>
      </c>
      <c r="N181" s="6">
        <f t="shared" si="12"/>
        <v>21</v>
      </c>
      <c r="O181" s="6" t="str">
        <f t="shared" si="13"/>
        <v>jueves</v>
      </c>
      <c r="P181" s="28">
        <f t="shared" si="14"/>
        <v>8</v>
      </c>
      <c r="Q181" s="6" t="str">
        <f t="shared" si="15"/>
        <v>agosto</v>
      </c>
    </row>
    <row r="182" spans="1:17" x14ac:dyDescent="0.25">
      <c r="A182">
        <v>6</v>
      </c>
      <c r="B182" t="s">
        <v>382</v>
      </c>
      <c r="C182" t="s">
        <v>19</v>
      </c>
      <c r="D182" s="21" t="s">
        <v>1001</v>
      </c>
      <c r="E182" s="21"/>
      <c r="F182" s="21"/>
      <c r="G182" s="21"/>
      <c r="H182" s="23">
        <v>1520</v>
      </c>
      <c r="I182" s="8"/>
      <c r="J182" s="8"/>
      <c r="K182" s="8"/>
      <c r="L182" s="53"/>
      <c r="M182" s="47">
        <v>45890</v>
      </c>
      <c r="N182" s="6">
        <f t="shared" si="12"/>
        <v>21</v>
      </c>
      <c r="O182" s="6" t="str">
        <f t="shared" si="13"/>
        <v>jueves</v>
      </c>
      <c r="P182" s="28">
        <f t="shared" si="14"/>
        <v>8</v>
      </c>
      <c r="Q182" s="6" t="str">
        <f t="shared" si="15"/>
        <v>agosto</v>
      </c>
    </row>
    <row r="183" spans="1:17" x14ac:dyDescent="0.25">
      <c r="A183">
        <v>5</v>
      </c>
      <c r="B183" t="s">
        <v>383</v>
      </c>
      <c r="C183" t="s">
        <v>6</v>
      </c>
      <c r="D183" s="22" t="s">
        <v>33</v>
      </c>
      <c r="E183" s="22"/>
      <c r="F183" s="6"/>
      <c r="G183" s="22"/>
      <c r="H183" s="24">
        <v>3000</v>
      </c>
      <c r="I183" s="6"/>
      <c r="J183" s="6"/>
      <c r="K183" s="6"/>
      <c r="L183" s="54"/>
      <c r="M183" s="48">
        <v>45890</v>
      </c>
      <c r="N183" s="6">
        <f t="shared" si="12"/>
        <v>21</v>
      </c>
      <c r="O183" s="6" t="str">
        <f t="shared" si="13"/>
        <v>jueves</v>
      </c>
      <c r="P183" s="28">
        <f t="shared" si="14"/>
        <v>8</v>
      </c>
      <c r="Q183" s="6" t="str">
        <f t="shared" si="15"/>
        <v>agosto</v>
      </c>
    </row>
    <row r="184" spans="1:17" x14ac:dyDescent="0.25">
      <c r="A184">
        <v>5</v>
      </c>
      <c r="B184" t="s">
        <v>384</v>
      </c>
      <c r="C184" t="s">
        <v>6</v>
      </c>
      <c r="D184" s="21" t="s">
        <v>35</v>
      </c>
      <c r="E184" s="21"/>
      <c r="F184" s="8"/>
      <c r="G184" s="21"/>
      <c r="H184" s="23">
        <v>1310</v>
      </c>
      <c r="I184" s="8"/>
      <c r="J184" s="8"/>
      <c r="K184" s="8"/>
      <c r="L184" s="53"/>
      <c r="M184" s="47">
        <v>45890</v>
      </c>
      <c r="N184" s="6">
        <f t="shared" si="12"/>
        <v>21</v>
      </c>
      <c r="O184" s="6" t="str">
        <f t="shared" si="13"/>
        <v>jueves</v>
      </c>
      <c r="P184" s="28">
        <f t="shared" si="14"/>
        <v>8</v>
      </c>
      <c r="Q184" s="6" t="str">
        <f t="shared" si="15"/>
        <v>agosto</v>
      </c>
    </row>
    <row r="185" spans="1:17" x14ac:dyDescent="0.25">
      <c r="A185">
        <v>3</v>
      </c>
      <c r="B185" t="s">
        <v>216</v>
      </c>
      <c r="C185" t="s">
        <v>6</v>
      </c>
      <c r="D185" s="22" t="s">
        <v>1002</v>
      </c>
      <c r="E185" s="22"/>
      <c r="F185" s="6"/>
      <c r="G185" s="22"/>
      <c r="H185" s="24">
        <v>2420</v>
      </c>
      <c r="I185" s="6">
        <v>1800</v>
      </c>
      <c r="J185" s="6">
        <v>120</v>
      </c>
      <c r="K185" s="6">
        <v>500</v>
      </c>
      <c r="L185" s="54"/>
      <c r="M185" s="48">
        <v>45890</v>
      </c>
      <c r="N185" s="6">
        <f t="shared" si="12"/>
        <v>21</v>
      </c>
      <c r="O185" s="6" t="str">
        <f t="shared" si="13"/>
        <v>jueves</v>
      </c>
      <c r="P185" s="28">
        <f t="shared" si="14"/>
        <v>8</v>
      </c>
      <c r="Q185" s="6" t="str">
        <f t="shared" si="15"/>
        <v>agosto</v>
      </c>
    </row>
    <row r="186" spans="1:17" x14ac:dyDescent="0.25">
      <c r="A186">
        <v>2</v>
      </c>
      <c r="B186" t="s">
        <v>364</v>
      </c>
      <c r="C186" t="s">
        <v>6</v>
      </c>
      <c r="D186" s="21" t="s">
        <v>995</v>
      </c>
      <c r="E186" s="21"/>
      <c r="F186" s="8"/>
      <c r="G186" s="21"/>
      <c r="H186" s="23">
        <v>1820</v>
      </c>
      <c r="I186" s="8">
        <v>1200</v>
      </c>
      <c r="J186" s="8">
        <v>60</v>
      </c>
      <c r="K186" s="8">
        <v>560</v>
      </c>
      <c r="L186" s="53"/>
      <c r="M186" s="47">
        <v>45890</v>
      </c>
      <c r="N186" s="6">
        <f t="shared" si="12"/>
        <v>21</v>
      </c>
      <c r="O186" s="6" t="str">
        <f t="shared" si="13"/>
        <v>jueves</v>
      </c>
      <c r="P186" s="28">
        <f t="shared" si="14"/>
        <v>8</v>
      </c>
      <c r="Q186" s="6" t="str">
        <f t="shared" si="15"/>
        <v>agosto</v>
      </c>
    </row>
    <row r="187" spans="1:17" x14ac:dyDescent="0.25">
      <c r="A187">
        <v>2</v>
      </c>
      <c r="B187" t="s">
        <v>366</v>
      </c>
      <c r="C187" t="s">
        <v>6</v>
      </c>
      <c r="D187" s="22" t="s">
        <v>17</v>
      </c>
      <c r="E187" s="22"/>
      <c r="F187" s="6"/>
      <c r="G187" s="22"/>
      <c r="H187" s="24">
        <v>2040</v>
      </c>
      <c r="I187" s="6"/>
      <c r="J187" s="6"/>
      <c r="K187" s="6"/>
      <c r="L187" s="54"/>
      <c r="M187" s="48">
        <v>45890</v>
      </c>
      <c r="N187" s="6">
        <f t="shared" si="12"/>
        <v>21</v>
      </c>
      <c r="O187" s="6" t="str">
        <f t="shared" si="13"/>
        <v>jueves</v>
      </c>
      <c r="P187" s="28">
        <f t="shared" si="14"/>
        <v>8</v>
      </c>
      <c r="Q187" s="6" t="str">
        <f t="shared" si="15"/>
        <v>agosto</v>
      </c>
    </row>
    <row r="188" spans="1:17" x14ac:dyDescent="0.25">
      <c r="A188">
        <v>2</v>
      </c>
      <c r="B188" t="s">
        <v>367</v>
      </c>
      <c r="C188" t="s">
        <v>6</v>
      </c>
      <c r="D188" s="21" t="s">
        <v>1003</v>
      </c>
      <c r="E188" s="21"/>
      <c r="F188" s="8"/>
      <c r="G188" s="21"/>
      <c r="H188" s="23">
        <v>4180</v>
      </c>
      <c r="I188" s="8"/>
      <c r="J188" s="8"/>
      <c r="K188" s="8"/>
      <c r="L188" s="53"/>
      <c r="M188" s="47">
        <v>45890</v>
      </c>
      <c r="N188" s="6">
        <f t="shared" si="12"/>
        <v>21</v>
      </c>
      <c r="O188" s="6" t="str">
        <f t="shared" si="13"/>
        <v>jueves</v>
      </c>
      <c r="P188" s="28">
        <f t="shared" si="14"/>
        <v>8</v>
      </c>
      <c r="Q188" s="6" t="str">
        <f t="shared" si="15"/>
        <v>agosto</v>
      </c>
    </row>
    <row r="189" spans="1:17" x14ac:dyDescent="0.25">
      <c r="A189">
        <v>2</v>
      </c>
      <c r="B189" t="s">
        <v>369</v>
      </c>
      <c r="C189" t="s">
        <v>6</v>
      </c>
      <c r="D189" s="22" t="s">
        <v>22</v>
      </c>
      <c r="E189" s="22"/>
      <c r="F189" s="6"/>
      <c r="G189" s="22"/>
      <c r="H189" s="24">
        <v>3420</v>
      </c>
      <c r="I189" s="6"/>
      <c r="J189" s="6"/>
      <c r="K189" s="6"/>
      <c r="L189" s="54"/>
      <c r="M189" s="48">
        <v>45890</v>
      </c>
      <c r="N189" s="6">
        <f t="shared" si="12"/>
        <v>21</v>
      </c>
      <c r="O189" s="6" t="str">
        <f t="shared" si="13"/>
        <v>jueves</v>
      </c>
      <c r="P189" s="28">
        <f t="shared" si="14"/>
        <v>8</v>
      </c>
      <c r="Q189" s="6" t="str">
        <f t="shared" si="15"/>
        <v>agosto</v>
      </c>
    </row>
    <row r="190" spans="1:17" x14ac:dyDescent="0.25">
      <c r="A190">
        <v>2</v>
      </c>
      <c r="B190" t="s">
        <v>370</v>
      </c>
      <c r="C190" t="s">
        <v>6</v>
      </c>
      <c r="D190" s="21" t="s">
        <v>24</v>
      </c>
      <c r="E190" s="21"/>
      <c r="F190" s="8"/>
      <c r="G190" s="21"/>
      <c r="H190" s="23">
        <v>2380</v>
      </c>
      <c r="I190" s="8"/>
      <c r="J190" s="8"/>
      <c r="K190" s="8"/>
      <c r="L190" s="53"/>
      <c r="M190" s="47">
        <v>45890</v>
      </c>
      <c r="N190" s="6">
        <f t="shared" si="12"/>
        <v>21</v>
      </c>
      <c r="O190" s="6" t="str">
        <f t="shared" si="13"/>
        <v>jueves</v>
      </c>
      <c r="P190" s="28">
        <f t="shared" si="14"/>
        <v>8</v>
      </c>
      <c r="Q190" s="6" t="str">
        <f t="shared" si="15"/>
        <v>agosto</v>
      </c>
    </row>
    <row r="191" spans="1:17" x14ac:dyDescent="0.25">
      <c r="A191">
        <v>1</v>
      </c>
      <c r="B191" t="s">
        <v>372</v>
      </c>
      <c r="C191" t="s">
        <v>6</v>
      </c>
      <c r="D191" s="22" t="s">
        <v>1004</v>
      </c>
      <c r="E191" s="22"/>
      <c r="F191" s="6"/>
      <c r="G191" s="22"/>
      <c r="H191" s="24">
        <v>2660</v>
      </c>
      <c r="I191" s="6"/>
      <c r="J191" s="6"/>
      <c r="K191" s="6"/>
      <c r="L191" s="54"/>
      <c r="M191" s="48">
        <v>45890</v>
      </c>
      <c r="N191" s="6">
        <f t="shared" si="12"/>
        <v>21</v>
      </c>
      <c r="O191" s="6" t="str">
        <f t="shared" si="13"/>
        <v>jueves</v>
      </c>
      <c r="P191" s="28">
        <f t="shared" si="14"/>
        <v>8</v>
      </c>
      <c r="Q191" s="6" t="str">
        <f t="shared" si="15"/>
        <v>agosto</v>
      </c>
    </row>
    <row r="192" spans="1:17" x14ac:dyDescent="0.25">
      <c r="A192">
        <v>12</v>
      </c>
      <c r="B192" t="s">
        <v>395</v>
      </c>
      <c r="C192" t="s">
        <v>6</v>
      </c>
      <c r="D192" s="21" t="s">
        <v>206</v>
      </c>
      <c r="E192" s="21"/>
      <c r="F192" s="8"/>
      <c r="G192" s="21"/>
      <c r="H192" s="21">
        <v>2270</v>
      </c>
      <c r="I192" s="8">
        <v>1850</v>
      </c>
      <c r="J192" s="8">
        <v>60</v>
      </c>
      <c r="K192" s="8">
        <v>360</v>
      </c>
      <c r="L192" s="53"/>
      <c r="M192" s="47">
        <v>45893</v>
      </c>
      <c r="N192" s="6">
        <f t="shared" si="12"/>
        <v>24</v>
      </c>
      <c r="O192" s="6" t="str">
        <f t="shared" si="13"/>
        <v>domingo</v>
      </c>
      <c r="P192" s="28">
        <f t="shared" si="14"/>
        <v>8</v>
      </c>
      <c r="Q192" s="6" t="str">
        <f t="shared" si="15"/>
        <v>agosto</v>
      </c>
    </row>
    <row r="193" spans="1:17" x14ac:dyDescent="0.25">
      <c r="A193">
        <v>12</v>
      </c>
      <c r="B193" t="s">
        <v>396</v>
      </c>
      <c r="C193" t="s">
        <v>6</v>
      </c>
      <c r="D193" s="22" t="s">
        <v>208</v>
      </c>
      <c r="E193" s="22"/>
      <c r="F193" s="6"/>
      <c r="G193" s="22"/>
      <c r="H193" s="22">
        <v>2460</v>
      </c>
      <c r="I193" s="6">
        <v>1200</v>
      </c>
      <c r="J193" s="6">
        <v>60</v>
      </c>
      <c r="K193" s="6">
        <v>1200</v>
      </c>
      <c r="L193" s="54"/>
      <c r="M193" s="48">
        <v>45893</v>
      </c>
      <c r="N193" s="6">
        <f t="shared" si="12"/>
        <v>24</v>
      </c>
      <c r="O193" s="6" t="str">
        <f t="shared" si="13"/>
        <v>domingo</v>
      </c>
      <c r="P193" s="28">
        <f t="shared" si="14"/>
        <v>8</v>
      </c>
      <c r="Q193" s="6" t="str">
        <f t="shared" si="15"/>
        <v>agosto</v>
      </c>
    </row>
    <row r="194" spans="1:17" x14ac:dyDescent="0.25">
      <c r="A194">
        <v>12</v>
      </c>
      <c r="B194" t="s">
        <v>398</v>
      </c>
      <c r="C194" t="s">
        <v>19</v>
      </c>
      <c r="D194" s="21" t="s">
        <v>206</v>
      </c>
      <c r="E194" s="21"/>
      <c r="F194" s="8"/>
      <c r="G194" s="21"/>
      <c r="H194" s="21">
        <v>1510</v>
      </c>
      <c r="I194" s="8">
        <v>1450</v>
      </c>
      <c r="J194" s="8">
        <v>60</v>
      </c>
      <c r="K194" s="8"/>
      <c r="L194" s="53"/>
      <c r="M194" s="47">
        <v>45893</v>
      </c>
      <c r="N194" s="6">
        <f t="shared" ref="N194:N257" si="16">DAY(M194)</f>
        <v>24</v>
      </c>
      <c r="O194" s="6" t="str">
        <f t="shared" ref="O194:O257" si="17">TEXT(M194,"DDDD")</f>
        <v>domingo</v>
      </c>
      <c r="P194" s="28">
        <f t="shared" si="14"/>
        <v>8</v>
      </c>
      <c r="Q194" s="6" t="str">
        <f t="shared" si="15"/>
        <v>agosto</v>
      </c>
    </row>
    <row r="195" spans="1:17" x14ac:dyDescent="0.25">
      <c r="A195">
        <v>12</v>
      </c>
      <c r="B195" t="s">
        <v>399</v>
      </c>
      <c r="C195" t="s">
        <v>6</v>
      </c>
      <c r="D195" s="22" t="s">
        <v>206</v>
      </c>
      <c r="E195" s="22"/>
      <c r="F195" s="6"/>
      <c r="G195" s="22"/>
      <c r="H195" s="22">
        <v>1740</v>
      </c>
      <c r="I195" s="6">
        <v>1200</v>
      </c>
      <c r="J195" s="6">
        <v>60</v>
      </c>
      <c r="K195" s="6">
        <v>480</v>
      </c>
      <c r="L195" s="54"/>
      <c r="M195" s="48">
        <v>45893</v>
      </c>
      <c r="N195" s="6">
        <f t="shared" si="16"/>
        <v>24</v>
      </c>
      <c r="O195" s="6" t="str">
        <f t="shared" si="17"/>
        <v>domingo</v>
      </c>
      <c r="P195" s="28">
        <f t="shared" si="14"/>
        <v>8</v>
      </c>
      <c r="Q195" s="6" t="str">
        <f t="shared" si="15"/>
        <v>agosto</v>
      </c>
    </row>
    <row r="196" spans="1:17" x14ac:dyDescent="0.25">
      <c r="A196">
        <v>12</v>
      </c>
      <c r="B196" t="s">
        <v>400</v>
      </c>
      <c r="C196" t="s">
        <v>6</v>
      </c>
      <c r="D196" s="21" t="s">
        <v>242</v>
      </c>
      <c r="E196" s="21"/>
      <c r="F196" s="8"/>
      <c r="G196" s="21"/>
      <c r="H196" s="21">
        <v>2050</v>
      </c>
      <c r="I196" s="8">
        <v>1570</v>
      </c>
      <c r="J196" s="8">
        <v>60</v>
      </c>
      <c r="K196" s="8">
        <v>420</v>
      </c>
      <c r="L196" s="53"/>
      <c r="M196" s="47">
        <v>45893</v>
      </c>
      <c r="N196" s="6">
        <f t="shared" si="16"/>
        <v>24</v>
      </c>
      <c r="O196" s="6" t="str">
        <f t="shared" si="17"/>
        <v>domingo</v>
      </c>
      <c r="P196" s="28">
        <f t="shared" si="14"/>
        <v>8</v>
      </c>
      <c r="Q196" s="6" t="str">
        <f t="shared" si="15"/>
        <v>agosto</v>
      </c>
    </row>
    <row r="197" spans="1:17" x14ac:dyDescent="0.25">
      <c r="A197">
        <v>12</v>
      </c>
      <c r="B197" t="s">
        <v>421</v>
      </c>
      <c r="C197" t="s">
        <v>6</v>
      </c>
      <c r="D197" s="21" t="s">
        <v>249</v>
      </c>
      <c r="E197" s="21"/>
      <c r="F197" s="8"/>
      <c r="G197" s="21"/>
      <c r="H197" s="21">
        <v>1270</v>
      </c>
      <c r="I197" s="8">
        <v>1210</v>
      </c>
      <c r="J197" s="8">
        <v>60</v>
      </c>
      <c r="K197" s="8"/>
      <c r="L197" s="53"/>
      <c r="M197" s="47">
        <v>45893</v>
      </c>
      <c r="N197" s="6">
        <f t="shared" si="16"/>
        <v>24</v>
      </c>
      <c r="O197" s="6" t="str">
        <f t="shared" si="17"/>
        <v>domingo</v>
      </c>
      <c r="P197" s="28">
        <f t="shared" si="14"/>
        <v>8</v>
      </c>
      <c r="Q197" s="6" t="str">
        <f t="shared" si="15"/>
        <v>agosto</v>
      </c>
    </row>
    <row r="198" spans="1:17" x14ac:dyDescent="0.25">
      <c r="A198">
        <v>11</v>
      </c>
      <c r="B198" t="s">
        <v>401</v>
      </c>
      <c r="C198" t="s">
        <v>19</v>
      </c>
      <c r="D198" s="22" t="s">
        <v>243</v>
      </c>
      <c r="E198" s="22"/>
      <c r="F198" s="6"/>
      <c r="G198" s="22"/>
      <c r="H198" s="22">
        <v>2060</v>
      </c>
      <c r="I198" s="6">
        <v>1280</v>
      </c>
      <c r="J198" s="6">
        <v>60</v>
      </c>
      <c r="K198" s="6">
        <v>720</v>
      </c>
      <c r="L198" s="54"/>
      <c r="M198" s="48">
        <v>45893</v>
      </c>
      <c r="N198" s="6">
        <f t="shared" si="16"/>
        <v>24</v>
      </c>
      <c r="O198" s="6" t="str">
        <f t="shared" si="17"/>
        <v>domingo</v>
      </c>
      <c r="P198" s="28">
        <f t="shared" si="14"/>
        <v>8</v>
      </c>
      <c r="Q198" s="6" t="str">
        <f t="shared" si="15"/>
        <v>agosto</v>
      </c>
    </row>
    <row r="199" spans="1:17" x14ac:dyDescent="0.25">
      <c r="A199">
        <v>11</v>
      </c>
      <c r="B199" t="s">
        <v>402</v>
      </c>
      <c r="C199" t="s">
        <v>19</v>
      </c>
      <c r="D199" s="21" t="s">
        <v>183</v>
      </c>
      <c r="E199" s="21"/>
      <c r="F199" s="8"/>
      <c r="G199" s="21"/>
      <c r="H199" s="21">
        <v>3120</v>
      </c>
      <c r="I199" s="8">
        <v>1580</v>
      </c>
      <c r="J199" s="8">
        <v>60</v>
      </c>
      <c r="K199" s="8">
        <v>1480</v>
      </c>
      <c r="L199" s="53"/>
      <c r="M199" s="47">
        <v>45893</v>
      </c>
      <c r="N199" s="6">
        <f t="shared" si="16"/>
        <v>24</v>
      </c>
      <c r="O199" s="6" t="str">
        <f t="shared" si="17"/>
        <v>domingo</v>
      </c>
      <c r="P199" s="28">
        <f t="shared" si="14"/>
        <v>8</v>
      </c>
      <c r="Q199" s="6" t="str">
        <f t="shared" si="15"/>
        <v>agosto</v>
      </c>
    </row>
    <row r="200" spans="1:17" x14ac:dyDescent="0.25">
      <c r="A200">
        <v>11</v>
      </c>
      <c r="B200" t="s">
        <v>403</v>
      </c>
      <c r="C200" t="s">
        <v>6</v>
      </c>
      <c r="D200" s="22" t="s">
        <v>244</v>
      </c>
      <c r="E200" s="22"/>
      <c r="F200" s="6"/>
      <c r="G200" s="22"/>
      <c r="H200" s="22">
        <v>1850</v>
      </c>
      <c r="I200" s="6">
        <v>1790</v>
      </c>
      <c r="J200" s="6">
        <v>60</v>
      </c>
      <c r="K200" s="6"/>
      <c r="L200" s="54"/>
      <c r="M200" s="48">
        <v>45893</v>
      </c>
      <c r="N200" s="6">
        <f t="shared" si="16"/>
        <v>24</v>
      </c>
      <c r="O200" s="6" t="str">
        <f t="shared" si="17"/>
        <v>domingo</v>
      </c>
      <c r="P200" s="28">
        <f t="shared" si="14"/>
        <v>8</v>
      </c>
      <c r="Q200" s="6" t="str">
        <f t="shared" si="15"/>
        <v>agosto</v>
      </c>
    </row>
    <row r="201" spans="1:17" x14ac:dyDescent="0.25">
      <c r="A201">
        <v>11</v>
      </c>
      <c r="B201" t="s">
        <v>274</v>
      </c>
      <c r="C201" t="s">
        <v>6</v>
      </c>
      <c r="D201" s="22" t="s">
        <v>178</v>
      </c>
      <c r="E201" s="22"/>
      <c r="F201" s="6"/>
      <c r="G201" s="22"/>
      <c r="H201" s="22">
        <v>2870</v>
      </c>
      <c r="I201" s="6">
        <v>2170</v>
      </c>
      <c r="J201" s="6"/>
      <c r="K201" s="6">
        <v>700</v>
      </c>
      <c r="L201" s="54"/>
      <c r="M201" s="48">
        <v>45893</v>
      </c>
      <c r="N201" s="6">
        <f t="shared" si="16"/>
        <v>24</v>
      </c>
      <c r="O201" s="6" t="str">
        <f t="shared" si="17"/>
        <v>domingo</v>
      </c>
      <c r="P201" s="28">
        <f t="shared" si="14"/>
        <v>8</v>
      </c>
      <c r="Q201" s="6" t="str">
        <f t="shared" si="15"/>
        <v>agosto</v>
      </c>
    </row>
    <row r="202" spans="1:17" x14ac:dyDescent="0.25">
      <c r="A202">
        <v>11</v>
      </c>
      <c r="B202" t="s">
        <v>422</v>
      </c>
      <c r="C202" t="s">
        <v>6</v>
      </c>
      <c r="D202" s="21" t="s">
        <v>185</v>
      </c>
      <c r="E202" s="21"/>
      <c r="F202" s="8" t="s">
        <v>185</v>
      </c>
      <c r="G202" s="21"/>
      <c r="H202" s="21">
        <v>4560</v>
      </c>
      <c r="I202" s="8">
        <v>2100</v>
      </c>
      <c r="J202" s="8">
        <v>120</v>
      </c>
      <c r="K202" s="8">
        <v>2340</v>
      </c>
      <c r="L202" s="53"/>
      <c r="M202" s="47">
        <v>45893</v>
      </c>
      <c r="N202" s="6">
        <f t="shared" si="16"/>
        <v>24</v>
      </c>
      <c r="O202" s="6" t="str">
        <f t="shared" si="17"/>
        <v>domingo</v>
      </c>
      <c r="P202" s="28">
        <f t="shared" si="14"/>
        <v>8</v>
      </c>
      <c r="Q202" s="6" t="str">
        <f t="shared" si="15"/>
        <v>agosto</v>
      </c>
    </row>
    <row r="203" spans="1:17" x14ac:dyDescent="0.25">
      <c r="A203">
        <v>11</v>
      </c>
      <c r="B203" t="s">
        <v>424</v>
      </c>
      <c r="C203" t="s">
        <v>19</v>
      </c>
      <c r="D203" s="22" t="s">
        <v>251</v>
      </c>
      <c r="E203" s="22"/>
      <c r="F203" s="6"/>
      <c r="G203" s="22"/>
      <c r="H203" s="22">
        <v>4520</v>
      </c>
      <c r="I203" s="6">
        <v>2820</v>
      </c>
      <c r="J203" s="6">
        <v>60</v>
      </c>
      <c r="K203" s="6">
        <v>1640</v>
      </c>
      <c r="L203" s="54"/>
      <c r="M203" s="48">
        <v>45893</v>
      </c>
      <c r="N203" s="6">
        <f t="shared" si="16"/>
        <v>24</v>
      </c>
      <c r="O203" s="6" t="str">
        <f t="shared" si="17"/>
        <v>domingo</v>
      </c>
      <c r="P203" s="28">
        <f t="shared" si="14"/>
        <v>8</v>
      </c>
      <c r="Q203" s="6" t="str">
        <f t="shared" si="15"/>
        <v>agosto</v>
      </c>
    </row>
    <row r="204" spans="1:17" x14ac:dyDescent="0.25">
      <c r="A204">
        <v>11</v>
      </c>
      <c r="B204" t="s">
        <v>228</v>
      </c>
      <c r="C204" t="s">
        <v>6</v>
      </c>
      <c r="D204" s="21" t="s">
        <v>252</v>
      </c>
      <c r="E204" s="21"/>
      <c r="F204" s="8"/>
      <c r="G204" s="21"/>
      <c r="H204" s="21">
        <v>2420</v>
      </c>
      <c r="I204" s="8">
        <v>1760</v>
      </c>
      <c r="J204" s="8">
        <v>60</v>
      </c>
      <c r="K204" s="8">
        <v>200</v>
      </c>
      <c r="L204" s="53"/>
      <c r="M204" s="47">
        <v>45893</v>
      </c>
      <c r="N204" s="6">
        <f t="shared" si="16"/>
        <v>24</v>
      </c>
      <c r="O204" s="6" t="str">
        <f t="shared" si="17"/>
        <v>domingo</v>
      </c>
      <c r="P204" s="28">
        <f t="shared" si="14"/>
        <v>8</v>
      </c>
      <c r="Q204" s="6" t="str">
        <f t="shared" si="15"/>
        <v>agosto</v>
      </c>
    </row>
    <row r="205" spans="1:17" x14ac:dyDescent="0.25">
      <c r="A205">
        <v>10</v>
      </c>
      <c r="B205" t="s">
        <v>405</v>
      </c>
      <c r="C205" t="s">
        <v>6</v>
      </c>
      <c r="D205" s="21" t="s">
        <v>245</v>
      </c>
      <c r="E205" s="21"/>
      <c r="F205" s="8"/>
      <c r="G205" s="21"/>
      <c r="H205" s="21">
        <v>2630</v>
      </c>
      <c r="I205" s="8">
        <v>1650</v>
      </c>
      <c r="J205" s="8">
        <v>60</v>
      </c>
      <c r="K205" s="8">
        <v>920</v>
      </c>
      <c r="L205" s="53"/>
      <c r="M205" s="47">
        <v>45893</v>
      </c>
      <c r="N205" s="6">
        <f t="shared" si="16"/>
        <v>24</v>
      </c>
      <c r="O205" s="6" t="str">
        <f t="shared" si="17"/>
        <v>domingo</v>
      </c>
      <c r="P205" s="28">
        <f t="shared" ref="P205:P268" si="18">MONTH(M205)</f>
        <v>8</v>
      </c>
      <c r="Q205" s="6" t="str">
        <f t="shared" ref="Q205:Q268" si="19">TEXT(M205,"MMMM")</f>
        <v>agosto</v>
      </c>
    </row>
    <row r="206" spans="1:17" x14ac:dyDescent="0.25">
      <c r="A206">
        <v>10</v>
      </c>
      <c r="B206" t="s">
        <v>407</v>
      </c>
      <c r="C206" t="s">
        <v>6</v>
      </c>
      <c r="D206" s="22" t="s">
        <v>245</v>
      </c>
      <c r="E206" s="22"/>
      <c r="F206" s="6" t="s">
        <v>245</v>
      </c>
      <c r="G206" s="22"/>
      <c r="H206" s="22">
        <v>4400</v>
      </c>
      <c r="I206" s="6">
        <v>2100</v>
      </c>
      <c r="J206" s="6">
        <v>120</v>
      </c>
      <c r="K206" s="6">
        <v>2180</v>
      </c>
      <c r="L206" s="54"/>
      <c r="M206" s="48">
        <v>45893</v>
      </c>
      <c r="N206" s="6">
        <f t="shared" si="16"/>
        <v>24</v>
      </c>
      <c r="O206" s="6" t="str">
        <f t="shared" si="17"/>
        <v>domingo</v>
      </c>
      <c r="P206" s="28">
        <f t="shared" si="18"/>
        <v>8</v>
      </c>
      <c r="Q206" s="6" t="str">
        <f t="shared" si="19"/>
        <v>agosto</v>
      </c>
    </row>
    <row r="207" spans="1:17" x14ac:dyDescent="0.25">
      <c r="A207">
        <v>10</v>
      </c>
      <c r="B207" t="s">
        <v>409</v>
      </c>
      <c r="C207" t="s">
        <v>6</v>
      </c>
      <c r="D207" s="21" t="s">
        <v>218</v>
      </c>
      <c r="E207" s="21"/>
      <c r="F207" s="8"/>
      <c r="G207" s="21"/>
      <c r="H207" s="21">
        <v>2770</v>
      </c>
      <c r="I207" s="8">
        <v>1730</v>
      </c>
      <c r="J207" s="8">
        <v>60</v>
      </c>
      <c r="K207" s="8">
        <v>980</v>
      </c>
      <c r="L207" s="53"/>
      <c r="M207" s="47">
        <v>45893</v>
      </c>
      <c r="N207" s="6">
        <f t="shared" si="16"/>
        <v>24</v>
      </c>
      <c r="O207" s="6" t="str">
        <f t="shared" si="17"/>
        <v>domingo</v>
      </c>
      <c r="P207" s="28">
        <f t="shared" si="18"/>
        <v>8</v>
      </c>
      <c r="Q207" s="6" t="str">
        <f t="shared" si="19"/>
        <v>agosto</v>
      </c>
    </row>
    <row r="208" spans="1:17" x14ac:dyDescent="0.25">
      <c r="A208">
        <v>10</v>
      </c>
      <c r="B208" t="s">
        <v>259</v>
      </c>
      <c r="C208" t="s">
        <v>6</v>
      </c>
      <c r="D208" s="22" t="s">
        <v>253</v>
      </c>
      <c r="E208" s="22"/>
      <c r="F208" s="6" t="s">
        <v>253</v>
      </c>
      <c r="G208" s="22"/>
      <c r="H208" s="22">
        <v>7930</v>
      </c>
      <c r="I208" s="6">
        <v>3350</v>
      </c>
      <c r="J208" s="6">
        <v>120</v>
      </c>
      <c r="K208" s="6">
        <v>4460</v>
      </c>
      <c r="L208" s="54"/>
      <c r="M208" s="48">
        <v>45893</v>
      </c>
      <c r="N208" s="6">
        <f t="shared" si="16"/>
        <v>24</v>
      </c>
      <c r="O208" s="6" t="str">
        <f t="shared" si="17"/>
        <v>domingo</v>
      </c>
      <c r="P208" s="28">
        <f t="shared" si="18"/>
        <v>8</v>
      </c>
      <c r="Q208" s="6" t="str">
        <f t="shared" si="19"/>
        <v>agosto</v>
      </c>
    </row>
    <row r="209" spans="1:17" x14ac:dyDescent="0.25">
      <c r="A209">
        <v>9</v>
      </c>
      <c r="B209" t="s">
        <v>426</v>
      </c>
      <c r="C209" t="s">
        <v>6</v>
      </c>
      <c r="D209" s="21" t="s">
        <v>254</v>
      </c>
      <c r="E209" s="21"/>
      <c r="F209" s="8"/>
      <c r="G209" s="21"/>
      <c r="H209" s="21">
        <v>4370</v>
      </c>
      <c r="I209" s="8">
        <v>1310</v>
      </c>
      <c r="J209" s="8">
        <v>60</v>
      </c>
      <c r="K209" s="8">
        <v>3000</v>
      </c>
      <c r="L209" s="53"/>
      <c r="M209" s="47">
        <v>45893</v>
      </c>
      <c r="N209" s="6">
        <f t="shared" si="16"/>
        <v>24</v>
      </c>
      <c r="O209" s="6" t="str">
        <f t="shared" si="17"/>
        <v>domingo</v>
      </c>
      <c r="P209" s="28">
        <f t="shared" si="18"/>
        <v>8</v>
      </c>
      <c r="Q209" s="6" t="str">
        <f t="shared" si="19"/>
        <v>agosto</v>
      </c>
    </row>
    <row r="210" spans="1:17" x14ac:dyDescent="0.25">
      <c r="A210">
        <v>9</v>
      </c>
      <c r="B210" t="s">
        <v>427</v>
      </c>
      <c r="C210" t="s">
        <v>155</v>
      </c>
      <c r="D210" s="22" t="s">
        <v>229</v>
      </c>
      <c r="E210" s="22"/>
      <c r="F210" s="6"/>
      <c r="G210" s="22"/>
      <c r="H210" s="22">
        <v>3110</v>
      </c>
      <c r="I210" s="6">
        <v>2300</v>
      </c>
      <c r="J210" s="6">
        <v>60</v>
      </c>
      <c r="K210" s="6">
        <v>750</v>
      </c>
      <c r="L210" s="54"/>
      <c r="M210" s="48">
        <v>45893</v>
      </c>
      <c r="N210" s="6">
        <f t="shared" si="16"/>
        <v>24</v>
      </c>
      <c r="O210" s="6" t="str">
        <f t="shared" si="17"/>
        <v>domingo</v>
      </c>
      <c r="P210" s="28">
        <f t="shared" si="18"/>
        <v>8</v>
      </c>
      <c r="Q210" s="6" t="str">
        <f t="shared" si="19"/>
        <v>agosto</v>
      </c>
    </row>
    <row r="211" spans="1:17" x14ac:dyDescent="0.25">
      <c r="A211">
        <v>8</v>
      </c>
      <c r="B211" t="s">
        <v>410</v>
      </c>
      <c r="C211" t="s">
        <v>6</v>
      </c>
      <c r="D211" s="22" t="s">
        <v>246</v>
      </c>
      <c r="E211" s="22"/>
      <c r="F211" s="6" t="s">
        <v>246</v>
      </c>
      <c r="G211" s="22"/>
      <c r="H211" s="22">
        <v>4140</v>
      </c>
      <c r="I211" s="6">
        <v>3740</v>
      </c>
      <c r="J211" s="6">
        <v>200</v>
      </c>
      <c r="K211" s="6">
        <v>200</v>
      </c>
      <c r="L211" s="54"/>
      <c r="M211" s="48">
        <v>45893</v>
      </c>
      <c r="N211" s="6">
        <f t="shared" si="16"/>
        <v>24</v>
      </c>
      <c r="O211" s="6" t="str">
        <f t="shared" si="17"/>
        <v>domingo</v>
      </c>
      <c r="P211" s="28">
        <f t="shared" si="18"/>
        <v>8</v>
      </c>
      <c r="Q211" s="6" t="str">
        <f t="shared" si="19"/>
        <v>agosto</v>
      </c>
    </row>
    <row r="212" spans="1:17" x14ac:dyDescent="0.25">
      <c r="A212">
        <v>8</v>
      </c>
      <c r="B212" t="s">
        <v>411</v>
      </c>
      <c r="C212" t="s">
        <v>6</v>
      </c>
      <c r="D212" s="21" t="s">
        <v>247</v>
      </c>
      <c r="E212" s="21"/>
      <c r="F212" s="21"/>
      <c r="G212" s="21"/>
      <c r="H212" s="21">
        <v>1260</v>
      </c>
      <c r="I212" s="8">
        <v>1200</v>
      </c>
      <c r="J212" s="8">
        <v>60</v>
      </c>
      <c r="K212" s="8"/>
      <c r="L212" s="53"/>
      <c r="M212" s="47">
        <v>45893</v>
      </c>
      <c r="N212" s="6">
        <f t="shared" si="16"/>
        <v>24</v>
      </c>
      <c r="O212" s="6" t="str">
        <f t="shared" si="17"/>
        <v>domingo</v>
      </c>
      <c r="P212" s="28">
        <f t="shared" si="18"/>
        <v>8</v>
      </c>
      <c r="Q212" s="6" t="str">
        <f t="shared" si="19"/>
        <v>agosto</v>
      </c>
    </row>
    <row r="213" spans="1:17" x14ac:dyDescent="0.25">
      <c r="A213">
        <v>8</v>
      </c>
      <c r="B213" t="s">
        <v>412</v>
      </c>
      <c r="C213" t="s">
        <v>19</v>
      </c>
      <c r="D213" s="22" t="s">
        <v>248</v>
      </c>
      <c r="E213" s="22"/>
      <c r="F213" s="6" t="s">
        <v>248</v>
      </c>
      <c r="G213" s="22"/>
      <c r="H213" s="22">
        <v>5930</v>
      </c>
      <c r="I213" s="6">
        <v>5690</v>
      </c>
      <c r="J213" s="6">
        <v>240</v>
      </c>
      <c r="K213" s="6"/>
      <c r="L213" s="54"/>
      <c r="M213" s="48">
        <v>45893</v>
      </c>
      <c r="N213" s="6">
        <f t="shared" si="16"/>
        <v>24</v>
      </c>
      <c r="O213" s="6" t="str">
        <f t="shared" si="17"/>
        <v>domingo</v>
      </c>
      <c r="P213" s="28">
        <f t="shared" si="18"/>
        <v>8</v>
      </c>
      <c r="Q213" s="6" t="str">
        <f t="shared" si="19"/>
        <v>agosto</v>
      </c>
    </row>
    <row r="214" spans="1:17" x14ac:dyDescent="0.25">
      <c r="A214">
        <v>8</v>
      </c>
      <c r="B214" t="s">
        <v>428</v>
      </c>
      <c r="C214" t="s">
        <v>6</v>
      </c>
      <c r="D214" s="21" t="s">
        <v>230</v>
      </c>
      <c r="E214" s="21"/>
      <c r="F214" s="17"/>
      <c r="G214" s="21"/>
      <c r="H214" s="21">
        <v>2800</v>
      </c>
      <c r="I214" s="17">
        <v>1200</v>
      </c>
      <c r="J214" s="17">
        <v>60</v>
      </c>
      <c r="K214" s="17">
        <v>1540</v>
      </c>
      <c r="L214" s="57"/>
      <c r="M214" s="47">
        <v>45893</v>
      </c>
      <c r="N214" s="6">
        <f t="shared" si="16"/>
        <v>24</v>
      </c>
      <c r="O214" s="6" t="str">
        <f t="shared" si="17"/>
        <v>domingo</v>
      </c>
      <c r="P214" s="30">
        <f t="shared" si="18"/>
        <v>8</v>
      </c>
      <c r="Q214" s="11" t="str">
        <f t="shared" si="19"/>
        <v>agosto</v>
      </c>
    </row>
    <row r="215" spans="1:17" x14ac:dyDescent="0.25">
      <c r="A215">
        <v>8</v>
      </c>
      <c r="B215" t="s">
        <v>429</v>
      </c>
      <c r="C215" t="s">
        <v>6</v>
      </c>
      <c r="D215" s="22" t="s">
        <v>161</v>
      </c>
      <c r="E215" s="22"/>
      <c r="F215" s="22"/>
      <c r="G215" s="22"/>
      <c r="H215" s="22">
        <v>4820</v>
      </c>
      <c r="I215" s="25">
        <v>4700</v>
      </c>
      <c r="J215" s="22">
        <v>120</v>
      </c>
      <c r="K215" s="25"/>
      <c r="L215" s="58"/>
      <c r="M215" s="48">
        <v>45893</v>
      </c>
      <c r="N215" s="6">
        <f t="shared" si="16"/>
        <v>24</v>
      </c>
      <c r="O215" s="6" t="str">
        <f t="shared" si="17"/>
        <v>domingo</v>
      </c>
      <c r="P215" s="31">
        <f t="shared" si="18"/>
        <v>8</v>
      </c>
      <c r="Q215" s="22" t="str">
        <f t="shared" si="19"/>
        <v>agosto</v>
      </c>
    </row>
    <row r="216" spans="1:17" x14ac:dyDescent="0.25">
      <c r="A216">
        <v>8</v>
      </c>
      <c r="B216" t="s">
        <v>430</v>
      </c>
      <c r="C216" t="s">
        <v>6</v>
      </c>
      <c r="D216" s="21" t="s">
        <v>255</v>
      </c>
      <c r="E216" s="21"/>
      <c r="F216" s="21"/>
      <c r="G216" s="21"/>
      <c r="H216" s="21">
        <v>2990</v>
      </c>
      <c r="I216" s="26">
        <v>1390</v>
      </c>
      <c r="J216" s="21">
        <v>60</v>
      </c>
      <c r="K216" s="26">
        <v>1540</v>
      </c>
      <c r="L216" s="59"/>
      <c r="M216" s="47">
        <v>45893</v>
      </c>
      <c r="N216" s="6">
        <f t="shared" si="16"/>
        <v>24</v>
      </c>
      <c r="O216" s="6" t="str">
        <f t="shared" si="17"/>
        <v>domingo</v>
      </c>
      <c r="P216" s="31">
        <f t="shared" si="18"/>
        <v>8</v>
      </c>
      <c r="Q216" s="22" t="str">
        <f t="shared" si="19"/>
        <v>agosto</v>
      </c>
    </row>
    <row r="217" spans="1:17" x14ac:dyDescent="0.25">
      <c r="A217">
        <v>8</v>
      </c>
      <c r="B217" t="s">
        <v>138</v>
      </c>
      <c r="C217" t="s">
        <v>6</v>
      </c>
      <c r="D217" s="22" t="s">
        <v>256</v>
      </c>
      <c r="E217" s="22"/>
      <c r="F217" s="22" t="s">
        <v>256</v>
      </c>
      <c r="G217" s="22"/>
      <c r="H217" s="22">
        <v>4800</v>
      </c>
      <c r="I217" s="25">
        <v>2100</v>
      </c>
      <c r="J217" s="22">
        <v>120</v>
      </c>
      <c r="K217" s="25">
        <v>2580</v>
      </c>
      <c r="L217" s="58"/>
      <c r="M217" s="48">
        <v>45893</v>
      </c>
      <c r="N217" s="6">
        <f t="shared" si="16"/>
        <v>24</v>
      </c>
      <c r="O217" s="6" t="str">
        <f t="shared" si="17"/>
        <v>domingo</v>
      </c>
      <c r="P217" s="31">
        <f t="shared" si="18"/>
        <v>8</v>
      </c>
      <c r="Q217" s="22" t="str">
        <f t="shared" si="19"/>
        <v>agosto</v>
      </c>
    </row>
    <row r="218" spans="1:17" x14ac:dyDescent="0.25">
      <c r="A218">
        <v>7</v>
      </c>
      <c r="B218" t="s">
        <v>432</v>
      </c>
      <c r="C218" t="s">
        <v>6</v>
      </c>
      <c r="D218" s="21" t="s">
        <v>235</v>
      </c>
      <c r="E218" s="21"/>
      <c r="F218" s="21"/>
      <c r="G218" s="21"/>
      <c r="H218" s="21">
        <v>2060</v>
      </c>
      <c r="I218" s="26">
        <v>2000</v>
      </c>
      <c r="J218" s="21">
        <v>60</v>
      </c>
      <c r="K218" s="26"/>
      <c r="L218" s="59"/>
      <c r="M218" s="47">
        <v>45893</v>
      </c>
      <c r="N218" s="6">
        <f t="shared" si="16"/>
        <v>24</v>
      </c>
      <c r="O218" s="6" t="str">
        <f t="shared" si="17"/>
        <v>domingo</v>
      </c>
      <c r="P218" s="31">
        <f t="shared" si="18"/>
        <v>8</v>
      </c>
      <c r="Q218" s="22" t="str">
        <f t="shared" si="19"/>
        <v>agosto</v>
      </c>
    </row>
    <row r="219" spans="1:17" x14ac:dyDescent="0.25">
      <c r="A219">
        <v>7</v>
      </c>
      <c r="B219" t="s">
        <v>433</v>
      </c>
      <c r="C219" t="s">
        <v>6</v>
      </c>
      <c r="D219" s="22" t="s">
        <v>257</v>
      </c>
      <c r="E219" s="22"/>
      <c r="F219" s="22" t="s">
        <v>258</v>
      </c>
      <c r="G219" s="22"/>
      <c r="H219" s="22">
        <v>4380</v>
      </c>
      <c r="I219" s="25">
        <v>2100</v>
      </c>
      <c r="J219" s="22">
        <v>120</v>
      </c>
      <c r="K219" s="22">
        <v>2160</v>
      </c>
      <c r="L219" s="60"/>
      <c r="M219" s="48">
        <v>45893</v>
      </c>
      <c r="N219" s="6">
        <f t="shared" si="16"/>
        <v>24</v>
      </c>
      <c r="O219" s="6" t="str">
        <f t="shared" si="17"/>
        <v>domingo</v>
      </c>
      <c r="P219" s="31">
        <f t="shared" si="18"/>
        <v>8</v>
      </c>
      <c r="Q219" s="22" t="str">
        <f t="shared" si="19"/>
        <v>agosto</v>
      </c>
    </row>
    <row r="220" spans="1:17" x14ac:dyDescent="0.25">
      <c r="A220">
        <v>5</v>
      </c>
      <c r="B220" t="s">
        <v>385</v>
      </c>
      <c r="C220" t="s">
        <v>6</v>
      </c>
      <c r="D220" s="22" t="s">
        <v>239</v>
      </c>
      <c r="E220" s="22"/>
      <c r="F220" s="22"/>
      <c r="G220" s="22"/>
      <c r="H220" s="22">
        <v>1920</v>
      </c>
      <c r="I220" s="25">
        <v>1340</v>
      </c>
      <c r="J220" s="22">
        <v>60</v>
      </c>
      <c r="K220" s="22">
        <v>520</v>
      </c>
      <c r="L220" s="60"/>
      <c r="M220" s="48">
        <v>45893</v>
      </c>
      <c r="N220" s="6">
        <f t="shared" si="16"/>
        <v>24</v>
      </c>
      <c r="O220" s="6" t="str">
        <f t="shared" si="17"/>
        <v>domingo</v>
      </c>
      <c r="P220" s="31">
        <f t="shared" si="18"/>
        <v>8</v>
      </c>
      <c r="Q220" s="22" t="str">
        <f t="shared" si="19"/>
        <v>agosto</v>
      </c>
    </row>
    <row r="221" spans="1:17" x14ac:dyDescent="0.25">
      <c r="A221">
        <v>5</v>
      </c>
      <c r="B221" t="s">
        <v>386</v>
      </c>
      <c r="C221" t="s">
        <v>6</v>
      </c>
      <c r="D221" s="21" t="s">
        <v>240</v>
      </c>
      <c r="E221" s="21"/>
      <c r="F221" s="21"/>
      <c r="G221" s="21"/>
      <c r="H221" s="21">
        <v>1580</v>
      </c>
      <c r="I221" s="26">
        <v>1520</v>
      </c>
      <c r="J221" s="21">
        <v>60</v>
      </c>
      <c r="K221" s="21"/>
      <c r="L221" s="61"/>
      <c r="M221" s="47">
        <v>45893</v>
      </c>
      <c r="N221" s="6">
        <f t="shared" si="16"/>
        <v>24</v>
      </c>
      <c r="O221" s="6" t="str">
        <f t="shared" si="17"/>
        <v>domingo</v>
      </c>
      <c r="P221" s="31">
        <f t="shared" si="18"/>
        <v>8</v>
      </c>
      <c r="Q221" s="22" t="str">
        <f t="shared" si="19"/>
        <v>agosto</v>
      </c>
    </row>
    <row r="222" spans="1:17" x14ac:dyDescent="0.25">
      <c r="A222">
        <v>5</v>
      </c>
      <c r="B222" t="s">
        <v>435</v>
      </c>
      <c r="C222" t="s">
        <v>19</v>
      </c>
      <c r="D222" s="21" t="s">
        <v>237</v>
      </c>
      <c r="E222" s="21"/>
      <c r="F222" s="21"/>
      <c r="G222" s="21"/>
      <c r="H222" s="21">
        <v>2760</v>
      </c>
      <c r="I222" s="21">
        <v>1200</v>
      </c>
      <c r="J222" s="21">
        <v>60</v>
      </c>
      <c r="K222" s="21">
        <v>1500</v>
      </c>
      <c r="L222" s="61"/>
      <c r="M222" s="47">
        <v>45893</v>
      </c>
      <c r="N222" s="6">
        <f t="shared" si="16"/>
        <v>24</v>
      </c>
      <c r="O222" s="6" t="str">
        <f t="shared" si="17"/>
        <v>domingo</v>
      </c>
      <c r="P222" s="31">
        <f t="shared" si="18"/>
        <v>8</v>
      </c>
      <c r="Q222" s="22" t="str">
        <f t="shared" si="19"/>
        <v>agosto</v>
      </c>
    </row>
    <row r="223" spans="1:17" x14ac:dyDescent="0.25">
      <c r="A223">
        <v>4</v>
      </c>
      <c r="B223" t="s">
        <v>387</v>
      </c>
      <c r="C223" t="s">
        <v>6</v>
      </c>
      <c r="D223" s="22" t="s">
        <v>241</v>
      </c>
      <c r="E223" s="22"/>
      <c r="F223" s="22"/>
      <c r="G223" s="22"/>
      <c r="H223" s="22">
        <v>2040</v>
      </c>
      <c r="I223" s="22">
        <v>1200</v>
      </c>
      <c r="J223" s="22">
        <v>60</v>
      </c>
      <c r="K223" s="22">
        <v>780</v>
      </c>
      <c r="L223" s="60"/>
      <c r="M223" s="48">
        <v>45893</v>
      </c>
      <c r="N223" s="6">
        <f t="shared" si="16"/>
        <v>24</v>
      </c>
      <c r="O223" s="6" t="str">
        <f t="shared" si="17"/>
        <v>domingo</v>
      </c>
      <c r="P223" s="31">
        <f t="shared" si="18"/>
        <v>8</v>
      </c>
      <c r="Q223" s="22" t="str">
        <f t="shared" si="19"/>
        <v>agosto</v>
      </c>
    </row>
    <row r="224" spans="1:17" x14ac:dyDescent="0.25">
      <c r="A224">
        <v>12</v>
      </c>
      <c r="B224" t="s">
        <v>480</v>
      </c>
      <c r="C224" t="s">
        <v>6</v>
      </c>
      <c r="D224" t="s">
        <v>507</v>
      </c>
      <c r="F224" t="s">
        <v>317</v>
      </c>
      <c r="H224">
        <v>3660</v>
      </c>
      <c r="I224">
        <v>2100</v>
      </c>
      <c r="J224">
        <v>120</v>
      </c>
      <c r="K224">
        <v>1440</v>
      </c>
      <c r="M224" s="50">
        <v>45896</v>
      </c>
      <c r="N224" s="20">
        <f t="shared" si="16"/>
        <v>27</v>
      </c>
      <c r="O224" s="20" t="str">
        <f t="shared" si="17"/>
        <v>miércoles</v>
      </c>
      <c r="P224" s="31">
        <f t="shared" si="18"/>
        <v>8</v>
      </c>
      <c r="Q224" s="22" t="str">
        <f t="shared" si="19"/>
        <v>agosto</v>
      </c>
    </row>
    <row r="225" spans="1:19" x14ac:dyDescent="0.25">
      <c r="A225">
        <v>11</v>
      </c>
      <c r="B225" t="s">
        <v>274</v>
      </c>
      <c r="C225" t="s">
        <v>6</v>
      </c>
      <c r="D225" t="s">
        <v>481</v>
      </c>
      <c r="H225">
        <v>2950</v>
      </c>
      <c r="I225">
        <v>1350</v>
      </c>
      <c r="J225">
        <v>60</v>
      </c>
      <c r="K225">
        <v>1540</v>
      </c>
      <c r="M225" s="50">
        <v>45896</v>
      </c>
      <c r="N225" s="20">
        <f t="shared" si="16"/>
        <v>27</v>
      </c>
      <c r="O225" s="20" t="str">
        <f t="shared" si="17"/>
        <v>miércoles</v>
      </c>
      <c r="P225" s="31">
        <f t="shared" si="18"/>
        <v>8</v>
      </c>
      <c r="Q225" s="22" t="str">
        <f t="shared" si="19"/>
        <v>agosto</v>
      </c>
    </row>
    <row r="226" spans="1:19" x14ac:dyDescent="0.25">
      <c r="A226">
        <v>11</v>
      </c>
      <c r="B226" t="s">
        <v>482</v>
      </c>
      <c r="C226" t="s">
        <v>6</v>
      </c>
      <c r="D226" t="s">
        <v>506</v>
      </c>
      <c r="F226" t="s">
        <v>317</v>
      </c>
      <c r="H226">
        <v>4240</v>
      </c>
      <c r="I226">
        <v>2100</v>
      </c>
      <c r="J226">
        <v>120</v>
      </c>
      <c r="K226">
        <v>2020</v>
      </c>
      <c r="M226" s="50">
        <v>45896</v>
      </c>
      <c r="N226" s="20">
        <f t="shared" si="16"/>
        <v>27</v>
      </c>
      <c r="O226" s="20" t="str">
        <f t="shared" si="17"/>
        <v>miércoles</v>
      </c>
      <c r="P226" s="31">
        <f t="shared" si="18"/>
        <v>8</v>
      </c>
      <c r="Q226" s="22" t="str">
        <f t="shared" si="19"/>
        <v>agosto</v>
      </c>
    </row>
    <row r="227" spans="1:19" x14ac:dyDescent="0.25">
      <c r="A227">
        <v>11</v>
      </c>
      <c r="B227" t="s">
        <v>483</v>
      </c>
      <c r="C227" t="s">
        <v>6</v>
      </c>
      <c r="D227" t="s">
        <v>505</v>
      </c>
      <c r="F227" t="s">
        <v>229</v>
      </c>
      <c r="H227">
        <v>4720</v>
      </c>
      <c r="I227">
        <v>2100</v>
      </c>
      <c r="J227">
        <v>120</v>
      </c>
      <c r="K227">
        <v>2500</v>
      </c>
      <c r="M227" s="50">
        <v>45896</v>
      </c>
      <c r="N227" s="20">
        <f t="shared" si="16"/>
        <v>27</v>
      </c>
      <c r="O227" s="20" t="str">
        <f t="shared" si="17"/>
        <v>miércoles</v>
      </c>
      <c r="P227" s="31">
        <f t="shared" si="18"/>
        <v>8</v>
      </c>
      <c r="Q227" s="22" t="str">
        <f t="shared" si="19"/>
        <v>agosto</v>
      </c>
    </row>
    <row r="228" spans="1:19" x14ac:dyDescent="0.25">
      <c r="A228">
        <v>10</v>
      </c>
      <c r="B228" t="s">
        <v>484</v>
      </c>
      <c r="C228" t="s">
        <v>6</v>
      </c>
      <c r="D228" t="s">
        <v>485</v>
      </c>
      <c r="H228">
        <v>2620</v>
      </c>
      <c r="I228" s="19">
        <v>1200</v>
      </c>
      <c r="K228">
        <v>1360</v>
      </c>
      <c r="M228" s="50">
        <v>45896</v>
      </c>
      <c r="N228" s="20">
        <f t="shared" si="16"/>
        <v>27</v>
      </c>
      <c r="O228" s="20" t="str">
        <f t="shared" si="17"/>
        <v>miércoles</v>
      </c>
      <c r="P228" s="31">
        <f t="shared" si="18"/>
        <v>8</v>
      </c>
      <c r="Q228" s="22" t="str">
        <f t="shared" si="19"/>
        <v>agosto</v>
      </c>
    </row>
    <row r="229" spans="1:19" x14ac:dyDescent="0.25">
      <c r="A229">
        <v>10</v>
      </c>
      <c r="B229" t="s">
        <v>486</v>
      </c>
      <c r="C229" t="s">
        <v>19</v>
      </c>
      <c r="D229" t="s">
        <v>487</v>
      </c>
      <c r="H229">
        <v>2260</v>
      </c>
      <c r="I229">
        <v>1200</v>
      </c>
      <c r="K229">
        <v>1000</v>
      </c>
      <c r="M229" s="50">
        <v>45896</v>
      </c>
      <c r="N229" s="20">
        <f t="shared" si="16"/>
        <v>27</v>
      </c>
      <c r="O229" s="20" t="str">
        <f t="shared" si="17"/>
        <v>miércoles</v>
      </c>
      <c r="P229" s="31">
        <f t="shared" si="18"/>
        <v>8</v>
      </c>
      <c r="Q229" s="22" t="str">
        <f t="shared" si="19"/>
        <v>agosto</v>
      </c>
    </row>
    <row r="230" spans="1:19" x14ac:dyDescent="0.25">
      <c r="A230">
        <v>10</v>
      </c>
      <c r="B230" t="s">
        <v>488</v>
      </c>
      <c r="C230" t="s">
        <v>6</v>
      </c>
      <c r="D230" t="s">
        <v>489</v>
      </c>
      <c r="H230">
        <v>2260</v>
      </c>
      <c r="I230">
        <v>1200</v>
      </c>
      <c r="K230">
        <v>1000</v>
      </c>
      <c r="M230" s="50">
        <v>45896</v>
      </c>
      <c r="N230" s="20">
        <f t="shared" si="16"/>
        <v>27</v>
      </c>
      <c r="O230" s="20" t="str">
        <f t="shared" si="17"/>
        <v>miércoles</v>
      </c>
      <c r="P230" s="31">
        <f t="shared" si="18"/>
        <v>8</v>
      </c>
      <c r="Q230" s="22" t="str">
        <f t="shared" si="19"/>
        <v>agosto</v>
      </c>
      <c r="R230" t="s">
        <v>339</v>
      </c>
      <c r="S230">
        <v>16209</v>
      </c>
    </row>
    <row r="231" spans="1:19" x14ac:dyDescent="0.25">
      <c r="A231">
        <v>10</v>
      </c>
      <c r="B231" t="s">
        <v>490</v>
      </c>
      <c r="C231" t="s">
        <v>19</v>
      </c>
      <c r="D231" t="s">
        <v>491</v>
      </c>
      <c r="H231">
        <v>1260</v>
      </c>
      <c r="I231">
        <v>1200</v>
      </c>
      <c r="J231">
        <v>60</v>
      </c>
      <c r="M231" s="50">
        <v>45896</v>
      </c>
      <c r="N231" s="20">
        <f t="shared" si="16"/>
        <v>27</v>
      </c>
      <c r="O231" s="20" t="str">
        <f t="shared" si="17"/>
        <v>miércoles</v>
      </c>
      <c r="P231" s="31">
        <f t="shared" si="18"/>
        <v>8</v>
      </c>
      <c r="Q231" s="22" t="str">
        <f t="shared" si="19"/>
        <v>agosto</v>
      </c>
    </row>
    <row r="232" spans="1:19" x14ac:dyDescent="0.25">
      <c r="A232">
        <v>9</v>
      </c>
      <c r="B232" t="s">
        <v>492</v>
      </c>
      <c r="C232" t="s">
        <v>6</v>
      </c>
      <c r="D232" t="s">
        <v>504</v>
      </c>
      <c r="H232">
        <v>2060</v>
      </c>
      <c r="I232" s="19">
        <v>1200</v>
      </c>
      <c r="J232">
        <v>60</v>
      </c>
      <c r="K232" s="19">
        <v>800</v>
      </c>
      <c r="L232" s="63"/>
      <c r="M232" s="50">
        <v>45896</v>
      </c>
      <c r="N232" s="20">
        <f t="shared" si="16"/>
        <v>27</v>
      </c>
      <c r="O232" s="20" t="str">
        <f t="shared" si="17"/>
        <v>miércoles</v>
      </c>
      <c r="P232" s="31">
        <f t="shared" si="18"/>
        <v>8</v>
      </c>
      <c r="Q232" s="22" t="str">
        <f t="shared" si="19"/>
        <v>agosto</v>
      </c>
    </row>
    <row r="233" spans="1:19" x14ac:dyDescent="0.25">
      <c r="A233">
        <v>9</v>
      </c>
      <c r="B233" t="s">
        <v>493</v>
      </c>
      <c r="C233" t="s">
        <v>19</v>
      </c>
      <c r="D233" t="s">
        <v>503</v>
      </c>
      <c r="H233">
        <v>1260</v>
      </c>
      <c r="I233" s="19">
        <v>1200</v>
      </c>
      <c r="M233" s="39">
        <v>45896</v>
      </c>
      <c r="N233" s="20">
        <f t="shared" si="16"/>
        <v>27</v>
      </c>
      <c r="O233" s="20" t="str">
        <f t="shared" si="17"/>
        <v>miércoles</v>
      </c>
      <c r="P233" s="31">
        <f t="shared" si="18"/>
        <v>8</v>
      </c>
      <c r="Q233" s="22" t="str">
        <f t="shared" si="19"/>
        <v>agosto</v>
      </c>
    </row>
    <row r="234" spans="1:19" x14ac:dyDescent="0.25">
      <c r="A234">
        <v>9</v>
      </c>
      <c r="B234" t="s">
        <v>494</v>
      </c>
      <c r="C234" t="s">
        <v>155</v>
      </c>
      <c r="D234" t="s">
        <v>201</v>
      </c>
      <c r="H234">
        <v>1435</v>
      </c>
      <c r="I234" s="19">
        <v>1200</v>
      </c>
      <c r="K234">
        <v>175</v>
      </c>
      <c r="M234" s="39">
        <v>45896</v>
      </c>
      <c r="N234" s="20">
        <f t="shared" si="16"/>
        <v>27</v>
      </c>
      <c r="O234" s="20" t="str">
        <f t="shared" si="17"/>
        <v>miércoles</v>
      </c>
      <c r="P234" s="31">
        <f t="shared" si="18"/>
        <v>8</v>
      </c>
      <c r="Q234" s="22" t="str">
        <f t="shared" si="19"/>
        <v>agosto</v>
      </c>
    </row>
    <row r="235" spans="1:19" x14ac:dyDescent="0.25">
      <c r="A235">
        <v>9</v>
      </c>
      <c r="B235" t="s">
        <v>495</v>
      </c>
      <c r="C235" t="s">
        <v>155</v>
      </c>
      <c r="D235" t="s">
        <v>201</v>
      </c>
      <c r="H235">
        <v>1260</v>
      </c>
      <c r="I235">
        <v>1200</v>
      </c>
      <c r="M235" s="39">
        <v>45896</v>
      </c>
      <c r="N235" s="20">
        <f t="shared" si="16"/>
        <v>27</v>
      </c>
      <c r="O235" s="20" t="str">
        <f t="shared" si="17"/>
        <v>miércoles</v>
      </c>
      <c r="P235" s="31">
        <f t="shared" si="18"/>
        <v>8</v>
      </c>
      <c r="Q235" s="22" t="str">
        <f t="shared" si="19"/>
        <v>agosto</v>
      </c>
    </row>
    <row r="236" spans="1:19" x14ac:dyDescent="0.25">
      <c r="A236">
        <v>9</v>
      </c>
      <c r="B236" t="s">
        <v>496</v>
      </c>
      <c r="C236" t="s">
        <v>6</v>
      </c>
      <c r="D236" t="s">
        <v>279</v>
      </c>
      <c r="H236">
        <v>1260</v>
      </c>
      <c r="I236">
        <v>1200</v>
      </c>
      <c r="M236" s="39">
        <v>45896</v>
      </c>
      <c r="N236" s="20">
        <f t="shared" si="16"/>
        <v>27</v>
      </c>
      <c r="O236" s="20" t="str">
        <f t="shared" si="17"/>
        <v>miércoles</v>
      </c>
      <c r="P236" s="31">
        <f t="shared" si="18"/>
        <v>8</v>
      </c>
      <c r="Q236" s="22" t="str">
        <f t="shared" si="19"/>
        <v>agosto</v>
      </c>
      <c r="R236" t="s">
        <v>339</v>
      </c>
      <c r="S236">
        <v>5009</v>
      </c>
    </row>
    <row r="237" spans="1:19" x14ac:dyDescent="0.25">
      <c r="A237">
        <v>8</v>
      </c>
      <c r="B237" t="s">
        <v>497</v>
      </c>
      <c r="C237" t="s">
        <v>6</v>
      </c>
      <c r="D237" t="s">
        <v>498</v>
      </c>
      <c r="H237">
        <v>1410</v>
      </c>
      <c r="I237" s="19">
        <v>1200</v>
      </c>
      <c r="J237">
        <v>60</v>
      </c>
      <c r="K237" s="19">
        <v>150</v>
      </c>
      <c r="L237" s="63"/>
      <c r="M237" s="39">
        <v>45896</v>
      </c>
      <c r="N237" s="20">
        <f t="shared" si="16"/>
        <v>27</v>
      </c>
      <c r="O237" s="20" t="str">
        <f t="shared" si="17"/>
        <v>miércoles</v>
      </c>
      <c r="P237" s="31">
        <f t="shared" si="18"/>
        <v>8</v>
      </c>
      <c r="Q237" s="22" t="str">
        <f t="shared" si="19"/>
        <v>agosto</v>
      </c>
    </row>
    <row r="238" spans="1:19" x14ac:dyDescent="0.25">
      <c r="A238">
        <v>8</v>
      </c>
      <c r="B238" t="s">
        <v>499</v>
      </c>
      <c r="C238" t="s">
        <v>19</v>
      </c>
      <c r="D238" t="s">
        <v>161</v>
      </c>
      <c r="H238">
        <v>2460</v>
      </c>
      <c r="I238" s="19">
        <v>1200</v>
      </c>
      <c r="K238">
        <v>1200</v>
      </c>
      <c r="M238" s="39">
        <v>45896</v>
      </c>
      <c r="N238" s="20">
        <f t="shared" si="16"/>
        <v>27</v>
      </c>
      <c r="O238" s="20" t="str">
        <f t="shared" si="17"/>
        <v>miércoles</v>
      </c>
      <c r="P238" s="31">
        <f t="shared" si="18"/>
        <v>8</v>
      </c>
      <c r="Q238" s="22" t="str">
        <f t="shared" si="19"/>
        <v>agosto</v>
      </c>
    </row>
    <row r="239" spans="1:19" x14ac:dyDescent="0.25">
      <c r="A239">
        <v>8</v>
      </c>
      <c r="B239" t="s">
        <v>500</v>
      </c>
      <c r="C239" t="s">
        <v>19</v>
      </c>
      <c r="D239" t="s">
        <v>309</v>
      </c>
      <c r="H239">
        <v>1260</v>
      </c>
      <c r="I239" s="19">
        <v>1200</v>
      </c>
      <c r="M239" s="39">
        <v>45896</v>
      </c>
      <c r="N239" s="20">
        <f t="shared" si="16"/>
        <v>27</v>
      </c>
      <c r="O239" s="20" t="str">
        <f t="shared" si="17"/>
        <v>miércoles</v>
      </c>
      <c r="P239" s="31">
        <f t="shared" si="18"/>
        <v>8</v>
      </c>
      <c r="Q239" s="22" t="str">
        <f t="shared" si="19"/>
        <v>agosto</v>
      </c>
    </row>
    <row r="240" spans="1:19" x14ac:dyDescent="0.25">
      <c r="A240">
        <v>11</v>
      </c>
      <c r="B240" t="s">
        <v>508</v>
      </c>
      <c r="C240" t="s">
        <v>19</v>
      </c>
      <c r="D240" t="s">
        <v>453</v>
      </c>
      <c r="H240">
        <v>5270</v>
      </c>
      <c r="I240">
        <v>3750</v>
      </c>
      <c r="J240">
        <v>60</v>
      </c>
      <c r="K240">
        <v>1460</v>
      </c>
      <c r="M240" s="39">
        <v>45900</v>
      </c>
      <c r="N240" s="20">
        <f t="shared" si="16"/>
        <v>31</v>
      </c>
      <c r="O240" s="20" t="str">
        <f t="shared" si="17"/>
        <v>domingo</v>
      </c>
      <c r="P240" s="27">
        <f t="shared" si="18"/>
        <v>8</v>
      </c>
      <c r="Q240" s="22" t="str">
        <f t="shared" si="19"/>
        <v>agosto</v>
      </c>
    </row>
    <row r="241" spans="1:19" x14ac:dyDescent="0.25">
      <c r="A241">
        <v>10</v>
      </c>
      <c r="B241" t="s">
        <v>509</v>
      </c>
      <c r="C241" t="s">
        <v>19</v>
      </c>
      <c r="D241" t="s">
        <v>528</v>
      </c>
      <c r="H241">
        <v>4310</v>
      </c>
      <c r="I241">
        <v>4200</v>
      </c>
      <c r="J241">
        <v>60</v>
      </c>
      <c r="K241">
        <v>50</v>
      </c>
      <c r="M241" s="39">
        <v>45900</v>
      </c>
      <c r="N241" s="20">
        <f t="shared" si="16"/>
        <v>31</v>
      </c>
      <c r="O241" s="20" t="str">
        <f t="shared" si="17"/>
        <v>domingo</v>
      </c>
      <c r="P241" s="27">
        <f t="shared" si="18"/>
        <v>8</v>
      </c>
      <c r="Q241" s="22" t="str">
        <f t="shared" si="19"/>
        <v>agosto</v>
      </c>
    </row>
    <row r="242" spans="1:19" x14ac:dyDescent="0.25">
      <c r="A242">
        <v>10</v>
      </c>
      <c r="B242" t="s">
        <v>510</v>
      </c>
      <c r="C242" t="s">
        <v>155</v>
      </c>
      <c r="D242" t="s">
        <v>201</v>
      </c>
      <c r="H242">
        <v>2060</v>
      </c>
      <c r="I242">
        <v>1900</v>
      </c>
      <c r="J242">
        <v>60</v>
      </c>
      <c r="K242">
        <v>100</v>
      </c>
      <c r="M242" s="39">
        <v>45900</v>
      </c>
      <c r="N242" s="20">
        <f t="shared" si="16"/>
        <v>31</v>
      </c>
      <c r="O242" s="20" t="str">
        <f t="shared" si="17"/>
        <v>domingo</v>
      </c>
      <c r="P242" s="27">
        <f t="shared" si="18"/>
        <v>8</v>
      </c>
      <c r="Q242" s="22" t="str">
        <f t="shared" si="19"/>
        <v>agosto</v>
      </c>
    </row>
    <row r="243" spans="1:19" x14ac:dyDescent="0.25">
      <c r="A243">
        <v>10</v>
      </c>
      <c r="B243" t="s">
        <v>156</v>
      </c>
      <c r="C243" t="s">
        <v>6</v>
      </c>
      <c r="D243" t="s">
        <v>529</v>
      </c>
      <c r="H243">
        <v>3860</v>
      </c>
      <c r="I243">
        <v>2800</v>
      </c>
      <c r="J243">
        <v>60</v>
      </c>
      <c r="K243">
        <v>1720</v>
      </c>
      <c r="M243" s="39">
        <v>45900</v>
      </c>
      <c r="N243" s="20">
        <f t="shared" si="16"/>
        <v>31</v>
      </c>
      <c r="O243" s="20" t="str">
        <f t="shared" si="17"/>
        <v>domingo</v>
      </c>
      <c r="P243" s="27">
        <f t="shared" si="18"/>
        <v>8</v>
      </c>
      <c r="Q243" s="22" t="str">
        <f t="shared" si="19"/>
        <v>agosto</v>
      </c>
    </row>
    <row r="244" spans="1:19" x14ac:dyDescent="0.25">
      <c r="A244">
        <v>9</v>
      </c>
      <c r="B244" t="s">
        <v>511</v>
      </c>
      <c r="C244" t="s">
        <v>6</v>
      </c>
      <c r="D244" t="s">
        <v>530</v>
      </c>
      <c r="H244">
        <v>2840</v>
      </c>
      <c r="I244">
        <v>2000</v>
      </c>
      <c r="J244">
        <v>60</v>
      </c>
      <c r="K244">
        <v>780</v>
      </c>
      <c r="M244" s="39">
        <v>45900</v>
      </c>
      <c r="N244" s="20">
        <f t="shared" si="16"/>
        <v>31</v>
      </c>
      <c r="O244" s="20" t="str">
        <f t="shared" si="17"/>
        <v>domingo</v>
      </c>
      <c r="P244" s="27">
        <f t="shared" si="18"/>
        <v>8</v>
      </c>
      <c r="Q244" s="22" t="str">
        <f t="shared" si="19"/>
        <v>agosto</v>
      </c>
    </row>
    <row r="245" spans="1:19" x14ac:dyDescent="0.25">
      <c r="A245">
        <v>9</v>
      </c>
      <c r="B245" t="s">
        <v>512</v>
      </c>
      <c r="C245" t="s">
        <v>6</v>
      </c>
      <c r="D245" t="s">
        <v>513</v>
      </c>
      <c r="H245">
        <v>1890</v>
      </c>
      <c r="I245">
        <v>1730</v>
      </c>
      <c r="J245">
        <v>60</v>
      </c>
      <c r="K245">
        <v>100</v>
      </c>
      <c r="M245" s="39">
        <v>45900</v>
      </c>
      <c r="N245" s="20">
        <f t="shared" si="16"/>
        <v>31</v>
      </c>
      <c r="O245" s="20" t="str">
        <f t="shared" si="17"/>
        <v>domingo</v>
      </c>
      <c r="P245" s="27">
        <f t="shared" si="18"/>
        <v>8</v>
      </c>
      <c r="Q245" s="22" t="str">
        <f t="shared" si="19"/>
        <v>agosto</v>
      </c>
    </row>
    <row r="246" spans="1:19" x14ac:dyDescent="0.25">
      <c r="A246">
        <v>9</v>
      </c>
      <c r="B246" t="s">
        <v>514</v>
      </c>
      <c r="C246" t="s">
        <v>19</v>
      </c>
      <c r="D246" t="s">
        <v>515</v>
      </c>
      <c r="H246">
        <v>2160</v>
      </c>
      <c r="I246">
        <v>1950</v>
      </c>
      <c r="J246">
        <v>60</v>
      </c>
      <c r="K246">
        <v>150</v>
      </c>
      <c r="M246" s="39">
        <v>45900</v>
      </c>
      <c r="N246" s="20">
        <f t="shared" si="16"/>
        <v>31</v>
      </c>
      <c r="O246" s="20" t="str">
        <f t="shared" si="17"/>
        <v>domingo</v>
      </c>
      <c r="P246" s="27">
        <f t="shared" si="18"/>
        <v>8</v>
      </c>
      <c r="Q246" s="22" t="str">
        <f t="shared" si="19"/>
        <v>agosto</v>
      </c>
    </row>
    <row r="247" spans="1:19" x14ac:dyDescent="0.25">
      <c r="A247">
        <v>8</v>
      </c>
      <c r="B247" t="s">
        <v>516</v>
      </c>
      <c r="C247" t="s">
        <v>6</v>
      </c>
      <c r="D247" t="s">
        <v>531</v>
      </c>
      <c r="H247">
        <v>3820</v>
      </c>
      <c r="I247">
        <v>2080</v>
      </c>
      <c r="J247">
        <v>60</v>
      </c>
      <c r="K247">
        <v>1680</v>
      </c>
      <c r="M247" s="39">
        <v>45900</v>
      </c>
      <c r="N247" s="20">
        <f t="shared" si="16"/>
        <v>31</v>
      </c>
      <c r="O247" s="20" t="str">
        <f t="shared" si="17"/>
        <v>domingo</v>
      </c>
      <c r="P247" s="27">
        <f t="shared" si="18"/>
        <v>8</v>
      </c>
      <c r="Q247" s="22" t="str">
        <f t="shared" si="19"/>
        <v>agosto</v>
      </c>
    </row>
    <row r="248" spans="1:19" x14ac:dyDescent="0.25">
      <c r="A248">
        <v>7</v>
      </c>
      <c r="B248" t="s">
        <v>518</v>
      </c>
      <c r="C248" t="s">
        <v>6</v>
      </c>
      <c r="D248" t="s">
        <v>532</v>
      </c>
      <c r="H248">
        <v>3680</v>
      </c>
      <c r="I248">
        <v>2080</v>
      </c>
      <c r="J248">
        <v>60</v>
      </c>
      <c r="K248">
        <v>1540</v>
      </c>
      <c r="M248" s="39">
        <v>45900</v>
      </c>
      <c r="N248" s="20">
        <f t="shared" si="16"/>
        <v>31</v>
      </c>
      <c r="O248" s="20" t="str">
        <f t="shared" si="17"/>
        <v>domingo</v>
      </c>
      <c r="P248" s="27">
        <f t="shared" si="18"/>
        <v>8</v>
      </c>
      <c r="Q248" s="22" t="str">
        <f t="shared" si="19"/>
        <v>agosto</v>
      </c>
    </row>
    <row r="249" spans="1:19" x14ac:dyDescent="0.25">
      <c r="A249">
        <v>7</v>
      </c>
      <c r="B249" t="s">
        <v>519</v>
      </c>
      <c r="C249" t="s">
        <v>155</v>
      </c>
      <c r="D249" t="s">
        <v>389</v>
      </c>
      <c r="H249">
        <v>2140</v>
      </c>
      <c r="I249">
        <v>1730</v>
      </c>
      <c r="J249">
        <v>60</v>
      </c>
      <c r="K249">
        <v>350</v>
      </c>
      <c r="M249" s="39">
        <v>45900</v>
      </c>
      <c r="N249" s="20">
        <f t="shared" si="16"/>
        <v>31</v>
      </c>
      <c r="O249" s="20" t="str">
        <f t="shared" si="17"/>
        <v>domingo</v>
      </c>
      <c r="P249" s="27">
        <f t="shared" si="18"/>
        <v>8</v>
      </c>
      <c r="Q249" s="22" t="str">
        <f t="shared" si="19"/>
        <v>agosto</v>
      </c>
    </row>
    <row r="250" spans="1:19" x14ac:dyDescent="0.25">
      <c r="A250">
        <v>7</v>
      </c>
      <c r="B250" t="s">
        <v>520</v>
      </c>
      <c r="C250" t="s">
        <v>6</v>
      </c>
      <c r="D250" t="s">
        <v>533</v>
      </c>
      <c r="H250">
        <v>2850</v>
      </c>
      <c r="I250">
        <v>1730</v>
      </c>
      <c r="J250">
        <v>60</v>
      </c>
      <c r="K250">
        <v>1060</v>
      </c>
      <c r="M250" s="39">
        <v>45900</v>
      </c>
      <c r="N250" s="20">
        <f t="shared" si="16"/>
        <v>31</v>
      </c>
      <c r="O250" s="20" t="str">
        <f t="shared" si="17"/>
        <v>domingo</v>
      </c>
      <c r="P250" s="27">
        <f t="shared" si="18"/>
        <v>8</v>
      </c>
      <c r="Q250" s="22" t="str">
        <f t="shared" si="19"/>
        <v>agosto</v>
      </c>
    </row>
    <row r="251" spans="1:19" x14ac:dyDescent="0.25">
      <c r="A251">
        <v>4</v>
      </c>
      <c r="B251" t="s">
        <v>521</v>
      </c>
      <c r="C251" t="s">
        <v>19</v>
      </c>
      <c r="D251" t="s">
        <v>522</v>
      </c>
      <c r="H251">
        <v>2060</v>
      </c>
      <c r="I251">
        <v>2000</v>
      </c>
      <c r="J251">
        <v>60</v>
      </c>
      <c r="M251" s="39">
        <v>45900</v>
      </c>
      <c r="N251" s="20">
        <f t="shared" si="16"/>
        <v>31</v>
      </c>
      <c r="O251" s="20" t="str">
        <f t="shared" si="17"/>
        <v>domingo</v>
      </c>
      <c r="P251" s="27">
        <f t="shared" si="18"/>
        <v>8</v>
      </c>
      <c r="Q251" s="22" t="str">
        <f t="shared" si="19"/>
        <v>agosto</v>
      </c>
      <c r="R251" t="s">
        <v>339</v>
      </c>
      <c r="S251">
        <v>8599</v>
      </c>
    </row>
    <row r="252" spans="1:19" x14ac:dyDescent="0.25">
      <c r="A252">
        <v>4</v>
      </c>
      <c r="B252" t="s">
        <v>523</v>
      </c>
      <c r="C252" t="s">
        <v>6</v>
      </c>
      <c r="D252" t="s">
        <v>524</v>
      </c>
      <c r="H252">
        <v>1760</v>
      </c>
      <c r="I252">
        <v>1200</v>
      </c>
      <c r="J252">
        <v>60</v>
      </c>
      <c r="K252">
        <v>500</v>
      </c>
      <c r="M252" s="39">
        <v>45900</v>
      </c>
      <c r="N252" s="20">
        <f t="shared" si="16"/>
        <v>31</v>
      </c>
      <c r="O252" s="20" t="str">
        <f t="shared" si="17"/>
        <v>domingo</v>
      </c>
      <c r="P252" s="27">
        <f t="shared" si="18"/>
        <v>8</v>
      </c>
      <c r="Q252" s="22" t="str">
        <f t="shared" si="19"/>
        <v>agosto</v>
      </c>
    </row>
    <row r="253" spans="1:19" x14ac:dyDescent="0.25">
      <c r="A253">
        <v>4</v>
      </c>
      <c r="B253" t="s">
        <v>224</v>
      </c>
      <c r="C253" t="s">
        <v>6</v>
      </c>
      <c r="D253" t="s">
        <v>525</v>
      </c>
      <c r="H253">
        <v>2100</v>
      </c>
      <c r="I253">
        <v>1200</v>
      </c>
      <c r="J253">
        <v>60</v>
      </c>
      <c r="K253">
        <v>840</v>
      </c>
      <c r="M253" s="39">
        <v>45900</v>
      </c>
      <c r="N253" s="20">
        <f t="shared" si="16"/>
        <v>31</v>
      </c>
      <c r="O253" s="20" t="str">
        <f t="shared" si="17"/>
        <v>domingo</v>
      </c>
      <c r="P253" s="27">
        <f t="shared" si="18"/>
        <v>8</v>
      </c>
      <c r="Q253" s="22" t="str">
        <f t="shared" si="19"/>
        <v>agosto</v>
      </c>
      <c r="R253" t="s">
        <v>339</v>
      </c>
      <c r="S253">
        <v>10550</v>
      </c>
    </row>
    <row r="254" spans="1:19" x14ac:dyDescent="0.25">
      <c r="A254">
        <v>3</v>
      </c>
      <c r="B254" t="s">
        <v>526</v>
      </c>
      <c r="C254" t="s">
        <v>19</v>
      </c>
      <c r="D254" t="s">
        <v>522</v>
      </c>
      <c r="H254">
        <v>2790</v>
      </c>
      <c r="I254">
        <v>2050</v>
      </c>
      <c r="J254">
        <v>60</v>
      </c>
      <c r="K254">
        <v>680</v>
      </c>
      <c r="M254" s="39">
        <v>45900</v>
      </c>
      <c r="N254" s="20">
        <f t="shared" si="16"/>
        <v>31</v>
      </c>
      <c r="O254" s="20" t="str">
        <f t="shared" si="17"/>
        <v>domingo</v>
      </c>
      <c r="P254" s="27">
        <f t="shared" si="18"/>
        <v>8</v>
      </c>
      <c r="Q254" s="22" t="str">
        <f t="shared" si="19"/>
        <v>agosto</v>
      </c>
    </row>
    <row r="255" spans="1:19" x14ac:dyDescent="0.25">
      <c r="A255">
        <v>3</v>
      </c>
      <c r="B255" t="s">
        <v>527</v>
      </c>
      <c r="C255" t="s">
        <v>6</v>
      </c>
      <c r="D255" t="s">
        <v>534</v>
      </c>
      <c r="H255">
        <v>2110</v>
      </c>
      <c r="I255">
        <v>2050</v>
      </c>
      <c r="J255">
        <v>60</v>
      </c>
      <c r="M255" s="39">
        <v>45900</v>
      </c>
      <c r="N255" s="20">
        <f t="shared" si="16"/>
        <v>31</v>
      </c>
      <c r="O255" s="20" t="str">
        <f t="shared" si="17"/>
        <v>domingo</v>
      </c>
      <c r="P255" s="27">
        <f t="shared" si="18"/>
        <v>8</v>
      </c>
      <c r="Q255" s="22" t="str">
        <f t="shared" si="19"/>
        <v>agosto</v>
      </c>
    </row>
    <row r="256" spans="1:19" x14ac:dyDescent="0.25">
      <c r="A256">
        <v>12</v>
      </c>
      <c r="B256" t="s">
        <v>535</v>
      </c>
      <c r="C256" t="s">
        <v>6</v>
      </c>
      <c r="D256" t="s">
        <v>184</v>
      </c>
      <c r="H256">
        <v>1200</v>
      </c>
      <c r="I256">
        <v>1200</v>
      </c>
      <c r="M256" s="39">
        <v>45901</v>
      </c>
      <c r="N256" s="20">
        <f t="shared" si="16"/>
        <v>1</v>
      </c>
      <c r="O256" s="20" t="str">
        <f t="shared" si="17"/>
        <v>lunes</v>
      </c>
      <c r="P256" s="27">
        <f t="shared" si="18"/>
        <v>9</v>
      </c>
      <c r="Q256" s="22" t="str">
        <f t="shared" si="19"/>
        <v>septiembre</v>
      </c>
    </row>
    <row r="257" spans="1:19" x14ac:dyDescent="0.25">
      <c r="A257">
        <v>10</v>
      </c>
      <c r="B257" t="s">
        <v>536</v>
      </c>
      <c r="C257" t="s">
        <v>6</v>
      </c>
      <c r="D257" t="s">
        <v>544</v>
      </c>
      <c r="E257">
        <v>436289488</v>
      </c>
      <c r="F257" t="s">
        <v>545</v>
      </c>
      <c r="G257">
        <v>436289355</v>
      </c>
      <c r="H257">
        <v>3750</v>
      </c>
      <c r="I257">
        <v>2100</v>
      </c>
      <c r="K257">
        <v>1650</v>
      </c>
      <c r="M257" s="39">
        <v>45901</v>
      </c>
      <c r="N257" s="20">
        <f t="shared" si="16"/>
        <v>1</v>
      </c>
      <c r="O257" s="20" t="str">
        <f t="shared" si="17"/>
        <v>lunes</v>
      </c>
      <c r="P257" s="27">
        <f t="shared" si="18"/>
        <v>9</v>
      </c>
      <c r="Q257" s="22" t="str">
        <f t="shared" si="19"/>
        <v>septiembre</v>
      </c>
    </row>
    <row r="258" spans="1:19" x14ac:dyDescent="0.25">
      <c r="A258">
        <v>10</v>
      </c>
      <c r="B258" t="s">
        <v>269</v>
      </c>
      <c r="C258" t="s">
        <v>6</v>
      </c>
      <c r="D258" t="s">
        <v>545</v>
      </c>
      <c r="E258">
        <v>436286272</v>
      </c>
      <c r="H258">
        <v>2680</v>
      </c>
      <c r="I258">
        <v>1200</v>
      </c>
      <c r="K258">
        <v>1480</v>
      </c>
      <c r="M258" s="39">
        <v>45901</v>
      </c>
      <c r="N258" s="20">
        <f t="shared" ref="N258:N321" si="20">DAY(M258)</f>
        <v>1</v>
      </c>
      <c r="O258" s="20" t="str">
        <f t="shared" ref="O258:O321" si="21">TEXT(M258,"DDDD")</f>
        <v>lunes</v>
      </c>
      <c r="P258" s="27">
        <f t="shared" si="18"/>
        <v>9</v>
      </c>
      <c r="Q258" s="22" t="str">
        <f t="shared" si="19"/>
        <v>septiembre</v>
      </c>
    </row>
    <row r="259" spans="1:19" x14ac:dyDescent="0.25">
      <c r="A259">
        <v>10</v>
      </c>
      <c r="B259" t="s">
        <v>537</v>
      </c>
      <c r="C259" t="s">
        <v>6</v>
      </c>
      <c r="D259" t="s">
        <v>298</v>
      </c>
      <c r="E259">
        <v>436282103</v>
      </c>
      <c r="H259">
        <v>2700</v>
      </c>
      <c r="I259">
        <v>1200</v>
      </c>
      <c r="K259">
        <v>1500</v>
      </c>
      <c r="M259" s="39">
        <v>45901</v>
      </c>
      <c r="N259" s="20">
        <f t="shared" si="20"/>
        <v>1</v>
      </c>
      <c r="O259" s="20" t="str">
        <f t="shared" si="21"/>
        <v>lunes</v>
      </c>
      <c r="P259" s="27">
        <f t="shared" si="18"/>
        <v>9</v>
      </c>
      <c r="Q259" s="22" t="str">
        <f t="shared" si="19"/>
        <v>septiembre</v>
      </c>
    </row>
    <row r="260" spans="1:19" x14ac:dyDescent="0.25">
      <c r="A260">
        <v>9</v>
      </c>
      <c r="B260" t="s">
        <v>538</v>
      </c>
      <c r="C260" t="s">
        <v>6</v>
      </c>
      <c r="D260" t="s">
        <v>418</v>
      </c>
      <c r="E260">
        <v>436277897</v>
      </c>
      <c r="F260" t="s">
        <v>418</v>
      </c>
      <c r="G260">
        <v>436277971</v>
      </c>
      <c r="H260">
        <v>3160</v>
      </c>
      <c r="I260">
        <v>1800</v>
      </c>
      <c r="K260">
        <v>1360</v>
      </c>
      <c r="M260" s="39">
        <v>45901</v>
      </c>
      <c r="N260" s="20">
        <f t="shared" si="20"/>
        <v>1</v>
      </c>
      <c r="O260" s="20" t="str">
        <f t="shared" si="21"/>
        <v>lunes</v>
      </c>
      <c r="P260" s="27">
        <f t="shared" si="18"/>
        <v>9</v>
      </c>
      <c r="Q260" s="22" t="str">
        <f t="shared" si="19"/>
        <v>septiembre</v>
      </c>
    </row>
    <row r="261" spans="1:19" x14ac:dyDescent="0.25">
      <c r="A261">
        <v>9</v>
      </c>
      <c r="B261" t="s">
        <v>539</v>
      </c>
      <c r="C261" t="s">
        <v>19</v>
      </c>
      <c r="D261" t="s">
        <v>230</v>
      </c>
      <c r="E261">
        <v>436276271</v>
      </c>
      <c r="H261">
        <v>1490</v>
      </c>
      <c r="I261">
        <v>1250</v>
      </c>
      <c r="K261">
        <v>240</v>
      </c>
      <c r="M261" s="39">
        <v>45901</v>
      </c>
      <c r="N261" s="20">
        <f t="shared" si="20"/>
        <v>1</v>
      </c>
      <c r="O261" s="20" t="str">
        <f t="shared" si="21"/>
        <v>lunes</v>
      </c>
      <c r="P261" s="27">
        <f t="shared" si="18"/>
        <v>9</v>
      </c>
      <c r="Q261" s="22" t="str">
        <f t="shared" si="19"/>
        <v>septiembre</v>
      </c>
    </row>
    <row r="262" spans="1:19" x14ac:dyDescent="0.25">
      <c r="A262">
        <v>9</v>
      </c>
      <c r="B262" t="s">
        <v>540</v>
      </c>
      <c r="C262" t="s">
        <v>6</v>
      </c>
      <c r="D262" t="s">
        <v>547</v>
      </c>
      <c r="E262">
        <v>436273594</v>
      </c>
      <c r="F262" t="s">
        <v>548</v>
      </c>
      <c r="G262">
        <v>436274562</v>
      </c>
      <c r="H262">
        <v>3200</v>
      </c>
      <c r="M262" s="39">
        <v>45901</v>
      </c>
      <c r="N262" s="20">
        <f t="shared" si="20"/>
        <v>1</v>
      </c>
      <c r="O262" s="20" t="str">
        <f t="shared" si="21"/>
        <v>lunes</v>
      </c>
      <c r="P262" s="27">
        <f t="shared" si="18"/>
        <v>9</v>
      </c>
      <c r="Q262" s="22" t="str">
        <f t="shared" si="19"/>
        <v>septiembre</v>
      </c>
    </row>
    <row r="263" spans="1:19" x14ac:dyDescent="0.25">
      <c r="A263">
        <v>9</v>
      </c>
      <c r="B263" t="s">
        <v>541</v>
      </c>
      <c r="C263" t="s">
        <v>19</v>
      </c>
      <c r="D263" t="s">
        <v>549</v>
      </c>
      <c r="E263">
        <v>436268719</v>
      </c>
      <c r="H263">
        <v>3950</v>
      </c>
      <c r="I263">
        <v>2900</v>
      </c>
      <c r="K263">
        <v>1050</v>
      </c>
      <c r="M263" s="39">
        <v>45901</v>
      </c>
      <c r="N263" s="20">
        <f t="shared" si="20"/>
        <v>1</v>
      </c>
      <c r="O263" s="20" t="str">
        <f t="shared" si="21"/>
        <v>lunes</v>
      </c>
      <c r="P263" s="27">
        <f t="shared" si="18"/>
        <v>9</v>
      </c>
      <c r="Q263" s="22" t="str">
        <f t="shared" si="19"/>
        <v>septiembre</v>
      </c>
      <c r="R263" t="s">
        <v>339</v>
      </c>
      <c r="S263">
        <v>55114.89</v>
      </c>
    </row>
    <row r="264" spans="1:19" x14ac:dyDescent="0.25">
      <c r="A264">
        <v>8</v>
      </c>
      <c r="B264" t="s">
        <v>542</v>
      </c>
      <c r="C264" t="s">
        <v>6</v>
      </c>
      <c r="D264" t="s">
        <v>543</v>
      </c>
      <c r="E264">
        <v>436266017</v>
      </c>
      <c r="F264" t="s">
        <v>550</v>
      </c>
      <c r="G264">
        <v>436266219</v>
      </c>
      <c r="H264">
        <v>2540</v>
      </c>
      <c r="I264">
        <v>2100</v>
      </c>
      <c r="K264">
        <v>440</v>
      </c>
      <c r="M264" s="39">
        <v>45901</v>
      </c>
      <c r="N264" s="20">
        <f t="shared" si="20"/>
        <v>1</v>
      </c>
      <c r="O264" s="20" t="str">
        <f t="shared" si="21"/>
        <v>lunes</v>
      </c>
      <c r="P264" s="27">
        <f t="shared" si="18"/>
        <v>9</v>
      </c>
      <c r="Q264" s="22" t="str">
        <f t="shared" si="19"/>
        <v>septiembre</v>
      </c>
    </row>
    <row r="265" spans="1:19" x14ac:dyDescent="0.25">
      <c r="A265">
        <v>3</v>
      </c>
      <c r="B265" t="s">
        <v>468</v>
      </c>
      <c r="C265" t="s">
        <v>6</v>
      </c>
      <c r="D265" t="s">
        <v>178</v>
      </c>
      <c r="E265">
        <v>436325298</v>
      </c>
      <c r="H265">
        <v>3090</v>
      </c>
      <c r="I265" s="19">
        <v>1650</v>
      </c>
      <c r="K265" s="19">
        <v>1440</v>
      </c>
      <c r="L265" s="63"/>
      <c r="M265" s="39">
        <v>45902</v>
      </c>
      <c r="N265" s="36">
        <f t="shared" si="20"/>
        <v>2</v>
      </c>
      <c r="O265" s="25" t="str">
        <f t="shared" si="21"/>
        <v>martes</v>
      </c>
      <c r="P265" s="31">
        <f t="shared" si="18"/>
        <v>9</v>
      </c>
      <c r="Q265" s="22" t="str">
        <f t="shared" si="19"/>
        <v>septiembre</v>
      </c>
    </row>
    <row r="266" spans="1:19" x14ac:dyDescent="0.25">
      <c r="A266">
        <v>3</v>
      </c>
      <c r="B266" t="s">
        <v>469</v>
      </c>
      <c r="C266" t="s">
        <v>6</v>
      </c>
      <c r="D266" t="s">
        <v>551</v>
      </c>
      <c r="E266">
        <v>436325192</v>
      </c>
      <c r="H266">
        <v>1750</v>
      </c>
      <c r="I266" s="19">
        <v>1750</v>
      </c>
      <c r="M266" s="39">
        <v>45902</v>
      </c>
      <c r="N266" s="36">
        <f t="shared" si="20"/>
        <v>2</v>
      </c>
      <c r="O266" s="25" t="str">
        <f t="shared" si="21"/>
        <v>martes</v>
      </c>
      <c r="P266" s="31">
        <f t="shared" si="18"/>
        <v>9</v>
      </c>
      <c r="Q266" s="22" t="str">
        <f t="shared" si="19"/>
        <v>septiembre</v>
      </c>
    </row>
    <row r="267" spans="1:19" x14ac:dyDescent="0.25">
      <c r="A267">
        <v>3</v>
      </c>
      <c r="B267" t="s">
        <v>470</v>
      </c>
      <c r="C267" t="s">
        <v>19</v>
      </c>
      <c r="D267" t="s">
        <v>476</v>
      </c>
      <c r="E267">
        <v>436325112</v>
      </c>
      <c r="H267">
        <v>2300</v>
      </c>
      <c r="I267" s="19">
        <v>1300</v>
      </c>
      <c r="K267" s="19">
        <v>1000</v>
      </c>
      <c r="L267" s="63"/>
      <c r="M267" s="39">
        <v>45902</v>
      </c>
      <c r="N267" s="36">
        <f t="shared" si="20"/>
        <v>2</v>
      </c>
      <c r="O267" s="25" t="str">
        <f t="shared" si="21"/>
        <v>martes</v>
      </c>
      <c r="P267" s="31">
        <f t="shared" si="18"/>
        <v>9</v>
      </c>
      <c r="Q267" s="22" t="str">
        <f t="shared" si="19"/>
        <v>septiembre</v>
      </c>
    </row>
    <row r="268" spans="1:19" x14ac:dyDescent="0.25">
      <c r="A268">
        <v>2</v>
      </c>
      <c r="B268" t="s">
        <v>471</v>
      </c>
      <c r="C268" t="s">
        <v>6</v>
      </c>
      <c r="D268" t="s">
        <v>477</v>
      </c>
      <c r="E268">
        <v>436324765</v>
      </c>
      <c r="H268">
        <v>1600</v>
      </c>
      <c r="I268" s="19">
        <v>1600</v>
      </c>
      <c r="M268" s="39">
        <v>45902</v>
      </c>
      <c r="N268" s="36">
        <f t="shared" si="20"/>
        <v>2</v>
      </c>
      <c r="O268" s="25" t="str">
        <f t="shared" si="21"/>
        <v>martes</v>
      </c>
      <c r="P268" s="31">
        <f t="shared" si="18"/>
        <v>9</v>
      </c>
      <c r="Q268" s="22" t="str">
        <f t="shared" si="19"/>
        <v>septiembre</v>
      </c>
    </row>
    <row r="269" spans="1:19" x14ac:dyDescent="0.25">
      <c r="A269">
        <v>2</v>
      </c>
      <c r="B269" t="s">
        <v>472</v>
      </c>
      <c r="C269" t="s">
        <v>6</v>
      </c>
      <c r="D269" t="s">
        <v>478</v>
      </c>
      <c r="E269">
        <v>436324640</v>
      </c>
      <c r="F269" t="s">
        <v>478</v>
      </c>
      <c r="G269">
        <v>436324658</v>
      </c>
      <c r="H269">
        <v>3618</v>
      </c>
      <c r="I269" s="19">
        <v>1800</v>
      </c>
      <c r="K269" s="19">
        <v>1818</v>
      </c>
      <c r="L269" s="63"/>
      <c r="M269" s="39">
        <v>45902</v>
      </c>
      <c r="N269" s="36">
        <f t="shared" si="20"/>
        <v>2</v>
      </c>
      <c r="O269" s="25" t="str">
        <f t="shared" si="21"/>
        <v>martes</v>
      </c>
      <c r="P269" s="31">
        <f t="shared" ref="P269:P332" si="22">MONTH(M269)</f>
        <v>9</v>
      </c>
      <c r="Q269" s="22" t="str">
        <f t="shared" ref="Q269:Q332" si="23">TEXT(M269,"MMMM")</f>
        <v>septiembre</v>
      </c>
    </row>
    <row r="270" spans="1:19" x14ac:dyDescent="0.25">
      <c r="A270">
        <v>1</v>
      </c>
      <c r="B270" t="s">
        <v>440</v>
      </c>
      <c r="C270" t="s">
        <v>6</v>
      </c>
      <c r="D270" t="s">
        <v>241</v>
      </c>
      <c r="E270">
        <v>436324116</v>
      </c>
      <c r="H270">
        <v>2340</v>
      </c>
      <c r="I270" s="19">
        <v>1200</v>
      </c>
      <c r="K270">
        <v>1140</v>
      </c>
      <c r="M270" s="39">
        <v>45902</v>
      </c>
      <c r="N270" s="36">
        <f t="shared" si="20"/>
        <v>2</v>
      </c>
      <c r="O270" s="25" t="str">
        <f t="shared" si="21"/>
        <v>martes</v>
      </c>
      <c r="P270" s="31">
        <f t="shared" si="22"/>
        <v>9</v>
      </c>
      <c r="Q270" s="22" t="str">
        <f t="shared" si="23"/>
        <v>septiembre</v>
      </c>
    </row>
    <row r="271" spans="1:19" x14ac:dyDescent="0.25">
      <c r="A271">
        <v>1</v>
      </c>
      <c r="B271" t="s">
        <v>473</v>
      </c>
      <c r="C271" t="s">
        <v>6</v>
      </c>
      <c r="D271" t="s">
        <v>474</v>
      </c>
      <c r="E271">
        <v>436323524</v>
      </c>
      <c r="H271">
        <v>2100</v>
      </c>
      <c r="I271" s="19">
        <v>1200</v>
      </c>
      <c r="K271">
        <v>1140</v>
      </c>
      <c r="M271" s="39">
        <v>45902</v>
      </c>
      <c r="N271" s="36">
        <f t="shared" si="20"/>
        <v>2</v>
      </c>
      <c r="O271" s="25" t="str">
        <f t="shared" si="21"/>
        <v>martes</v>
      </c>
      <c r="P271" s="31">
        <f t="shared" si="22"/>
        <v>9</v>
      </c>
      <c r="Q271" s="22" t="str">
        <f t="shared" si="23"/>
        <v>septiembre</v>
      </c>
    </row>
    <row r="272" spans="1:19" x14ac:dyDescent="0.25">
      <c r="A272">
        <v>1</v>
      </c>
      <c r="B272" s="34" t="s">
        <v>475</v>
      </c>
      <c r="C272" t="s">
        <v>6</v>
      </c>
      <c r="D272" t="s">
        <v>479</v>
      </c>
      <c r="E272">
        <v>436320351</v>
      </c>
      <c r="H272">
        <v>2760</v>
      </c>
      <c r="I272" s="19">
        <v>1200</v>
      </c>
      <c r="K272">
        <v>1560</v>
      </c>
      <c r="M272" s="39">
        <v>45902</v>
      </c>
      <c r="N272" s="36">
        <f t="shared" si="20"/>
        <v>2</v>
      </c>
      <c r="O272" s="25" t="str">
        <f t="shared" si="21"/>
        <v>martes</v>
      </c>
      <c r="P272" s="31">
        <f t="shared" si="22"/>
        <v>9</v>
      </c>
      <c r="Q272" s="22" t="str">
        <f t="shared" si="23"/>
        <v>septiembre</v>
      </c>
    </row>
    <row r="273" spans="1:19" x14ac:dyDescent="0.25">
      <c r="A273">
        <v>7</v>
      </c>
      <c r="B273" t="s">
        <v>455</v>
      </c>
      <c r="C273" t="s">
        <v>6</v>
      </c>
      <c r="D273" t="s">
        <v>463</v>
      </c>
      <c r="E273">
        <v>436441870</v>
      </c>
      <c r="H273">
        <v>1620</v>
      </c>
      <c r="I273" s="19">
        <v>1200</v>
      </c>
      <c r="K273" s="19">
        <v>420</v>
      </c>
      <c r="L273" s="63"/>
      <c r="M273" s="39">
        <v>45903</v>
      </c>
      <c r="N273" s="36">
        <f t="shared" si="20"/>
        <v>3</v>
      </c>
      <c r="O273" s="25" t="str">
        <f t="shared" si="21"/>
        <v>miércoles</v>
      </c>
      <c r="P273" s="31">
        <f t="shared" si="22"/>
        <v>9</v>
      </c>
      <c r="Q273" s="22" t="str">
        <f t="shared" si="23"/>
        <v>septiembre</v>
      </c>
    </row>
    <row r="274" spans="1:19" x14ac:dyDescent="0.25">
      <c r="A274">
        <v>7</v>
      </c>
      <c r="B274" s="33" t="s">
        <v>456</v>
      </c>
      <c r="C274" t="s">
        <v>19</v>
      </c>
      <c r="D274" t="s">
        <v>457</v>
      </c>
      <c r="E274">
        <v>436438101</v>
      </c>
      <c r="H274">
        <v>2940</v>
      </c>
      <c r="I274" s="19">
        <v>2300</v>
      </c>
      <c r="K274" s="19">
        <v>640</v>
      </c>
      <c r="L274" s="63"/>
      <c r="M274" s="39">
        <v>45903</v>
      </c>
      <c r="N274" s="36">
        <f t="shared" si="20"/>
        <v>3</v>
      </c>
      <c r="O274" s="25" t="str">
        <f t="shared" si="21"/>
        <v>miércoles</v>
      </c>
      <c r="P274" s="31">
        <f t="shared" si="22"/>
        <v>9</v>
      </c>
      <c r="Q274" s="22" t="str">
        <f t="shared" si="23"/>
        <v>septiembre</v>
      </c>
    </row>
    <row r="275" spans="1:19" x14ac:dyDescent="0.25">
      <c r="A275">
        <v>7</v>
      </c>
      <c r="B275" s="35">
        <v>0.51666666666666672</v>
      </c>
      <c r="C275" t="s">
        <v>6</v>
      </c>
      <c r="D275" t="s">
        <v>458</v>
      </c>
      <c r="E275">
        <v>436433381</v>
      </c>
      <c r="H275">
        <v>1200</v>
      </c>
      <c r="I275" s="19">
        <v>1200</v>
      </c>
      <c r="M275" s="39">
        <v>45903</v>
      </c>
      <c r="N275" s="36">
        <f t="shared" si="20"/>
        <v>3</v>
      </c>
      <c r="O275" s="25" t="str">
        <f t="shared" si="21"/>
        <v>miércoles</v>
      </c>
      <c r="P275" s="31">
        <f t="shared" si="22"/>
        <v>9</v>
      </c>
      <c r="Q275" s="22" t="str">
        <f t="shared" si="23"/>
        <v>septiembre</v>
      </c>
    </row>
    <row r="276" spans="1:19" x14ac:dyDescent="0.25">
      <c r="A276">
        <v>6</v>
      </c>
      <c r="B276" t="s">
        <v>459</v>
      </c>
      <c r="C276" t="s">
        <v>6</v>
      </c>
      <c r="D276" t="s">
        <v>464</v>
      </c>
      <c r="E276">
        <v>436431444</v>
      </c>
      <c r="H276">
        <v>1600</v>
      </c>
      <c r="I276" s="19">
        <v>1200</v>
      </c>
      <c r="K276" s="19">
        <v>400</v>
      </c>
      <c r="L276" s="63"/>
      <c r="M276" s="39">
        <v>45903</v>
      </c>
      <c r="N276" s="36">
        <f t="shared" si="20"/>
        <v>3</v>
      </c>
      <c r="O276" s="25" t="str">
        <f t="shared" si="21"/>
        <v>miércoles</v>
      </c>
      <c r="P276" s="31">
        <f t="shared" si="22"/>
        <v>9</v>
      </c>
      <c r="Q276" s="22" t="str">
        <f t="shared" si="23"/>
        <v>septiembre</v>
      </c>
    </row>
    <row r="277" spans="1:19" x14ac:dyDescent="0.25">
      <c r="A277">
        <v>6</v>
      </c>
      <c r="B277" t="s">
        <v>552</v>
      </c>
      <c r="C277" t="s">
        <v>155</v>
      </c>
      <c r="D277" t="s">
        <v>201</v>
      </c>
      <c r="E277">
        <v>436430411</v>
      </c>
      <c r="H277">
        <v>1445</v>
      </c>
      <c r="I277" s="19">
        <v>1200</v>
      </c>
      <c r="K277" s="19">
        <v>245</v>
      </c>
      <c r="L277" s="63"/>
      <c r="M277" s="39">
        <v>45903</v>
      </c>
      <c r="N277" s="36">
        <f t="shared" si="20"/>
        <v>3</v>
      </c>
      <c r="O277" s="25" t="str">
        <f t="shared" si="21"/>
        <v>miércoles</v>
      </c>
      <c r="P277" s="31">
        <f t="shared" si="22"/>
        <v>9</v>
      </c>
      <c r="Q277" s="22" t="str">
        <f t="shared" si="23"/>
        <v>septiembre</v>
      </c>
    </row>
    <row r="278" spans="1:19" x14ac:dyDescent="0.25">
      <c r="A278">
        <v>5</v>
      </c>
      <c r="B278" t="s">
        <v>460</v>
      </c>
      <c r="C278" t="s">
        <v>19</v>
      </c>
      <c r="D278" t="s">
        <v>465</v>
      </c>
      <c r="E278">
        <v>436425071</v>
      </c>
      <c r="H278">
        <v>2980</v>
      </c>
      <c r="I278" s="19">
        <v>1800</v>
      </c>
      <c r="K278" s="19">
        <v>1180</v>
      </c>
      <c r="L278" s="63"/>
      <c r="M278" s="39">
        <v>45903</v>
      </c>
      <c r="N278" s="36">
        <f t="shared" si="20"/>
        <v>3</v>
      </c>
      <c r="O278" s="25" t="str">
        <f t="shared" si="21"/>
        <v>miércoles</v>
      </c>
      <c r="P278" s="31">
        <f t="shared" si="22"/>
        <v>9</v>
      </c>
      <c r="Q278" s="22" t="str">
        <f t="shared" si="23"/>
        <v>septiembre</v>
      </c>
    </row>
    <row r="279" spans="1:19" x14ac:dyDescent="0.25">
      <c r="A279">
        <v>5</v>
      </c>
      <c r="B279" t="s">
        <v>461</v>
      </c>
      <c r="C279" t="s">
        <v>6</v>
      </c>
      <c r="D279" t="s">
        <v>466</v>
      </c>
      <c r="E279">
        <v>436424524</v>
      </c>
      <c r="H279">
        <v>1200</v>
      </c>
      <c r="I279" s="19">
        <v>1200</v>
      </c>
      <c r="M279" s="39">
        <v>45903</v>
      </c>
      <c r="N279" s="36">
        <f t="shared" si="20"/>
        <v>3</v>
      </c>
      <c r="O279" s="25" t="str">
        <f t="shared" si="21"/>
        <v>miércoles</v>
      </c>
      <c r="P279" s="31">
        <f t="shared" si="22"/>
        <v>9</v>
      </c>
      <c r="Q279" s="22" t="str">
        <f t="shared" si="23"/>
        <v>septiembre</v>
      </c>
    </row>
    <row r="280" spans="1:19" x14ac:dyDescent="0.25">
      <c r="A280">
        <v>5</v>
      </c>
      <c r="B280" t="s">
        <v>462</v>
      </c>
      <c r="C280" t="s">
        <v>19</v>
      </c>
      <c r="D280" t="s">
        <v>467</v>
      </c>
      <c r="E280">
        <v>436423944</v>
      </c>
      <c r="H280">
        <v>1551</v>
      </c>
      <c r="I280" s="19">
        <v>1550</v>
      </c>
      <c r="K280" s="19">
        <v>1</v>
      </c>
      <c r="L280" s="63"/>
      <c r="M280" s="39">
        <v>45903</v>
      </c>
      <c r="N280" s="36">
        <f t="shared" si="20"/>
        <v>3</v>
      </c>
      <c r="O280" s="25" t="str">
        <f t="shared" si="21"/>
        <v>miércoles</v>
      </c>
      <c r="P280" s="31">
        <f t="shared" si="22"/>
        <v>9</v>
      </c>
      <c r="Q280" s="22" t="str">
        <f t="shared" si="23"/>
        <v>septiembre</v>
      </c>
    </row>
    <row r="281" spans="1:19" x14ac:dyDescent="0.25">
      <c r="A281">
        <v>12</v>
      </c>
      <c r="B281" s="32" t="s">
        <v>349</v>
      </c>
      <c r="C281" t="s">
        <v>6</v>
      </c>
      <c r="D281" t="s">
        <v>350</v>
      </c>
      <c r="E281">
        <v>436623953</v>
      </c>
      <c r="H281">
        <v>1200</v>
      </c>
      <c r="I281" s="19"/>
      <c r="J281" s="19"/>
      <c r="K281" s="19"/>
      <c r="L281" s="63"/>
      <c r="M281" s="51">
        <v>45904</v>
      </c>
      <c r="N281" s="25">
        <f t="shared" si="20"/>
        <v>4</v>
      </c>
      <c r="O281" s="25" t="str">
        <f t="shared" si="21"/>
        <v>jueves</v>
      </c>
      <c r="P281" s="31">
        <f t="shared" si="22"/>
        <v>9</v>
      </c>
      <c r="Q281" s="22" t="str">
        <f t="shared" si="23"/>
        <v>septiembre</v>
      </c>
    </row>
    <row r="282" spans="1:19" x14ac:dyDescent="0.25">
      <c r="A282">
        <v>12</v>
      </c>
      <c r="B282" t="s">
        <v>351</v>
      </c>
      <c r="C282" t="s">
        <v>6</v>
      </c>
      <c r="D282" t="s">
        <v>352</v>
      </c>
      <c r="E282">
        <v>436618315</v>
      </c>
      <c r="F282" t="s">
        <v>553</v>
      </c>
      <c r="G282">
        <v>436618571</v>
      </c>
      <c r="H282">
        <v>3020</v>
      </c>
      <c r="I282" s="19">
        <v>2100</v>
      </c>
      <c r="J282" s="19"/>
      <c r="K282" s="19">
        <v>920</v>
      </c>
      <c r="L282" s="63"/>
      <c r="M282" s="51">
        <v>45904</v>
      </c>
      <c r="N282" s="25">
        <f t="shared" si="20"/>
        <v>4</v>
      </c>
      <c r="O282" s="25" t="str">
        <f t="shared" si="21"/>
        <v>jueves</v>
      </c>
      <c r="P282" s="31">
        <f t="shared" si="22"/>
        <v>9</v>
      </c>
      <c r="Q282" s="22" t="str">
        <f t="shared" si="23"/>
        <v>septiembre</v>
      </c>
    </row>
    <row r="283" spans="1:19" x14ac:dyDescent="0.25">
      <c r="A283">
        <v>12</v>
      </c>
      <c r="B283" t="s">
        <v>340</v>
      </c>
      <c r="C283" t="s">
        <v>6</v>
      </c>
      <c r="D283" t="s">
        <v>341</v>
      </c>
      <c r="E283">
        <v>436609562</v>
      </c>
      <c r="H283">
        <v>2490</v>
      </c>
      <c r="I283" s="19">
        <v>1950</v>
      </c>
      <c r="J283" s="19"/>
      <c r="K283" s="19">
        <v>540</v>
      </c>
      <c r="L283" s="63"/>
      <c r="M283" s="51">
        <v>45904</v>
      </c>
      <c r="N283" s="25">
        <f t="shared" si="20"/>
        <v>4</v>
      </c>
      <c r="O283" s="25" t="str">
        <f t="shared" si="21"/>
        <v>jueves</v>
      </c>
      <c r="P283" s="31">
        <f t="shared" si="22"/>
        <v>9</v>
      </c>
      <c r="Q283" s="22" t="str">
        <f t="shared" si="23"/>
        <v>septiembre</v>
      </c>
    </row>
    <row r="284" spans="1:19" x14ac:dyDescent="0.25">
      <c r="A284">
        <v>11</v>
      </c>
      <c r="B284" t="s">
        <v>345</v>
      </c>
      <c r="C284" t="s">
        <v>19</v>
      </c>
      <c r="D284" t="s">
        <v>354</v>
      </c>
      <c r="E284">
        <v>436572566</v>
      </c>
      <c r="H284">
        <v>1500</v>
      </c>
      <c r="I284" s="19">
        <v>1500</v>
      </c>
      <c r="J284" s="19"/>
      <c r="K284" s="19"/>
      <c r="L284" s="63"/>
      <c r="M284" s="51">
        <v>45904</v>
      </c>
      <c r="N284" s="25">
        <f t="shared" si="20"/>
        <v>4</v>
      </c>
      <c r="O284" s="25" t="str">
        <f t="shared" si="21"/>
        <v>jueves</v>
      </c>
      <c r="P284" s="31">
        <f t="shared" si="22"/>
        <v>9</v>
      </c>
      <c r="Q284" s="22" t="str">
        <f t="shared" si="23"/>
        <v>septiembre</v>
      </c>
    </row>
    <row r="285" spans="1:19" x14ac:dyDescent="0.25">
      <c r="A285">
        <v>11</v>
      </c>
      <c r="B285" t="s">
        <v>342</v>
      </c>
      <c r="C285" t="s">
        <v>19</v>
      </c>
      <c r="D285" t="s">
        <v>195</v>
      </c>
      <c r="E285">
        <v>436602376</v>
      </c>
      <c r="F285" t="s">
        <v>195</v>
      </c>
      <c r="G285">
        <v>436602126</v>
      </c>
      <c r="H285">
        <v>2300</v>
      </c>
      <c r="I285" s="19">
        <v>1800</v>
      </c>
      <c r="J285" s="19"/>
      <c r="K285" s="19">
        <v>500</v>
      </c>
      <c r="L285" s="63"/>
      <c r="M285" s="51">
        <v>45904</v>
      </c>
      <c r="N285" s="25">
        <f t="shared" si="20"/>
        <v>4</v>
      </c>
      <c r="O285" s="25" t="str">
        <f t="shared" si="21"/>
        <v>jueves</v>
      </c>
      <c r="P285" s="31">
        <f t="shared" si="22"/>
        <v>9</v>
      </c>
      <c r="Q285" s="22" t="str">
        <f t="shared" si="23"/>
        <v>septiembre</v>
      </c>
    </row>
    <row r="286" spans="1:19" x14ac:dyDescent="0.25">
      <c r="A286">
        <v>11</v>
      </c>
      <c r="B286" t="s">
        <v>343</v>
      </c>
      <c r="C286" t="s">
        <v>6</v>
      </c>
      <c r="D286" t="s">
        <v>353</v>
      </c>
      <c r="E286">
        <v>436591735</v>
      </c>
      <c r="H286">
        <v>1200</v>
      </c>
      <c r="I286" s="19">
        <v>1200</v>
      </c>
      <c r="J286" s="19"/>
      <c r="K286" s="19"/>
      <c r="L286" s="63"/>
      <c r="M286" s="51">
        <v>45904</v>
      </c>
      <c r="N286" s="25">
        <f t="shared" si="20"/>
        <v>4</v>
      </c>
      <c r="O286" s="25" t="str">
        <f t="shared" si="21"/>
        <v>jueves</v>
      </c>
      <c r="P286" s="31">
        <f t="shared" si="22"/>
        <v>9</v>
      </c>
      <c r="Q286" s="22" t="str">
        <f t="shared" si="23"/>
        <v>septiembre</v>
      </c>
    </row>
    <row r="287" spans="1:19" x14ac:dyDescent="0.25">
      <c r="A287">
        <v>11</v>
      </c>
      <c r="B287" t="s">
        <v>344</v>
      </c>
      <c r="C287" t="s">
        <v>6</v>
      </c>
      <c r="D287" t="s">
        <v>195</v>
      </c>
      <c r="E287">
        <v>436588696</v>
      </c>
      <c r="H287">
        <v>1550</v>
      </c>
      <c r="I287" s="19">
        <v>1550</v>
      </c>
      <c r="J287" s="19"/>
      <c r="K287" s="19"/>
      <c r="L287" s="63"/>
      <c r="M287" s="51">
        <v>45904</v>
      </c>
      <c r="N287" s="25">
        <f t="shared" si="20"/>
        <v>4</v>
      </c>
      <c r="O287" s="25" t="str">
        <f t="shared" si="21"/>
        <v>jueves</v>
      </c>
      <c r="P287" s="31">
        <f t="shared" si="22"/>
        <v>9</v>
      </c>
      <c r="Q287" s="22" t="str">
        <f t="shared" si="23"/>
        <v>septiembre</v>
      </c>
    </row>
    <row r="288" spans="1:19" x14ac:dyDescent="0.25">
      <c r="A288">
        <v>10</v>
      </c>
      <c r="B288" t="s">
        <v>347</v>
      </c>
      <c r="C288" t="s">
        <v>6</v>
      </c>
      <c r="D288" t="s">
        <v>348</v>
      </c>
      <c r="E288">
        <v>436623953</v>
      </c>
      <c r="H288">
        <v>1200</v>
      </c>
      <c r="I288" s="19">
        <v>1200</v>
      </c>
      <c r="J288" s="19"/>
      <c r="K288" s="19"/>
      <c r="L288" s="63"/>
      <c r="M288" s="51">
        <v>45904</v>
      </c>
      <c r="N288" s="25">
        <f t="shared" si="20"/>
        <v>4</v>
      </c>
      <c r="O288" s="25" t="str">
        <f t="shared" si="21"/>
        <v>jueves</v>
      </c>
      <c r="P288" s="31">
        <f t="shared" si="22"/>
        <v>9</v>
      </c>
      <c r="Q288" s="22" t="str">
        <f t="shared" si="23"/>
        <v>septiembre</v>
      </c>
      <c r="R288" t="s">
        <v>339</v>
      </c>
      <c r="S288">
        <v>19800</v>
      </c>
    </row>
    <row r="289" spans="1:20" x14ac:dyDescent="0.25">
      <c r="A289">
        <v>10</v>
      </c>
      <c r="B289" t="s">
        <v>346</v>
      </c>
      <c r="C289" t="s">
        <v>19</v>
      </c>
      <c r="D289" t="s">
        <v>355</v>
      </c>
      <c r="E289">
        <v>436576766</v>
      </c>
      <c r="H289">
        <v>2050</v>
      </c>
      <c r="I289" s="19">
        <v>1550</v>
      </c>
      <c r="J289" s="19"/>
      <c r="K289" s="19">
        <v>500</v>
      </c>
      <c r="L289" s="63"/>
      <c r="M289" s="51">
        <v>45904</v>
      </c>
      <c r="N289" s="25">
        <f t="shared" si="20"/>
        <v>4</v>
      </c>
      <c r="O289" s="25" t="str">
        <f t="shared" si="21"/>
        <v>jueves</v>
      </c>
      <c r="P289" s="31">
        <f t="shared" si="22"/>
        <v>9</v>
      </c>
      <c r="Q289" s="22" t="str">
        <f t="shared" si="23"/>
        <v>septiembre</v>
      </c>
    </row>
    <row r="290" spans="1:20" x14ac:dyDescent="0.25">
      <c r="A290">
        <v>12</v>
      </c>
      <c r="B290" t="s">
        <v>609</v>
      </c>
      <c r="C290" t="s">
        <v>6</v>
      </c>
      <c r="D290" t="s">
        <v>157</v>
      </c>
      <c r="E290">
        <v>436741007</v>
      </c>
      <c r="H290">
        <v>1510</v>
      </c>
      <c r="I290" s="19">
        <v>1200</v>
      </c>
      <c r="K290">
        <v>310</v>
      </c>
      <c r="M290" s="39">
        <v>45905</v>
      </c>
      <c r="N290" s="25">
        <f t="shared" si="20"/>
        <v>5</v>
      </c>
      <c r="O290" s="25" t="str">
        <f t="shared" si="21"/>
        <v>viernes</v>
      </c>
      <c r="P290" s="27">
        <f t="shared" si="22"/>
        <v>9</v>
      </c>
      <c r="Q290" s="22" t="str">
        <f t="shared" si="23"/>
        <v>septiembre</v>
      </c>
    </row>
    <row r="291" spans="1:20" x14ac:dyDescent="0.25">
      <c r="A291">
        <v>12</v>
      </c>
      <c r="B291" t="s">
        <v>610</v>
      </c>
      <c r="C291" t="s">
        <v>19</v>
      </c>
      <c r="D291" t="s">
        <v>617</v>
      </c>
      <c r="E291">
        <v>436737321</v>
      </c>
      <c r="H291">
        <v>1650</v>
      </c>
      <c r="I291" s="19">
        <v>1650</v>
      </c>
      <c r="M291" s="39">
        <v>45905</v>
      </c>
      <c r="N291" s="25">
        <f t="shared" si="20"/>
        <v>5</v>
      </c>
      <c r="O291" s="25" t="str">
        <f t="shared" si="21"/>
        <v>viernes</v>
      </c>
      <c r="P291" s="27">
        <f t="shared" si="22"/>
        <v>9</v>
      </c>
      <c r="Q291" s="22" t="str">
        <f t="shared" si="23"/>
        <v>septiembre</v>
      </c>
    </row>
    <row r="292" spans="1:20" x14ac:dyDescent="0.25">
      <c r="A292">
        <v>12</v>
      </c>
      <c r="B292" t="s">
        <v>611</v>
      </c>
      <c r="C292" t="s">
        <v>6</v>
      </c>
      <c r="D292" t="s">
        <v>618</v>
      </c>
      <c r="E292">
        <v>436730661</v>
      </c>
      <c r="H292">
        <v>1950</v>
      </c>
      <c r="I292" s="19">
        <v>1200</v>
      </c>
      <c r="K292">
        <v>750</v>
      </c>
      <c r="M292" s="39">
        <v>45905</v>
      </c>
      <c r="N292" s="25">
        <f t="shared" si="20"/>
        <v>5</v>
      </c>
      <c r="O292" s="25" t="str">
        <f t="shared" si="21"/>
        <v>viernes</v>
      </c>
      <c r="P292" s="27">
        <f t="shared" si="22"/>
        <v>9</v>
      </c>
      <c r="Q292" s="22" t="str">
        <f t="shared" si="23"/>
        <v>septiembre</v>
      </c>
    </row>
    <row r="293" spans="1:20" x14ac:dyDescent="0.25">
      <c r="A293">
        <v>10</v>
      </c>
      <c r="B293" t="s">
        <v>612</v>
      </c>
      <c r="C293" t="s">
        <v>6</v>
      </c>
      <c r="D293" t="s">
        <v>560</v>
      </c>
      <c r="E293">
        <v>436706387</v>
      </c>
      <c r="F293" t="s">
        <v>619</v>
      </c>
      <c r="H293">
        <v>7440</v>
      </c>
      <c r="I293" s="19">
        <v>3400</v>
      </c>
      <c r="K293">
        <v>4040</v>
      </c>
      <c r="M293" s="39">
        <v>45905</v>
      </c>
      <c r="N293" s="25">
        <f t="shared" si="20"/>
        <v>5</v>
      </c>
      <c r="O293" s="25" t="str">
        <f t="shared" si="21"/>
        <v>viernes</v>
      </c>
      <c r="P293" s="27">
        <f t="shared" si="22"/>
        <v>9</v>
      </c>
      <c r="Q293" s="22" t="str">
        <f t="shared" si="23"/>
        <v>septiembre</v>
      </c>
    </row>
    <row r="294" spans="1:20" x14ac:dyDescent="0.25">
      <c r="A294">
        <v>10</v>
      </c>
      <c r="B294" t="s">
        <v>613</v>
      </c>
      <c r="C294" t="s">
        <v>6</v>
      </c>
      <c r="D294" t="s">
        <v>620</v>
      </c>
      <c r="E294">
        <v>436695629</v>
      </c>
      <c r="F294" t="s">
        <v>621</v>
      </c>
      <c r="G294">
        <v>436695527</v>
      </c>
      <c r="H294">
        <v>5100</v>
      </c>
      <c r="I294" s="19">
        <v>2100</v>
      </c>
      <c r="K294">
        <v>3000</v>
      </c>
      <c r="M294" s="39">
        <v>45905</v>
      </c>
      <c r="N294" s="25">
        <f t="shared" si="20"/>
        <v>5</v>
      </c>
      <c r="O294" s="25" t="str">
        <f t="shared" si="21"/>
        <v>viernes</v>
      </c>
      <c r="P294" s="27">
        <f t="shared" si="22"/>
        <v>9</v>
      </c>
      <c r="Q294" s="22" t="str">
        <f t="shared" si="23"/>
        <v>septiembre</v>
      </c>
    </row>
    <row r="295" spans="1:20" x14ac:dyDescent="0.25">
      <c r="A295">
        <v>9</v>
      </c>
      <c r="B295" t="s">
        <v>570</v>
      </c>
      <c r="C295" t="s">
        <v>19</v>
      </c>
      <c r="D295" t="s">
        <v>464</v>
      </c>
      <c r="E295">
        <v>436683774</v>
      </c>
      <c r="H295">
        <v>3520</v>
      </c>
      <c r="I295" s="19">
        <v>2600</v>
      </c>
      <c r="K295">
        <v>920</v>
      </c>
      <c r="M295" s="39">
        <v>45905</v>
      </c>
      <c r="N295" s="25">
        <f t="shared" si="20"/>
        <v>5</v>
      </c>
      <c r="O295" s="25" t="str">
        <f t="shared" si="21"/>
        <v>viernes</v>
      </c>
      <c r="P295" s="27">
        <f t="shared" si="22"/>
        <v>9</v>
      </c>
      <c r="Q295" s="22" t="str">
        <f t="shared" si="23"/>
        <v>septiembre</v>
      </c>
    </row>
    <row r="296" spans="1:20" x14ac:dyDescent="0.25">
      <c r="A296">
        <v>9</v>
      </c>
      <c r="B296" t="s">
        <v>614</v>
      </c>
      <c r="C296" t="s">
        <v>19</v>
      </c>
      <c r="D296" t="s">
        <v>161</v>
      </c>
      <c r="E296">
        <v>436682275</v>
      </c>
      <c r="H296">
        <v>3900</v>
      </c>
      <c r="I296" s="19">
        <v>2850</v>
      </c>
      <c r="K296">
        <v>1050</v>
      </c>
      <c r="M296" s="39">
        <v>45905</v>
      </c>
      <c r="N296" s="25">
        <f t="shared" si="20"/>
        <v>5</v>
      </c>
      <c r="O296" s="25" t="str">
        <f t="shared" si="21"/>
        <v>viernes</v>
      </c>
      <c r="P296" s="27">
        <f t="shared" si="22"/>
        <v>9</v>
      </c>
      <c r="Q296" s="22" t="str">
        <f t="shared" si="23"/>
        <v>septiembre</v>
      </c>
    </row>
    <row r="297" spans="1:20" x14ac:dyDescent="0.25">
      <c r="A297">
        <v>8</v>
      </c>
      <c r="B297" t="s">
        <v>615</v>
      </c>
      <c r="C297" t="s">
        <v>6</v>
      </c>
      <c r="D297" t="s">
        <v>616</v>
      </c>
      <c r="E297">
        <v>436680024</v>
      </c>
      <c r="H297">
        <v>2440</v>
      </c>
      <c r="I297" s="19">
        <v>1200</v>
      </c>
      <c r="K297">
        <v>1240</v>
      </c>
      <c r="M297" s="39">
        <v>45905</v>
      </c>
      <c r="N297" s="25">
        <f t="shared" si="20"/>
        <v>5</v>
      </c>
      <c r="O297" s="25" t="str">
        <f t="shared" si="21"/>
        <v>viernes</v>
      </c>
      <c r="P297" s="27">
        <f t="shared" si="22"/>
        <v>9</v>
      </c>
      <c r="Q297" s="22" t="str">
        <f t="shared" si="23"/>
        <v>septiembre</v>
      </c>
    </row>
    <row r="298" spans="1:20" x14ac:dyDescent="0.25">
      <c r="A298">
        <v>3</v>
      </c>
      <c r="B298" t="s">
        <v>213</v>
      </c>
      <c r="C298" t="s">
        <v>6</v>
      </c>
      <c r="D298" t="s">
        <v>631</v>
      </c>
      <c r="E298">
        <v>436763561</v>
      </c>
      <c r="H298">
        <v>2300</v>
      </c>
      <c r="I298" s="19">
        <v>1200</v>
      </c>
      <c r="K298">
        <v>1100</v>
      </c>
      <c r="M298" s="39">
        <v>45906</v>
      </c>
      <c r="N298" s="25">
        <f t="shared" si="20"/>
        <v>6</v>
      </c>
      <c r="O298" s="25" t="str">
        <f t="shared" si="21"/>
        <v>sábado</v>
      </c>
      <c r="P298" s="27">
        <f t="shared" si="22"/>
        <v>9</v>
      </c>
      <c r="Q298" s="22" t="str">
        <f t="shared" si="23"/>
        <v>septiembre</v>
      </c>
    </row>
    <row r="299" spans="1:20" x14ac:dyDescent="0.25">
      <c r="A299">
        <v>3</v>
      </c>
      <c r="B299" t="s">
        <v>622</v>
      </c>
      <c r="C299" t="s">
        <v>6</v>
      </c>
      <c r="D299" t="s">
        <v>371</v>
      </c>
      <c r="E299">
        <v>436763380</v>
      </c>
      <c r="H299">
        <v>3100</v>
      </c>
      <c r="I299" s="19">
        <v>1600</v>
      </c>
      <c r="K299">
        <v>1500</v>
      </c>
      <c r="M299" s="39">
        <v>45906</v>
      </c>
      <c r="N299" s="25">
        <f t="shared" si="20"/>
        <v>6</v>
      </c>
      <c r="O299" s="25" t="str">
        <f t="shared" si="21"/>
        <v>sábado</v>
      </c>
      <c r="P299" s="27">
        <f t="shared" si="22"/>
        <v>9</v>
      </c>
      <c r="Q299" s="22" t="str">
        <f t="shared" si="23"/>
        <v>septiembre</v>
      </c>
    </row>
    <row r="300" spans="1:20" x14ac:dyDescent="0.25">
      <c r="A300">
        <v>3</v>
      </c>
      <c r="B300" t="s">
        <v>623</v>
      </c>
      <c r="C300" t="s">
        <v>6</v>
      </c>
      <c r="D300" t="s">
        <v>183</v>
      </c>
      <c r="E300">
        <v>436763308</v>
      </c>
      <c r="H300">
        <v>1400</v>
      </c>
      <c r="I300" s="19">
        <v>1200</v>
      </c>
      <c r="K300">
        <v>200</v>
      </c>
      <c r="M300" s="39">
        <v>45906</v>
      </c>
      <c r="N300" s="25">
        <f t="shared" si="20"/>
        <v>6</v>
      </c>
      <c r="O300" s="25" t="str">
        <f t="shared" si="21"/>
        <v>sábado</v>
      </c>
      <c r="P300" s="27">
        <f t="shared" si="22"/>
        <v>9</v>
      </c>
      <c r="Q300" s="22" t="str">
        <f t="shared" si="23"/>
        <v>septiembre</v>
      </c>
    </row>
    <row r="301" spans="1:20" x14ac:dyDescent="0.25">
      <c r="A301">
        <v>3</v>
      </c>
      <c r="B301" t="s">
        <v>624</v>
      </c>
      <c r="C301" t="s">
        <v>6</v>
      </c>
      <c r="D301" t="s">
        <v>625</v>
      </c>
      <c r="E301">
        <v>436763133</v>
      </c>
      <c r="H301">
        <v>2680</v>
      </c>
      <c r="I301" s="19">
        <v>1200</v>
      </c>
      <c r="K301">
        <v>1480</v>
      </c>
      <c r="M301" s="39">
        <v>45906</v>
      </c>
      <c r="N301" s="25">
        <f t="shared" si="20"/>
        <v>6</v>
      </c>
      <c r="O301" s="25" t="str">
        <f t="shared" si="21"/>
        <v>sábado</v>
      </c>
      <c r="P301" s="27">
        <f t="shared" si="22"/>
        <v>9</v>
      </c>
      <c r="Q301" s="22" t="str">
        <f t="shared" si="23"/>
        <v>septiembre</v>
      </c>
    </row>
    <row r="302" spans="1:20" x14ac:dyDescent="0.25">
      <c r="A302">
        <v>3</v>
      </c>
      <c r="B302" t="s">
        <v>626</v>
      </c>
      <c r="C302" t="s">
        <v>6</v>
      </c>
      <c r="D302" t="s">
        <v>632</v>
      </c>
      <c r="E302">
        <v>436762863</v>
      </c>
      <c r="H302">
        <v>2300</v>
      </c>
      <c r="I302" s="19">
        <v>1300</v>
      </c>
      <c r="K302">
        <v>1000</v>
      </c>
      <c r="M302" s="39">
        <v>45906</v>
      </c>
      <c r="N302" s="25">
        <f t="shared" si="20"/>
        <v>6</v>
      </c>
      <c r="O302" s="25" t="str">
        <f t="shared" si="21"/>
        <v>sábado</v>
      </c>
      <c r="P302" s="27">
        <f t="shared" si="22"/>
        <v>9</v>
      </c>
      <c r="Q302" s="22" t="str">
        <f t="shared" si="23"/>
        <v>septiembre</v>
      </c>
    </row>
    <row r="303" spans="1:20" s="19" customFormat="1" x14ac:dyDescent="0.25">
      <c r="A303">
        <v>2</v>
      </c>
      <c r="B303" t="s">
        <v>627</v>
      </c>
      <c r="C303" t="s">
        <v>6</v>
      </c>
      <c r="D303" t="s">
        <v>633</v>
      </c>
      <c r="E303">
        <v>436762567</v>
      </c>
      <c r="F303"/>
      <c r="G303"/>
      <c r="H303">
        <v>2400</v>
      </c>
      <c r="I303" s="19">
        <v>1400</v>
      </c>
      <c r="J303"/>
      <c r="K303">
        <v>1000</v>
      </c>
      <c r="L303" s="62"/>
      <c r="M303" s="39">
        <v>45906</v>
      </c>
      <c r="N303" s="25">
        <f t="shared" si="20"/>
        <v>6</v>
      </c>
      <c r="O303" s="25" t="str">
        <f t="shared" si="21"/>
        <v>sábado</v>
      </c>
      <c r="P303" s="27">
        <f t="shared" si="22"/>
        <v>9</v>
      </c>
      <c r="Q303" s="22" t="str">
        <f t="shared" si="23"/>
        <v>septiembre</v>
      </c>
      <c r="R303"/>
      <c r="S303"/>
      <c r="T303"/>
    </row>
    <row r="304" spans="1:20" x14ac:dyDescent="0.25">
      <c r="A304">
        <v>2</v>
      </c>
      <c r="B304" t="s">
        <v>179</v>
      </c>
      <c r="C304" t="s">
        <v>6</v>
      </c>
      <c r="D304" t="s">
        <v>415</v>
      </c>
      <c r="E304">
        <v>436762166</v>
      </c>
      <c r="H304">
        <v>1200</v>
      </c>
      <c r="I304" s="19">
        <v>1200</v>
      </c>
      <c r="M304" s="39">
        <v>45906</v>
      </c>
      <c r="N304" s="25">
        <f t="shared" si="20"/>
        <v>6</v>
      </c>
      <c r="O304" s="25" t="str">
        <f t="shared" si="21"/>
        <v>sábado</v>
      </c>
      <c r="P304" s="27">
        <f t="shared" si="22"/>
        <v>9</v>
      </c>
      <c r="Q304" s="22" t="str">
        <f t="shared" si="23"/>
        <v>septiembre</v>
      </c>
    </row>
    <row r="305" spans="1:19" x14ac:dyDescent="0.25">
      <c r="A305">
        <v>2</v>
      </c>
      <c r="B305" t="s">
        <v>628</v>
      </c>
      <c r="C305" t="s">
        <v>19</v>
      </c>
      <c r="D305" t="s">
        <v>634</v>
      </c>
      <c r="E305">
        <v>436761720</v>
      </c>
      <c r="H305">
        <v>2080</v>
      </c>
      <c r="I305" s="19">
        <v>1400</v>
      </c>
      <c r="K305">
        <v>680</v>
      </c>
      <c r="M305" s="39">
        <v>45906</v>
      </c>
      <c r="N305" s="25">
        <f t="shared" si="20"/>
        <v>6</v>
      </c>
      <c r="O305" s="25" t="str">
        <f t="shared" si="21"/>
        <v>sábado</v>
      </c>
      <c r="P305" s="27">
        <f t="shared" si="22"/>
        <v>9</v>
      </c>
      <c r="Q305" s="22" t="str">
        <f t="shared" si="23"/>
        <v>septiembre</v>
      </c>
    </row>
    <row r="306" spans="1:19" x14ac:dyDescent="0.25">
      <c r="A306">
        <v>2</v>
      </c>
      <c r="B306" t="s">
        <v>629</v>
      </c>
      <c r="C306" t="s">
        <v>6</v>
      </c>
      <c r="D306" t="s">
        <v>635</v>
      </c>
      <c r="E306">
        <v>436761451</v>
      </c>
      <c r="H306">
        <v>1200</v>
      </c>
      <c r="I306" s="19">
        <v>1200</v>
      </c>
      <c r="M306" s="39">
        <v>45906</v>
      </c>
      <c r="N306" s="25">
        <f t="shared" si="20"/>
        <v>6</v>
      </c>
      <c r="O306" s="25" t="str">
        <f t="shared" si="21"/>
        <v>sábado</v>
      </c>
      <c r="P306" s="27">
        <f t="shared" si="22"/>
        <v>9</v>
      </c>
      <c r="Q306" s="22" t="str">
        <f t="shared" si="23"/>
        <v>septiembre</v>
      </c>
    </row>
    <row r="307" spans="1:19" x14ac:dyDescent="0.25">
      <c r="A307">
        <v>2</v>
      </c>
      <c r="B307" t="s">
        <v>438</v>
      </c>
      <c r="C307" t="s">
        <v>6</v>
      </c>
      <c r="D307" t="s">
        <v>195</v>
      </c>
      <c r="E307">
        <v>436760482</v>
      </c>
      <c r="F307" t="s">
        <v>195</v>
      </c>
      <c r="G307">
        <v>436760615</v>
      </c>
      <c r="H307">
        <v>3900</v>
      </c>
      <c r="I307" s="19">
        <v>1800</v>
      </c>
      <c r="K307">
        <v>2100</v>
      </c>
      <c r="M307" s="39">
        <v>45906</v>
      </c>
      <c r="N307" s="25">
        <f t="shared" si="20"/>
        <v>6</v>
      </c>
      <c r="O307" s="25" t="str">
        <f t="shared" si="21"/>
        <v>sábado</v>
      </c>
      <c r="P307" s="27">
        <f t="shared" si="22"/>
        <v>9</v>
      </c>
      <c r="Q307" s="22" t="str">
        <f t="shared" si="23"/>
        <v>septiembre</v>
      </c>
    </row>
    <row r="308" spans="1:19" x14ac:dyDescent="0.25">
      <c r="A308">
        <v>1</v>
      </c>
      <c r="B308" t="s">
        <v>441</v>
      </c>
      <c r="C308" t="s">
        <v>6</v>
      </c>
      <c r="D308" t="s">
        <v>630</v>
      </c>
      <c r="E308">
        <v>436738880</v>
      </c>
      <c r="H308">
        <v>1500</v>
      </c>
      <c r="M308" s="39">
        <v>45906</v>
      </c>
      <c r="N308" s="25">
        <f t="shared" si="20"/>
        <v>6</v>
      </c>
      <c r="O308" s="25" t="str">
        <f t="shared" si="21"/>
        <v>sábado</v>
      </c>
      <c r="P308" s="27">
        <f t="shared" si="22"/>
        <v>9</v>
      </c>
      <c r="Q308" s="22" t="str">
        <f t="shared" si="23"/>
        <v>septiembre</v>
      </c>
    </row>
    <row r="309" spans="1:19" x14ac:dyDescent="0.25">
      <c r="A309">
        <v>12</v>
      </c>
      <c r="B309" t="s">
        <v>648</v>
      </c>
      <c r="C309" t="s">
        <v>6</v>
      </c>
      <c r="D309" t="s">
        <v>543</v>
      </c>
      <c r="E309">
        <v>437008695</v>
      </c>
      <c r="F309" t="s">
        <v>647</v>
      </c>
      <c r="G309">
        <v>437008950</v>
      </c>
      <c r="H309">
        <v>3390</v>
      </c>
      <c r="I309" s="19">
        <v>2350</v>
      </c>
      <c r="K309">
        <v>1040</v>
      </c>
      <c r="M309" s="39" t="s">
        <v>651</v>
      </c>
      <c r="N309" s="25">
        <f t="shared" si="20"/>
        <v>7</v>
      </c>
      <c r="O309" s="25" t="str">
        <f t="shared" si="21"/>
        <v>domingo</v>
      </c>
      <c r="P309" s="27">
        <f t="shared" si="22"/>
        <v>9</v>
      </c>
      <c r="Q309" s="22" t="str">
        <f t="shared" si="23"/>
        <v>septiembre</v>
      </c>
    </row>
    <row r="310" spans="1:19" x14ac:dyDescent="0.25">
      <c r="A310">
        <v>12</v>
      </c>
      <c r="B310" t="s">
        <v>649</v>
      </c>
      <c r="C310" t="s">
        <v>19</v>
      </c>
      <c r="D310" t="s">
        <v>652</v>
      </c>
      <c r="E310">
        <v>436999876</v>
      </c>
      <c r="H310">
        <v>2201</v>
      </c>
      <c r="K310">
        <v>1</v>
      </c>
      <c r="M310" s="39" t="s">
        <v>651</v>
      </c>
      <c r="N310" s="25">
        <f t="shared" si="20"/>
        <v>7</v>
      </c>
      <c r="O310" s="25" t="str">
        <f t="shared" si="21"/>
        <v>domingo</v>
      </c>
      <c r="P310" s="27">
        <f t="shared" si="22"/>
        <v>9</v>
      </c>
      <c r="Q310" s="22" t="str">
        <f t="shared" si="23"/>
        <v>septiembre</v>
      </c>
    </row>
    <row r="311" spans="1:19" x14ac:dyDescent="0.25">
      <c r="A311">
        <v>12</v>
      </c>
      <c r="B311" t="s">
        <v>650</v>
      </c>
      <c r="C311" t="s">
        <v>6</v>
      </c>
      <c r="D311" t="s">
        <v>373</v>
      </c>
      <c r="E311">
        <v>436981503</v>
      </c>
      <c r="F311" t="s">
        <v>653</v>
      </c>
      <c r="G311">
        <v>436969978</v>
      </c>
      <c r="H311">
        <v>1850</v>
      </c>
      <c r="M311" s="39" t="s">
        <v>651</v>
      </c>
      <c r="N311" s="25">
        <f t="shared" si="20"/>
        <v>7</v>
      </c>
      <c r="O311" s="25" t="str">
        <f t="shared" si="21"/>
        <v>domingo</v>
      </c>
      <c r="P311" s="27">
        <f t="shared" si="22"/>
        <v>9</v>
      </c>
      <c r="Q311" s="22" t="str">
        <f t="shared" si="23"/>
        <v>septiembre</v>
      </c>
    </row>
    <row r="312" spans="1:19" x14ac:dyDescent="0.25">
      <c r="A312">
        <v>2</v>
      </c>
      <c r="B312" t="s">
        <v>636</v>
      </c>
      <c r="C312" t="s">
        <v>6</v>
      </c>
      <c r="D312" t="s">
        <v>641</v>
      </c>
      <c r="E312">
        <v>437018290</v>
      </c>
      <c r="H312">
        <v>2700</v>
      </c>
      <c r="I312" s="19">
        <v>1200</v>
      </c>
      <c r="K312">
        <v>1500</v>
      </c>
      <c r="M312" s="39">
        <v>45908</v>
      </c>
      <c r="N312" s="25">
        <f t="shared" si="20"/>
        <v>8</v>
      </c>
      <c r="O312" s="25" t="str">
        <f t="shared" si="21"/>
        <v>lunes</v>
      </c>
      <c r="P312" s="27">
        <f t="shared" si="22"/>
        <v>9</v>
      </c>
      <c r="Q312" s="22" t="str">
        <f t="shared" si="23"/>
        <v>septiembre</v>
      </c>
    </row>
    <row r="313" spans="1:19" x14ac:dyDescent="0.25">
      <c r="A313">
        <v>2</v>
      </c>
      <c r="B313" t="s">
        <v>637</v>
      </c>
      <c r="C313" t="s">
        <v>6</v>
      </c>
      <c r="D313" t="s">
        <v>642</v>
      </c>
      <c r="E313">
        <v>437017251</v>
      </c>
      <c r="F313" t="s">
        <v>643</v>
      </c>
      <c r="G313">
        <v>437017209</v>
      </c>
      <c r="H313">
        <v>3420</v>
      </c>
      <c r="I313" s="19">
        <v>2100</v>
      </c>
      <c r="K313">
        <v>1320</v>
      </c>
      <c r="M313" s="39">
        <v>45908</v>
      </c>
      <c r="N313" s="25">
        <f t="shared" si="20"/>
        <v>8</v>
      </c>
      <c r="O313" s="25" t="str">
        <f t="shared" si="21"/>
        <v>lunes</v>
      </c>
      <c r="P313" s="27">
        <f t="shared" si="22"/>
        <v>9</v>
      </c>
      <c r="Q313" s="22" t="str">
        <f t="shared" si="23"/>
        <v>septiembre</v>
      </c>
    </row>
    <row r="314" spans="1:19" x14ac:dyDescent="0.25">
      <c r="A314">
        <v>1</v>
      </c>
      <c r="B314" t="s">
        <v>638</v>
      </c>
      <c r="C314" t="s">
        <v>19</v>
      </c>
      <c r="D314" t="s">
        <v>644</v>
      </c>
      <c r="E314">
        <v>437017087</v>
      </c>
      <c r="H314">
        <v>1900</v>
      </c>
      <c r="I314" s="19">
        <v>1200</v>
      </c>
      <c r="K314">
        <v>700</v>
      </c>
      <c r="M314" s="39">
        <v>45908</v>
      </c>
      <c r="N314" s="25">
        <f t="shared" si="20"/>
        <v>8</v>
      </c>
      <c r="O314" s="25" t="str">
        <f t="shared" si="21"/>
        <v>lunes</v>
      </c>
      <c r="P314" s="27">
        <f t="shared" si="22"/>
        <v>9</v>
      </c>
      <c r="Q314" s="22" t="str">
        <f t="shared" si="23"/>
        <v>septiembre</v>
      </c>
    </row>
    <row r="315" spans="1:19" x14ac:dyDescent="0.25">
      <c r="A315">
        <v>1</v>
      </c>
      <c r="B315" t="s">
        <v>639</v>
      </c>
      <c r="C315" t="s">
        <v>19</v>
      </c>
      <c r="D315" t="s">
        <v>178</v>
      </c>
      <c r="E315">
        <v>437016214</v>
      </c>
      <c r="H315">
        <v>1800</v>
      </c>
      <c r="I315" s="19">
        <v>1500</v>
      </c>
      <c r="K315">
        <v>300</v>
      </c>
      <c r="M315" s="39">
        <v>45908</v>
      </c>
      <c r="N315" s="25">
        <f t="shared" si="20"/>
        <v>8</v>
      </c>
      <c r="O315" s="25" t="str">
        <f t="shared" si="21"/>
        <v>lunes</v>
      </c>
      <c r="P315" s="27">
        <f t="shared" si="22"/>
        <v>9</v>
      </c>
      <c r="Q315" s="22" t="str">
        <f t="shared" si="23"/>
        <v>septiembre</v>
      </c>
    </row>
    <row r="316" spans="1:19" x14ac:dyDescent="0.25">
      <c r="A316">
        <v>1</v>
      </c>
      <c r="B316" t="s">
        <v>640</v>
      </c>
      <c r="C316" t="s">
        <v>6</v>
      </c>
      <c r="D316" t="s">
        <v>645</v>
      </c>
      <c r="E316">
        <v>437015298</v>
      </c>
      <c r="H316">
        <v>1500</v>
      </c>
      <c r="I316" s="19">
        <v>1200</v>
      </c>
      <c r="K316">
        <v>300</v>
      </c>
      <c r="M316" s="39">
        <v>45908</v>
      </c>
      <c r="N316" s="25">
        <f t="shared" si="20"/>
        <v>8</v>
      </c>
      <c r="O316" s="25" t="str">
        <f t="shared" si="21"/>
        <v>lunes</v>
      </c>
      <c r="P316" s="27">
        <f t="shared" si="22"/>
        <v>9</v>
      </c>
      <c r="Q316" s="22" t="str">
        <f t="shared" si="23"/>
        <v>septiembre</v>
      </c>
    </row>
    <row r="317" spans="1:19" x14ac:dyDescent="0.25">
      <c r="A317">
        <v>5</v>
      </c>
      <c r="B317" t="s">
        <v>654</v>
      </c>
      <c r="C317" t="s">
        <v>6</v>
      </c>
      <c r="D317" t="s">
        <v>655</v>
      </c>
      <c r="E317">
        <v>437115158</v>
      </c>
      <c r="H317">
        <v>1540</v>
      </c>
      <c r="I317" s="19">
        <v>1200</v>
      </c>
      <c r="K317">
        <v>340</v>
      </c>
      <c r="M317" s="39" t="s">
        <v>662</v>
      </c>
      <c r="N317" s="25">
        <f t="shared" si="20"/>
        <v>9</v>
      </c>
      <c r="O317" s="25" t="str">
        <f t="shared" si="21"/>
        <v>martes</v>
      </c>
      <c r="P317" s="27">
        <f t="shared" si="22"/>
        <v>9</v>
      </c>
      <c r="Q317" s="22" t="str">
        <f t="shared" si="23"/>
        <v>septiembre</v>
      </c>
      <c r="R317" t="s">
        <v>339</v>
      </c>
      <c r="S317">
        <v>7820</v>
      </c>
    </row>
    <row r="318" spans="1:19" x14ac:dyDescent="0.25">
      <c r="A318">
        <v>5</v>
      </c>
      <c r="B318" t="s">
        <v>656</v>
      </c>
      <c r="C318" t="s">
        <v>19</v>
      </c>
      <c r="D318" t="s">
        <v>161</v>
      </c>
      <c r="E318">
        <v>437113634</v>
      </c>
      <c r="H318">
        <v>3830</v>
      </c>
      <c r="I318" s="19">
        <v>2450</v>
      </c>
      <c r="K318">
        <v>1380</v>
      </c>
      <c r="M318" s="39" t="s">
        <v>662</v>
      </c>
      <c r="N318" s="25">
        <f t="shared" si="20"/>
        <v>9</v>
      </c>
      <c r="O318" s="25" t="str">
        <f t="shared" si="21"/>
        <v>martes</v>
      </c>
      <c r="P318" s="27">
        <f t="shared" si="22"/>
        <v>9</v>
      </c>
      <c r="Q318" s="22" t="str">
        <f t="shared" si="23"/>
        <v>septiembre</v>
      </c>
    </row>
    <row r="319" spans="1:19" x14ac:dyDescent="0.25">
      <c r="A319">
        <v>5</v>
      </c>
      <c r="B319" t="s">
        <v>657</v>
      </c>
      <c r="C319" t="s">
        <v>6</v>
      </c>
      <c r="D319" t="s">
        <v>658</v>
      </c>
      <c r="E319">
        <v>437113343</v>
      </c>
      <c r="H319">
        <v>1600</v>
      </c>
      <c r="I319" s="19">
        <v>1200</v>
      </c>
      <c r="K319">
        <v>400</v>
      </c>
      <c r="M319" s="39" t="s">
        <v>662</v>
      </c>
      <c r="N319" s="25">
        <f t="shared" si="20"/>
        <v>9</v>
      </c>
      <c r="O319" s="25" t="str">
        <f t="shared" si="21"/>
        <v>martes</v>
      </c>
      <c r="P319" s="27">
        <f t="shared" si="22"/>
        <v>9</v>
      </c>
      <c r="Q319" s="22" t="str">
        <f t="shared" si="23"/>
        <v>septiembre</v>
      </c>
      <c r="R319" t="s">
        <v>339</v>
      </c>
      <c r="S319">
        <v>9770</v>
      </c>
    </row>
    <row r="320" spans="1:19" x14ac:dyDescent="0.25">
      <c r="A320">
        <v>5</v>
      </c>
      <c r="B320" t="s">
        <v>436</v>
      </c>
      <c r="C320" t="s">
        <v>19</v>
      </c>
      <c r="D320" t="s">
        <v>230</v>
      </c>
      <c r="E320">
        <v>437112883</v>
      </c>
      <c r="H320">
        <v>1760</v>
      </c>
      <c r="I320" s="19">
        <v>1200</v>
      </c>
      <c r="K320">
        <v>560</v>
      </c>
      <c r="M320" s="39" t="s">
        <v>662</v>
      </c>
      <c r="N320" s="25">
        <f t="shared" si="20"/>
        <v>9</v>
      </c>
      <c r="O320" s="25" t="str">
        <f t="shared" si="21"/>
        <v>martes</v>
      </c>
      <c r="P320" s="27">
        <f t="shared" si="22"/>
        <v>9</v>
      </c>
      <c r="Q320" s="22" t="str">
        <f t="shared" si="23"/>
        <v>septiembre</v>
      </c>
    </row>
    <row r="321" spans="1:19" x14ac:dyDescent="0.25">
      <c r="A321">
        <v>5</v>
      </c>
      <c r="B321" t="s">
        <v>659</v>
      </c>
      <c r="C321" t="s">
        <v>19</v>
      </c>
      <c r="D321" t="s">
        <v>663</v>
      </c>
      <c r="E321">
        <v>437112176</v>
      </c>
      <c r="H321">
        <v>1950</v>
      </c>
      <c r="I321" s="19">
        <v>1950</v>
      </c>
      <c r="M321" s="39" t="s">
        <v>662</v>
      </c>
      <c r="N321" s="25">
        <f t="shared" si="20"/>
        <v>9</v>
      </c>
      <c r="O321" s="25" t="str">
        <f t="shared" si="21"/>
        <v>martes</v>
      </c>
      <c r="P321" s="27">
        <f t="shared" si="22"/>
        <v>9</v>
      </c>
      <c r="Q321" s="22" t="str">
        <f t="shared" si="23"/>
        <v>septiembre</v>
      </c>
    </row>
    <row r="322" spans="1:19" x14ac:dyDescent="0.25">
      <c r="A322">
        <v>4</v>
      </c>
      <c r="B322" t="s">
        <v>660</v>
      </c>
      <c r="C322" t="s">
        <v>6</v>
      </c>
      <c r="D322" t="s">
        <v>661</v>
      </c>
      <c r="E322">
        <v>437111948</v>
      </c>
      <c r="H322">
        <v>2170</v>
      </c>
      <c r="I322" s="19">
        <v>1350</v>
      </c>
      <c r="K322">
        <v>820</v>
      </c>
      <c r="M322" s="39" t="s">
        <v>662</v>
      </c>
      <c r="N322" s="25">
        <f t="shared" ref="N322:N385" si="24">DAY(M322)</f>
        <v>9</v>
      </c>
      <c r="O322" s="25" t="str">
        <f t="shared" ref="O322:O385" si="25">TEXT(M322,"DDDD")</f>
        <v>martes</v>
      </c>
      <c r="P322" s="27">
        <f t="shared" si="22"/>
        <v>9</v>
      </c>
      <c r="Q322" s="22" t="str">
        <f t="shared" si="23"/>
        <v>septiembre</v>
      </c>
    </row>
    <row r="323" spans="1:19" x14ac:dyDescent="0.25">
      <c r="A323">
        <v>12</v>
      </c>
      <c r="B323" t="s">
        <v>664</v>
      </c>
      <c r="C323" t="s">
        <v>6</v>
      </c>
      <c r="D323" t="s">
        <v>669</v>
      </c>
      <c r="E323">
        <v>437318867</v>
      </c>
      <c r="H323">
        <v>1550</v>
      </c>
      <c r="I323" s="19">
        <v>1200</v>
      </c>
      <c r="K323">
        <v>350</v>
      </c>
      <c r="M323" s="39" t="s">
        <v>668</v>
      </c>
      <c r="N323" s="25">
        <f t="shared" si="24"/>
        <v>10</v>
      </c>
      <c r="O323" s="25" t="str">
        <f t="shared" si="25"/>
        <v>miércoles</v>
      </c>
      <c r="P323" s="27">
        <f t="shared" si="22"/>
        <v>9</v>
      </c>
      <c r="Q323" s="22" t="str">
        <f t="shared" si="23"/>
        <v>septiembre</v>
      </c>
    </row>
    <row r="324" spans="1:19" x14ac:dyDescent="0.25">
      <c r="A324">
        <v>12</v>
      </c>
      <c r="B324" t="s">
        <v>646</v>
      </c>
      <c r="C324" t="s">
        <v>19</v>
      </c>
      <c r="D324" t="s">
        <v>670</v>
      </c>
      <c r="E324">
        <v>437314992</v>
      </c>
      <c r="H324">
        <v>1200</v>
      </c>
      <c r="I324" s="19">
        <v>1200</v>
      </c>
      <c r="M324" s="39" t="s">
        <v>668</v>
      </c>
      <c r="N324" s="25">
        <f t="shared" si="24"/>
        <v>10</v>
      </c>
      <c r="O324" s="25" t="str">
        <f t="shared" si="25"/>
        <v>miércoles</v>
      </c>
      <c r="P324" s="27">
        <f t="shared" si="22"/>
        <v>9</v>
      </c>
      <c r="Q324" s="22" t="str">
        <f t="shared" si="23"/>
        <v>septiembre</v>
      </c>
    </row>
    <row r="325" spans="1:19" x14ac:dyDescent="0.25">
      <c r="A325">
        <v>12</v>
      </c>
      <c r="B325" t="s">
        <v>582</v>
      </c>
      <c r="C325" t="s">
        <v>6</v>
      </c>
      <c r="D325" t="s">
        <v>671</v>
      </c>
      <c r="E325">
        <v>437313718</v>
      </c>
      <c r="H325">
        <v>2040</v>
      </c>
      <c r="I325" s="19">
        <v>1200</v>
      </c>
      <c r="K325">
        <v>840</v>
      </c>
      <c r="M325" s="39" t="s">
        <v>668</v>
      </c>
      <c r="N325" s="25">
        <f t="shared" si="24"/>
        <v>10</v>
      </c>
      <c r="O325" s="25" t="str">
        <f t="shared" si="25"/>
        <v>miércoles</v>
      </c>
      <c r="P325" s="27">
        <f t="shared" si="22"/>
        <v>9</v>
      </c>
      <c r="Q325" s="22" t="str">
        <f t="shared" si="23"/>
        <v>septiembre</v>
      </c>
    </row>
    <row r="326" spans="1:19" x14ac:dyDescent="0.25">
      <c r="A326">
        <v>12</v>
      </c>
      <c r="B326" t="s">
        <v>665</v>
      </c>
      <c r="C326" t="s">
        <v>6</v>
      </c>
      <c r="D326" t="s">
        <v>672</v>
      </c>
      <c r="E326">
        <v>437312482</v>
      </c>
      <c r="H326">
        <v>1200</v>
      </c>
      <c r="I326" s="19">
        <v>1200</v>
      </c>
      <c r="M326" s="39" t="s">
        <v>668</v>
      </c>
      <c r="N326" s="25">
        <f t="shared" si="24"/>
        <v>10</v>
      </c>
      <c r="O326" s="25" t="str">
        <f t="shared" si="25"/>
        <v>miércoles</v>
      </c>
      <c r="P326" s="27">
        <f t="shared" si="22"/>
        <v>9</v>
      </c>
      <c r="Q326" s="22" t="str">
        <f t="shared" si="23"/>
        <v>septiembre</v>
      </c>
    </row>
    <row r="327" spans="1:19" x14ac:dyDescent="0.25">
      <c r="A327">
        <v>12</v>
      </c>
      <c r="B327" t="s">
        <v>666</v>
      </c>
      <c r="C327" t="s">
        <v>6</v>
      </c>
      <c r="D327" t="s">
        <v>533</v>
      </c>
      <c r="E327">
        <v>437302424</v>
      </c>
      <c r="H327">
        <v>1200</v>
      </c>
      <c r="I327" s="19">
        <v>1200</v>
      </c>
      <c r="M327" s="39" t="s">
        <v>668</v>
      </c>
      <c r="N327" s="25">
        <f t="shared" si="24"/>
        <v>10</v>
      </c>
      <c r="O327" s="25" t="str">
        <f t="shared" si="25"/>
        <v>miércoles</v>
      </c>
      <c r="P327" s="27">
        <f t="shared" si="22"/>
        <v>9</v>
      </c>
      <c r="Q327" s="22" t="str">
        <f t="shared" si="23"/>
        <v>septiembre</v>
      </c>
    </row>
    <row r="328" spans="1:19" x14ac:dyDescent="0.25">
      <c r="A328">
        <v>11</v>
      </c>
      <c r="B328" t="s">
        <v>274</v>
      </c>
      <c r="C328" t="s">
        <v>6</v>
      </c>
      <c r="D328" t="s">
        <v>673</v>
      </c>
      <c r="E328">
        <v>437293550</v>
      </c>
      <c r="H328">
        <v>2660</v>
      </c>
      <c r="I328" s="19">
        <v>1200</v>
      </c>
      <c r="K328">
        <v>1460</v>
      </c>
      <c r="M328" s="39" t="s">
        <v>668</v>
      </c>
      <c r="N328" s="25">
        <f t="shared" si="24"/>
        <v>10</v>
      </c>
      <c r="O328" s="25" t="str">
        <f t="shared" si="25"/>
        <v>miércoles</v>
      </c>
      <c r="P328" s="27">
        <f t="shared" si="22"/>
        <v>9</v>
      </c>
      <c r="Q328" s="22" t="str">
        <f t="shared" si="23"/>
        <v>septiembre</v>
      </c>
    </row>
    <row r="329" spans="1:19" x14ac:dyDescent="0.25">
      <c r="A329">
        <v>11</v>
      </c>
      <c r="B329" t="s">
        <v>225</v>
      </c>
      <c r="C329" t="s">
        <v>19</v>
      </c>
      <c r="D329" t="s">
        <v>24</v>
      </c>
      <c r="E329">
        <v>437275202</v>
      </c>
      <c r="H329">
        <v>2050</v>
      </c>
      <c r="I329" s="19">
        <v>1750</v>
      </c>
      <c r="K329">
        <v>300</v>
      </c>
      <c r="M329" s="39" t="s">
        <v>668</v>
      </c>
      <c r="N329" s="25">
        <f t="shared" si="24"/>
        <v>10</v>
      </c>
      <c r="O329" s="25" t="str">
        <f t="shared" si="25"/>
        <v>miércoles</v>
      </c>
      <c r="P329" s="27">
        <f t="shared" si="22"/>
        <v>9</v>
      </c>
      <c r="Q329" s="22" t="str">
        <f t="shared" si="23"/>
        <v>septiembre</v>
      </c>
      <c r="R329" t="s">
        <v>339</v>
      </c>
      <c r="S329">
        <v>8103</v>
      </c>
    </row>
    <row r="330" spans="1:19" x14ac:dyDescent="0.25">
      <c r="A330">
        <v>11</v>
      </c>
      <c r="B330" t="s">
        <v>667</v>
      </c>
      <c r="C330" t="s">
        <v>19</v>
      </c>
      <c r="D330" t="s">
        <v>457</v>
      </c>
      <c r="E330">
        <v>437280687</v>
      </c>
      <c r="F330" t="s">
        <v>674</v>
      </c>
      <c r="G330">
        <v>437282112</v>
      </c>
      <c r="H330">
        <v>3840</v>
      </c>
      <c r="I330" s="19">
        <v>3000</v>
      </c>
      <c r="K330">
        <v>840</v>
      </c>
      <c r="M330" s="39" t="s">
        <v>668</v>
      </c>
      <c r="N330" s="25">
        <f t="shared" si="24"/>
        <v>10</v>
      </c>
      <c r="O330" s="25" t="str">
        <f t="shared" si="25"/>
        <v>miércoles</v>
      </c>
      <c r="P330" s="27">
        <f t="shared" si="22"/>
        <v>9</v>
      </c>
      <c r="Q330" s="22" t="str">
        <f t="shared" si="23"/>
        <v>septiembre</v>
      </c>
    </row>
    <row r="331" spans="1:19" x14ac:dyDescent="0.25">
      <c r="A331">
        <v>10</v>
      </c>
      <c r="B331" t="s">
        <v>570</v>
      </c>
      <c r="C331" t="s">
        <v>155</v>
      </c>
      <c r="D331" t="s">
        <v>675</v>
      </c>
      <c r="E331">
        <v>437271172</v>
      </c>
      <c r="H331">
        <v>1950</v>
      </c>
      <c r="I331" s="19">
        <v>1600</v>
      </c>
      <c r="K331">
        <v>350</v>
      </c>
      <c r="M331" s="39" t="s">
        <v>668</v>
      </c>
      <c r="N331" s="25">
        <f t="shared" si="24"/>
        <v>10</v>
      </c>
      <c r="O331" s="25" t="str">
        <f t="shared" si="25"/>
        <v>miércoles</v>
      </c>
      <c r="P331" s="27">
        <f t="shared" si="22"/>
        <v>9</v>
      </c>
      <c r="Q331" s="22" t="str">
        <f t="shared" si="23"/>
        <v>septiembre</v>
      </c>
    </row>
    <row r="332" spans="1:19" x14ac:dyDescent="0.25">
      <c r="A332">
        <v>12</v>
      </c>
      <c r="B332" t="s">
        <v>676</v>
      </c>
      <c r="C332" t="s">
        <v>6</v>
      </c>
      <c r="D332" t="s">
        <v>677</v>
      </c>
      <c r="E332">
        <v>437424093</v>
      </c>
      <c r="H332">
        <v>3030</v>
      </c>
      <c r="I332" s="19">
        <v>1450</v>
      </c>
      <c r="K332">
        <v>1580</v>
      </c>
      <c r="M332" s="39" t="s">
        <v>685</v>
      </c>
      <c r="N332" s="25">
        <f t="shared" si="24"/>
        <v>11</v>
      </c>
      <c r="O332" s="25" t="str">
        <f t="shared" si="25"/>
        <v>jueves</v>
      </c>
      <c r="P332" s="27">
        <f t="shared" si="22"/>
        <v>9</v>
      </c>
      <c r="Q332" s="22" t="str">
        <f t="shared" si="23"/>
        <v>septiembre</v>
      </c>
    </row>
    <row r="333" spans="1:19" x14ac:dyDescent="0.25">
      <c r="A333">
        <v>1</v>
      </c>
      <c r="B333" t="s">
        <v>182</v>
      </c>
      <c r="C333" t="s">
        <v>6</v>
      </c>
      <c r="D333" t="s">
        <v>241</v>
      </c>
      <c r="E333">
        <v>437323499</v>
      </c>
      <c r="H333">
        <v>2040</v>
      </c>
      <c r="I333" s="19">
        <v>1200</v>
      </c>
      <c r="K333">
        <v>840</v>
      </c>
      <c r="M333" s="39" t="s">
        <v>685</v>
      </c>
      <c r="N333" s="25">
        <f t="shared" si="24"/>
        <v>11</v>
      </c>
      <c r="O333" s="25" t="str">
        <f t="shared" si="25"/>
        <v>jueves</v>
      </c>
      <c r="P333" s="27">
        <f t="shared" ref="P333:P396" si="26">MONTH(M333)</f>
        <v>9</v>
      </c>
      <c r="Q333" s="22" t="str">
        <f t="shared" ref="Q333:Q396" si="27">TEXT(M333,"MMMM")</f>
        <v>septiembre</v>
      </c>
    </row>
    <row r="334" spans="1:19" x14ac:dyDescent="0.25">
      <c r="A334">
        <v>1</v>
      </c>
      <c r="B334" t="s">
        <v>678</v>
      </c>
      <c r="C334" t="s">
        <v>6</v>
      </c>
      <c r="D334" t="s">
        <v>683</v>
      </c>
      <c r="E334">
        <v>437323188</v>
      </c>
      <c r="F334" t="s">
        <v>684</v>
      </c>
      <c r="H334">
        <v>3280</v>
      </c>
      <c r="I334" s="19">
        <v>1800</v>
      </c>
      <c r="K334">
        <v>1480</v>
      </c>
      <c r="M334" s="39" t="s">
        <v>685</v>
      </c>
      <c r="N334" s="25">
        <f t="shared" si="24"/>
        <v>11</v>
      </c>
      <c r="O334" s="25" t="str">
        <f t="shared" si="25"/>
        <v>jueves</v>
      </c>
      <c r="P334" s="27">
        <f t="shared" si="26"/>
        <v>9</v>
      </c>
      <c r="Q334" s="22" t="str">
        <f t="shared" si="27"/>
        <v>septiembre</v>
      </c>
    </row>
    <row r="335" spans="1:19" x14ac:dyDescent="0.25">
      <c r="A335">
        <v>1</v>
      </c>
      <c r="B335" t="s">
        <v>679</v>
      </c>
      <c r="C335" t="s">
        <v>6</v>
      </c>
      <c r="D335" t="s">
        <v>281</v>
      </c>
      <c r="E335">
        <v>437322521</v>
      </c>
      <c r="H335">
        <v>3380</v>
      </c>
      <c r="I335" s="19">
        <v>1200</v>
      </c>
      <c r="K335">
        <v>2180</v>
      </c>
      <c r="M335" s="39" t="s">
        <v>685</v>
      </c>
      <c r="N335" s="25">
        <f t="shared" si="24"/>
        <v>11</v>
      </c>
      <c r="O335" s="25" t="str">
        <f t="shared" si="25"/>
        <v>jueves</v>
      </c>
      <c r="P335" s="27">
        <f t="shared" si="26"/>
        <v>9</v>
      </c>
      <c r="Q335" s="22" t="str">
        <f t="shared" si="27"/>
        <v>septiembre</v>
      </c>
    </row>
    <row r="336" spans="1:19" x14ac:dyDescent="0.25">
      <c r="A336">
        <v>1</v>
      </c>
      <c r="B336" t="s">
        <v>680</v>
      </c>
      <c r="C336" t="s">
        <v>6</v>
      </c>
      <c r="D336" t="s">
        <v>195</v>
      </c>
      <c r="E336">
        <v>437322024</v>
      </c>
      <c r="H336">
        <v>2760</v>
      </c>
      <c r="I336" s="19">
        <v>1200</v>
      </c>
      <c r="K336">
        <v>1560</v>
      </c>
      <c r="M336" s="39" t="s">
        <v>685</v>
      </c>
      <c r="N336" s="25">
        <f t="shared" si="24"/>
        <v>11</v>
      </c>
      <c r="O336" s="25" t="str">
        <f t="shared" si="25"/>
        <v>jueves</v>
      </c>
      <c r="P336" s="27">
        <f t="shared" si="26"/>
        <v>9</v>
      </c>
      <c r="Q336" s="22" t="str">
        <f t="shared" si="27"/>
        <v>septiembre</v>
      </c>
      <c r="R336" t="s">
        <v>339</v>
      </c>
      <c r="S336">
        <v>29180</v>
      </c>
    </row>
    <row r="337" spans="1:19" x14ac:dyDescent="0.25">
      <c r="A337">
        <v>1</v>
      </c>
      <c r="B337" t="s">
        <v>681</v>
      </c>
      <c r="C337" t="s">
        <v>6</v>
      </c>
      <c r="D337" t="s">
        <v>195</v>
      </c>
      <c r="E337">
        <v>437321528</v>
      </c>
      <c r="H337">
        <v>3100</v>
      </c>
      <c r="I337" s="19">
        <v>1200</v>
      </c>
      <c r="K337">
        <v>1900</v>
      </c>
      <c r="M337" s="39" t="s">
        <v>685</v>
      </c>
      <c r="N337" s="25">
        <f t="shared" si="24"/>
        <v>11</v>
      </c>
      <c r="O337" s="25" t="str">
        <f t="shared" si="25"/>
        <v>jueves</v>
      </c>
      <c r="P337" s="27">
        <f t="shared" si="26"/>
        <v>9</v>
      </c>
      <c r="Q337" s="22" t="str">
        <f t="shared" si="27"/>
        <v>septiembre</v>
      </c>
    </row>
    <row r="338" spans="1:19" x14ac:dyDescent="0.25">
      <c r="A338">
        <v>1</v>
      </c>
      <c r="B338" t="s">
        <v>682</v>
      </c>
      <c r="C338" t="s">
        <v>6</v>
      </c>
      <c r="D338" t="s">
        <v>669</v>
      </c>
      <c r="E338">
        <v>437320733</v>
      </c>
      <c r="H338">
        <v>1200</v>
      </c>
      <c r="I338" s="19">
        <v>1200</v>
      </c>
      <c r="M338" s="39" t="s">
        <v>685</v>
      </c>
      <c r="N338" s="25">
        <f t="shared" si="24"/>
        <v>11</v>
      </c>
      <c r="O338" s="25" t="str">
        <f t="shared" si="25"/>
        <v>jueves</v>
      </c>
      <c r="P338" s="27">
        <f t="shared" si="26"/>
        <v>9</v>
      </c>
      <c r="Q338" s="22" t="str">
        <f t="shared" si="27"/>
        <v>septiembre</v>
      </c>
    </row>
    <row r="339" spans="1:19" x14ac:dyDescent="0.25">
      <c r="A339">
        <v>2</v>
      </c>
      <c r="B339" t="s">
        <v>686</v>
      </c>
      <c r="C339" t="s">
        <v>6</v>
      </c>
      <c r="D339" t="s">
        <v>694</v>
      </c>
      <c r="E339">
        <v>437430738</v>
      </c>
      <c r="F339" t="s">
        <v>694</v>
      </c>
      <c r="G339">
        <v>437430813</v>
      </c>
      <c r="H339">
        <v>3560</v>
      </c>
      <c r="I339" s="19">
        <v>2100</v>
      </c>
      <c r="K339">
        <v>1460</v>
      </c>
      <c r="M339" s="39" t="s">
        <v>693</v>
      </c>
      <c r="N339" s="25">
        <f t="shared" si="24"/>
        <v>12</v>
      </c>
      <c r="O339" s="25" t="str">
        <f t="shared" si="25"/>
        <v>viernes</v>
      </c>
      <c r="P339" s="27">
        <f t="shared" si="26"/>
        <v>9</v>
      </c>
      <c r="Q339" s="22" t="str">
        <f t="shared" si="27"/>
        <v>septiembre</v>
      </c>
      <c r="R339" t="s">
        <v>339</v>
      </c>
      <c r="S339">
        <v>7820</v>
      </c>
    </row>
    <row r="340" spans="1:19" x14ac:dyDescent="0.25">
      <c r="A340">
        <v>2</v>
      </c>
      <c r="B340" t="s">
        <v>687</v>
      </c>
      <c r="C340" t="s">
        <v>6</v>
      </c>
      <c r="D340" t="s">
        <v>184</v>
      </c>
      <c r="E340">
        <v>437430404</v>
      </c>
      <c r="F340" t="s">
        <v>184</v>
      </c>
      <c r="G340">
        <v>437430471</v>
      </c>
      <c r="H340">
        <v>2820</v>
      </c>
      <c r="I340" s="19">
        <v>2100</v>
      </c>
      <c r="K340">
        <v>720</v>
      </c>
      <c r="M340" s="39" t="s">
        <v>693</v>
      </c>
      <c r="N340" s="25">
        <f t="shared" si="24"/>
        <v>12</v>
      </c>
      <c r="O340" s="25" t="str">
        <f t="shared" si="25"/>
        <v>viernes</v>
      </c>
      <c r="P340" s="27">
        <f t="shared" si="26"/>
        <v>9</v>
      </c>
      <c r="Q340" s="22" t="str">
        <f t="shared" si="27"/>
        <v>septiembre</v>
      </c>
    </row>
    <row r="341" spans="1:19" x14ac:dyDescent="0.25">
      <c r="A341">
        <v>2</v>
      </c>
      <c r="B341" t="s">
        <v>688</v>
      </c>
      <c r="C341" t="s">
        <v>6</v>
      </c>
      <c r="D341" t="s">
        <v>184</v>
      </c>
      <c r="E341">
        <v>437430282</v>
      </c>
      <c r="F341" t="s">
        <v>184</v>
      </c>
      <c r="G341">
        <v>437430233</v>
      </c>
      <c r="H341">
        <v>3800</v>
      </c>
      <c r="I341" s="19">
        <v>1800</v>
      </c>
      <c r="K341">
        <v>2000</v>
      </c>
      <c r="M341" s="39" t="s">
        <v>693</v>
      </c>
      <c r="N341" s="25">
        <f t="shared" si="24"/>
        <v>12</v>
      </c>
      <c r="O341" s="25" t="str">
        <f t="shared" si="25"/>
        <v>viernes</v>
      </c>
      <c r="P341" s="27">
        <f t="shared" si="26"/>
        <v>9</v>
      </c>
      <c r="Q341" s="22" t="str">
        <f t="shared" si="27"/>
        <v>septiembre</v>
      </c>
      <c r="R341" t="s">
        <v>339</v>
      </c>
      <c r="S341">
        <v>27860</v>
      </c>
    </row>
    <row r="342" spans="1:19" x14ac:dyDescent="0.25">
      <c r="A342">
        <v>2</v>
      </c>
      <c r="B342" t="s">
        <v>689</v>
      </c>
      <c r="C342" t="s">
        <v>19</v>
      </c>
      <c r="D342" t="s">
        <v>695</v>
      </c>
      <c r="E342">
        <v>437429742</v>
      </c>
      <c r="H342">
        <v>1860</v>
      </c>
      <c r="I342" s="19">
        <v>1200</v>
      </c>
      <c r="K342">
        <v>660</v>
      </c>
      <c r="M342" s="39" t="s">
        <v>693</v>
      </c>
      <c r="N342" s="25">
        <f t="shared" si="24"/>
        <v>12</v>
      </c>
      <c r="O342" s="25" t="str">
        <f t="shared" si="25"/>
        <v>viernes</v>
      </c>
      <c r="P342" s="27">
        <f t="shared" si="26"/>
        <v>9</v>
      </c>
      <c r="Q342" s="22" t="str">
        <f t="shared" si="27"/>
        <v>septiembre</v>
      </c>
    </row>
    <row r="343" spans="1:19" x14ac:dyDescent="0.25">
      <c r="A343">
        <v>1</v>
      </c>
      <c r="B343" t="s">
        <v>690</v>
      </c>
      <c r="C343" t="s">
        <v>6</v>
      </c>
      <c r="D343" t="s">
        <v>195</v>
      </c>
      <c r="E343">
        <v>437428747</v>
      </c>
      <c r="F343" t="s">
        <v>195</v>
      </c>
      <c r="G343">
        <v>437429059</v>
      </c>
      <c r="H343">
        <v>4440</v>
      </c>
      <c r="I343" s="19">
        <v>2100</v>
      </c>
      <c r="K343">
        <v>2340</v>
      </c>
      <c r="M343" s="39" t="s">
        <v>693</v>
      </c>
      <c r="N343" s="25">
        <f t="shared" si="24"/>
        <v>12</v>
      </c>
      <c r="O343" s="25" t="str">
        <f t="shared" si="25"/>
        <v>viernes</v>
      </c>
      <c r="P343" s="27">
        <f t="shared" si="26"/>
        <v>9</v>
      </c>
      <c r="Q343" s="22" t="str">
        <f t="shared" si="27"/>
        <v>septiembre</v>
      </c>
    </row>
    <row r="344" spans="1:19" x14ac:dyDescent="0.25">
      <c r="A344">
        <v>1</v>
      </c>
      <c r="B344" t="s">
        <v>691</v>
      </c>
      <c r="C344" t="s">
        <v>6</v>
      </c>
      <c r="D344" t="s">
        <v>195</v>
      </c>
      <c r="E344">
        <v>437428339</v>
      </c>
      <c r="H344">
        <v>1440</v>
      </c>
      <c r="I344" s="19">
        <v>1200</v>
      </c>
      <c r="K344">
        <v>240</v>
      </c>
      <c r="M344" s="39" t="s">
        <v>693</v>
      </c>
      <c r="N344" s="25">
        <f t="shared" si="24"/>
        <v>12</v>
      </c>
      <c r="O344" s="25" t="str">
        <f t="shared" si="25"/>
        <v>viernes</v>
      </c>
      <c r="P344" s="27">
        <f t="shared" si="26"/>
        <v>9</v>
      </c>
      <c r="Q344" s="22" t="str">
        <f t="shared" si="27"/>
        <v>septiembre</v>
      </c>
    </row>
    <row r="345" spans="1:19" x14ac:dyDescent="0.25">
      <c r="A345">
        <v>1</v>
      </c>
      <c r="B345" t="s">
        <v>692</v>
      </c>
      <c r="C345" t="s">
        <v>6</v>
      </c>
      <c r="D345" t="s">
        <v>195</v>
      </c>
      <c r="E345">
        <v>437426665</v>
      </c>
      <c r="F345" t="s">
        <v>195</v>
      </c>
      <c r="G345">
        <v>437427153</v>
      </c>
      <c r="H345">
        <v>3560</v>
      </c>
      <c r="I345" s="19">
        <v>2100</v>
      </c>
      <c r="K345">
        <v>1460</v>
      </c>
      <c r="M345" s="39" t="s">
        <v>693</v>
      </c>
      <c r="N345" s="25">
        <f t="shared" si="24"/>
        <v>12</v>
      </c>
      <c r="O345" s="25" t="str">
        <f t="shared" si="25"/>
        <v>viernes</v>
      </c>
      <c r="P345" s="27">
        <f t="shared" si="26"/>
        <v>9</v>
      </c>
      <c r="Q345" s="22" t="str">
        <f t="shared" si="27"/>
        <v>septiembre</v>
      </c>
    </row>
    <row r="346" spans="1:19" x14ac:dyDescent="0.25">
      <c r="A346">
        <v>1</v>
      </c>
      <c r="B346" t="s">
        <v>475</v>
      </c>
      <c r="C346" t="s">
        <v>19</v>
      </c>
      <c r="D346" t="s">
        <v>696</v>
      </c>
      <c r="E346">
        <v>437425842</v>
      </c>
      <c r="H346">
        <v>1201</v>
      </c>
      <c r="I346" s="19">
        <v>1200</v>
      </c>
      <c r="K346">
        <v>1</v>
      </c>
      <c r="M346" s="39" t="s">
        <v>693</v>
      </c>
      <c r="N346" s="25">
        <f t="shared" si="24"/>
        <v>12</v>
      </c>
      <c r="O346" s="25" t="str">
        <f t="shared" si="25"/>
        <v>viernes</v>
      </c>
      <c r="P346" s="27">
        <f t="shared" si="26"/>
        <v>9</v>
      </c>
      <c r="Q346" s="22" t="str">
        <f t="shared" si="27"/>
        <v>septiembre</v>
      </c>
    </row>
    <row r="347" spans="1:19" x14ac:dyDescent="0.25">
      <c r="A347">
        <v>11</v>
      </c>
      <c r="B347" t="s">
        <v>401</v>
      </c>
      <c r="C347" t="s">
        <v>6</v>
      </c>
      <c r="D347" t="s">
        <v>621</v>
      </c>
      <c r="E347">
        <v>437783508</v>
      </c>
      <c r="H347">
        <v>1900</v>
      </c>
      <c r="I347" s="19">
        <v>1900</v>
      </c>
      <c r="M347" s="39" t="s">
        <v>709</v>
      </c>
      <c r="N347" s="25">
        <f t="shared" si="24"/>
        <v>14</v>
      </c>
      <c r="O347" s="25" t="str">
        <f t="shared" si="25"/>
        <v>domingo</v>
      </c>
      <c r="P347" s="27">
        <f t="shared" si="26"/>
        <v>9</v>
      </c>
      <c r="Q347" s="22" t="str">
        <f t="shared" si="27"/>
        <v>septiembre</v>
      </c>
    </row>
    <row r="348" spans="1:19" x14ac:dyDescent="0.25">
      <c r="A348">
        <v>11</v>
      </c>
      <c r="B348" t="s">
        <v>697</v>
      </c>
      <c r="C348" t="s">
        <v>6</v>
      </c>
      <c r="D348" t="s">
        <v>710</v>
      </c>
      <c r="E348">
        <v>437770668</v>
      </c>
      <c r="F348" t="s">
        <v>711</v>
      </c>
      <c r="G348">
        <v>437768927</v>
      </c>
      <c r="H348">
        <v>3880</v>
      </c>
      <c r="I348" s="19">
        <v>3000</v>
      </c>
      <c r="K348">
        <v>880</v>
      </c>
      <c r="M348" s="39" t="s">
        <v>709</v>
      </c>
      <c r="N348" s="25">
        <f t="shared" si="24"/>
        <v>14</v>
      </c>
      <c r="O348" s="25" t="str">
        <f t="shared" si="25"/>
        <v>domingo</v>
      </c>
      <c r="P348" s="27">
        <f t="shared" si="26"/>
        <v>9</v>
      </c>
      <c r="Q348" s="22" t="str">
        <f t="shared" si="27"/>
        <v>septiembre</v>
      </c>
    </row>
    <row r="349" spans="1:19" x14ac:dyDescent="0.25">
      <c r="A349">
        <v>9</v>
      </c>
      <c r="B349" t="s">
        <v>263</v>
      </c>
      <c r="C349" t="s">
        <v>155</v>
      </c>
      <c r="D349" t="s">
        <v>174</v>
      </c>
      <c r="E349">
        <v>437734456</v>
      </c>
      <c r="H349">
        <v>2495</v>
      </c>
      <c r="I349" s="19">
        <v>2250</v>
      </c>
      <c r="K349">
        <v>245</v>
      </c>
      <c r="M349" s="39" t="s">
        <v>709</v>
      </c>
      <c r="N349" s="25">
        <f t="shared" si="24"/>
        <v>14</v>
      </c>
      <c r="O349" s="25" t="str">
        <f t="shared" si="25"/>
        <v>domingo</v>
      </c>
      <c r="P349" s="27">
        <f t="shared" si="26"/>
        <v>9</v>
      </c>
      <c r="Q349" s="22" t="str">
        <f t="shared" si="27"/>
        <v>septiembre</v>
      </c>
    </row>
    <row r="350" spans="1:19" x14ac:dyDescent="0.25">
      <c r="A350">
        <v>8</v>
      </c>
      <c r="B350" t="s">
        <v>698</v>
      </c>
      <c r="C350" t="s">
        <v>19</v>
      </c>
      <c r="D350" t="s">
        <v>712</v>
      </c>
      <c r="E350">
        <v>437727994</v>
      </c>
      <c r="H350">
        <v>2050</v>
      </c>
      <c r="I350" s="19">
        <v>1450</v>
      </c>
      <c r="K350">
        <v>600</v>
      </c>
      <c r="M350" s="39" t="s">
        <v>709</v>
      </c>
      <c r="N350" s="25">
        <f t="shared" si="24"/>
        <v>14</v>
      </c>
      <c r="O350" s="25" t="str">
        <f t="shared" si="25"/>
        <v>domingo</v>
      </c>
      <c r="P350" s="27">
        <f t="shared" si="26"/>
        <v>9</v>
      </c>
      <c r="Q350" s="22" t="str">
        <f t="shared" si="27"/>
        <v>septiembre</v>
      </c>
    </row>
    <row r="351" spans="1:19" x14ac:dyDescent="0.25">
      <c r="A351">
        <v>8</v>
      </c>
      <c r="B351" t="s">
        <v>699</v>
      </c>
      <c r="C351" t="s">
        <v>6</v>
      </c>
      <c r="D351" t="s">
        <v>713</v>
      </c>
      <c r="E351">
        <v>437723634</v>
      </c>
      <c r="H351">
        <v>1660</v>
      </c>
      <c r="I351" s="19">
        <v>1200</v>
      </c>
      <c r="K351">
        <v>460</v>
      </c>
      <c r="M351" s="39" t="s">
        <v>709</v>
      </c>
      <c r="N351" s="25">
        <f t="shared" si="24"/>
        <v>14</v>
      </c>
      <c r="O351" s="25" t="str">
        <f t="shared" si="25"/>
        <v>domingo</v>
      </c>
      <c r="P351" s="27">
        <f t="shared" si="26"/>
        <v>9</v>
      </c>
      <c r="Q351" s="22" t="str">
        <f t="shared" si="27"/>
        <v>septiembre</v>
      </c>
    </row>
    <row r="352" spans="1:19" x14ac:dyDescent="0.25">
      <c r="A352">
        <v>8</v>
      </c>
      <c r="B352" t="s">
        <v>556</v>
      </c>
      <c r="C352" t="s">
        <v>19</v>
      </c>
      <c r="D352" t="s">
        <v>714</v>
      </c>
      <c r="E352">
        <v>437718748</v>
      </c>
      <c r="H352">
        <v>3350</v>
      </c>
      <c r="I352" s="19">
        <v>2350</v>
      </c>
      <c r="K352">
        <v>1000</v>
      </c>
      <c r="M352" s="39" t="s">
        <v>709</v>
      </c>
      <c r="N352" s="25">
        <f t="shared" si="24"/>
        <v>14</v>
      </c>
      <c r="O352" s="25" t="str">
        <f t="shared" si="25"/>
        <v>domingo</v>
      </c>
      <c r="P352" s="27">
        <f t="shared" si="26"/>
        <v>9</v>
      </c>
      <c r="Q352" s="22" t="str">
        <f t="shared" si="27"/>
        <v>septiembre</v>
      </c>
    </row>
    <row r="353" spans="1:19" x14ac:dyDescent="0.25">
      <c r="A353">
        <v>7</v>
      </c>
      <c r="B353" t="s">
        <v>700</v>
      </c>
      <c r="C353" t="s">
        <v>6</v>
      </c>
      <c r="D353" t="s">
        <v>701</v>
      </c>
      <c r="E353">
        <v>437710499</v>
      </c>
      <c r="H353">
        <v>1760</v>
      </c>
      <c r="I353" s="19">
        <v>1200</v>
      </c>
      <c r="K353">
        <v>560</v>
      </c>
      <c r="M353" s="39" t="s">
        <v>709</v>
      </c>
      <c r="N353" s="25">
        <f t="shared" si="24"/>
        <v>14</v>
      </c>
      <c r="O353" s="25" t="str">
        <f t="shared" si="25"/>
        <v>domingo</v>
      </c>
      <c r="P353" s="27">
        <f t="shared" si="26"/>
        <v>9</v>
      </c>
      <c r="Q353" s="22" t="str">
        <f t="shared" si="27"/>
        <v>septiembre</v>
      </c>
    </row>
    <row r="354" spans="1:19" x14ac:dyDescent="0.25">
      <c r="A354">
        <v>7</v>
      </c>
      <c r="B354" t="s">
        <v>702</v>
      </c>
      <c r="C354" t="s">
        <v>6</v>
      </c>
      <c r="D354" t="s">
        <v>715</v>
      </c>
      <c r="E354">
        <v>437706294</v>
      </c>
      <c r="H354">
        <v>2200</v>
      </c>
      <c r="I354" s="19">
        <v>1400</v>
      </c>
      <c r="K354">
        <v>800</v>
      </c>
      <c r="M354" s="39" t="s">
        <v>709</v>
      </c>
      <c r="N354" s="25">
        <f t="shared" si="24"/>
        <v>14</v>
      </c>
      <c r="O354" s="25" t="str">
        <f t="shared" si="25"/>
        <v>domingo</v>
      </c>
      <c r="P354" s="27">
        <f t="shared" si="26"/>
        <v>9</v>
      </c>
      <c r="Q354" s="22" t="str">
        <f t="shared" si="27"/>
        <v>septiembre</v>
      </c>
      <c r="R354" t="s">
        <v>339</v>
      </c>
      <c r="S354">
        <v>12942</v>
      </c>
    </row>
    <row r="355" spans="1:19" x14ac:dyDescent="0.25">
      <c r="A355">
        <v>7</v>
      </c>
      <c r="B355" t="s">
        <v>703</v>
      </c>
      <c r="C355" t="s">
        <v>19</v>
      </c>
      <c r="D355" t="s">
        <v>716</v>
      </c>
      <c r="E355">
        <v>437703415</v>
      </c>
      <c r="H355">
        <v>1200</v>
      </c>
      <c r="I355" s="19">
        <v>1200</v>
      </c>
      <c r="M355" s="39" t="s">
        <v>709</v>
      </c>
      <c r="N355" s="25">
        <f t="shared" si="24"/>
        <v>14</v>
      </c>
      <c r="O355" s="25" t="str">
        <f t="shared" si="25"/>
        <v>domingo</v>
      </c>
      <c r="P355" s="27">
        <f t="shared" si="26"/>
        <v>9</v>
      </c>
      <c r="Q355" s="22" t="str">
        <f t="shared" si="27"/>
        <v>septiembre</v>
      </c>
    </row>
    <row r="356" spans="1:19" x14ac:dyDescent="0.25">
      <c r="A356">
        <v>6</v>
      </c>
      <c r="B356" t="s">
        <v>704</v>
      </c>
      <c r="C356" t="s">
        <v>6</v>
      </c>
      <c r="D356" t="s">
        <v>705</v>
      </c>
      <c r="E356">
        <v>437699659</v>
      </c>
      <c r="H356">
        <v>2910</v>
      </c>
      <c r="I356" s="19">
        <v>1450</v>
      </c>
      <c r="K356">
        <v>1460</v>
      </c>
      <c r="M356" s="39" t="s">
        <v>709</v>
      </c>
      <c r="N356" s="25">
        <f t="shared" si="24"/>
        <v>14</v>
      </c>
      <c r="O356" s="25" t="str">
        <f t="shared" si="25"/>
        <v>domingo</v>
      </c>
      <c r="P356" s="27">
        <f t="shared" si="26"/>
        <v>9</v>
      </c>
      <c r="Q356" s="22" t="str">
        <f t="shared" si="27"/>
        <v>septiembre</v>
      </c>
    </row>
    <row r="357" spans="1:19" x14ac:dyDescent="0.25">
      <c r="A357">
        <v>6</v>
      </c>
      <c r="B357" t="s">
        <v>706</v>
      </c>
      <c r="C357" t="s">
        <v>19</v>
      </c>
      <c r="D357" t="s">
        <v>464</v>
      </c>
      <c r="E357">
        <v>437696739</v>
      </c>
      <c r="H357">
        <v>4650</v>
      </c>
      <c r="I357" s="19">
        <v>4450</v>
      </c>
      <c r="K357">
        <v>200</v>
      </c>
      <c r="M357" s="39" t="s">
        <v>709</v>
      </c>
      <c r="N357" s="25">
        <f t="shared" si="24"/>
        <v>14</v>
      </c>
      <c r="O357" s="25" t="str">
        <f t="shared" si="25"/>
        <v>domingo</v>
      </c>
      <c r="P357" s="27">
        <f t="shared" si="26"/>
        <v>9</v>
      </c>
      <c r="Q357" s="22" t="str">
        <f t="shared" si="27"/>
        <v>septiembre</v>
      </c>
    </row>
    <row r="358" spans="1:19" x14ac:dyDescent="0.25">
      <c r="A358">
        <v>6</v>
      </c>
      <c r="B358" t="s">
        <v>707</v>
      </c>
      <c r="C358" t="s">
        <v>6</v>
      </c>
      <c r="D358" t="s">
        <v>717</v>
      </c>
      <c r="E358">
        <v>437696548</v>
      </c>
      <c r="H358">
        <v>2140</v>
      </c>
      <c r="I358" s="19">
        <v>1200</v>
      </c>
      <c r="K358">
        <v>940</v>
      </c>
      <c r="M358" s="39" t="s">
        <v>709</v>
      </c>
      <c r="N358" s="25">
        <f t="shared" si="24"/>
        <v>14</v>
      </c>
      <c r="O358" s="25" t="str">
        <f t="shared" si="25"/>
        <v>domingo</v>
      </c>
      <c r="P358" s="27">
        <f t="shared" si="26"/>
        <v>9</v>
      </c>
      <c r="Q358" s="22" t="str">
        <f t="shared" si="27"/>
        <v>septiembre</v>
      </c>
    </row>
    <row r="359" spans="1:19" x14ac:dyDescent="0.25">
      <c r="A359">
        <v>5</v>
      </c>
      <c r="B359" t="s">
        <v>708</v>
      </c>
      <c r="C359" t="s">
        <v>6</v>
      </c>
      <c r="D359" t="s">
        <v>718</v>
      </c>
      <c r="E359">
        <v>437695494</v>
      </c>
      <c r="H359">
        <v>2720</v>
      </c>
      <c r="I359" s="19">
        <v>1200</v>
      </c>
      <c r="K359">
        <v>1520</v>
      </c>
      <c r="M359" s="39" t="s">
        <v>709</v>
      </c>
      <c r="N359" s="25">
        <f t="shared" si="24"/>
        <v>14</v>
      </c>
      <c r="O359" s="25" t="str">
        <f t="shared" si="25"/>
        <v>domingo</v>
      </c>
      <c r="P359" s="27">
        <f t="shared" si="26"/>
        <v>9</v>
      </c>
      <c r="Q359" s="22" t="str">
        <f t="shared" si="27"/>
        <v>septiembre</v>
      </c>
    </row>
    <row r="360" spans="1:19" x14ac:dyDescent="0.25">
      <c r="A360">
        <v>1</v>
      </c>
      <c r="B360" t="s">
        <v>719</v>
      </c>
      <c r="C360" t="s">
        <v>6</v>
      </c>
      <c r="D360" t="s">
        <v>170</v>
      </c>
      <c r="E360">
        <v>437787456</v>
      </c>
      <c r="H360" s="3">
        <v>2780</v>
      </c>
      <c r="I360" s="19">
        <v>1200</v>
      </c>
      <c r="K360">
        <v>1580</v>
      </c>
      <c r="M360" s="39">
        <v>45915</v>
      </c>
      <c r="N360" s="25">
        <f t="shared" si="24"/>
        <v>15</v>
      </c>
      <c r="O360" s="25" t="str">
        <f t="shared" si="25"/>
        <v>lunes</v>
      </c>
      <c r="P360" s="27">
        <f t="shared" si="26"/>
        <v>9</v>
      </c>
      <c r="Q360" s="22" t="str">
        <f t="shared" si="27"/>
        <v>septiembre</v>
      </c>
      <c r="R360" t="s">
        <v>339</v>
      </c>
      <c r="S360">
        <v>35379</v>
      </c>
    </row>
    <row r="361" spans="1:19" x14ac:dyDescent="0.25">
      <c r="A361">
        <v>7</v>
      </c>
      <c r="B361" t="s">
        <v>720</v>
      </c>
      <c r="C361" t="s">
        <v>6</v>
      </c>
      <c r="D361" t="s">
        <v>742</v>
      </c>
      <c r="E361">
        <v>437925759</v>
      </c>
      <c r="H361">
        <v>2580</v>
      </c>
      <c r="I361" s="19">
        <v>1200</v>
      </c>
      <c r="K361">
        <v>1380</v>
      </c>
      <c r="M361" s="39" t="s">
        <v>741</v>
      </c>
      <c r="N361" s="25">
        <f t="shared" si="24"/>
        <v>16</v>
      </c>
      <c r="O361" s="25" t="str">
        <f t="shared" si="25"/>
        <v>martes</v>
      </c>
      <c r="P361" s="27">
        <f t="shared" si="26"/>
        <v>9</v>
      </c>
      <c r="Q361" s="22" t="str">
        <f t="shared" si="27"/>
        <v>septiembre</v>
      </c>
    </row>
    <row r="362" spans="1:19" x14ac:dyDescent="0.25">
      <c r="A362">
        <v>7</v>
      </c>
      <c r="B362" t="s">
        <v>721</v>
      </c>
      <c r="C362" t="s">
        <v>6</v>
      </c>
      <c r="D362" t="s">
        <v>722</v>
      </c>
      <c r="E362">
        <v>437922121</v>
      </c>
      <c r="H362">
        <v>1950</v>
      </c>
      <c r="I362" s="19">
        <v>1200</v>
      </c>
      <c r="K362">
        <v>750</v>
      </c>
      <c r="M362" s="39" t="s">
        <v>741</v>
      </c>
      <c r="N362" s="25">
        <f t="shared" si="24"/>
        <v>16</v>
      </c>
      <c r="O362" s="25" t="str">
        <f t="shared" si="25"/>
        <v>martes</v>
      </c>
      <c r="P362" s="27">
        <f t="shared" si="26"/>
        <v>9</v>
      </c>
      <c r="Q362" s="22" t="str">
        <f t="shared" si="27"/>
        <v>septiembre</v>
      </c>
    </row>
    <row r="363" spans="1:19" x14ac:dyDescent="0.25">
      <c r="A363">
        <v>7</v>
      </c>
      <c r="B363" t="s">
        <v>723</v>
      </c>
      <c r="C363" t="s">
        <v>155</v>
      </c>
      <c r="D363" t="s">
        <v>174</v>
      </c>
      <c r="E363">
        <v>437918891</v>
      </c>
      <c r="H363">
        <v>1300</v>
      </c>
      <c r="I363" s="19">
        <v>1200</v>
      </c>
      <c r="K363">
        <v>100</v>
      </c>
      <c r="M363" s="39" t="s">
        <v>741</v>
      </c>
      <c r="N363" s="25">
        <f t="shared" si="24"/>
        <v>16</v>
      </c>
      <c r="O363" s="25" t="str">
        <f t="shared" si="25"/>
        <v>martes</v>
      </c>
      <c r="P363" s="27">
        <f t="shared" si="26"/>
        <v>9</v>
      </c>
      <c r="Q363" s="22" t="str">
        <f t="shared" si="27"/>
        <v>septiembre</v>
      </c>
    </row>
    <row r="364" spans="1:19" x14ac:dyDescent="0.25">
      <c r="A364">
        <v>6</v>
      </c>
      <c r="B364" t="s">
        <v>724</v>
      </c>
      <c r="C364" t="s">
        <v>6</v>
      </c>
      <c r="D364" t="s">
        <v>725</v>
      </c>
      <c r="E364">
        <v>437915240</v>
      </c>
      <c r="H364">
        <v>1580</v>
      </c>
      <c r="I364" s="19">
        <v>1200</v>
      </c>
      <c r="K364">
        <v>380</v>
      </c>
      <c r="M364" s="39" t="s">
        <v>741</v>
      </c>
      <c r="N364" s="25">
        <f t="shared" si="24"/>
        <v>16</v>
      </c>
      <c r="O364" s="25" t="str">
        <f t="shared" si="25"/>
        <v>martes</v>
      </c>
      <c r="P364" s="27">
        <f t="shared" si="26"/>
        <v>9</v>
      </c>
      <c r="Q364" s="22" t="str">
        <f t="shared" si="27"/>
        <v>septiembre</v>
      </c>
    </row>
    <row r="365" spans="1:19" x14ac:dyDescent="0.25">
      <c r="A365">
        <v>6</v>
      </c>
      <c r="B365" t="s">
        <v>726</v>
      </c>
      <c r="C365" t="s">
        <v>19</v>
      </c>
      <c r="D365" t="s">
        <v>457</v>
      </c>
      <c r="E365">
        <v>437912513</v>
      </c>
      <c r="H365">
        <v>3410</v>
      </c>
      <c r="I365" s="19">
        <v>1850</v>
      </c>
      <c r="K365">
        <v>1560</v>
      </c>
      <c r="M365" s="39" t="s">
        <v>741</v>
      </c>
      <c r="N365" s="25">
        <f t="shared" si="24"/>
        <v>16</v>
      </c>
      <c r="O365" s="25" t="str">
        <f t="shared" si="25"/>
        <v>martes</v>
      </c>
      <c r="P365" s="27">
        <f t="shared" si="26"/>
        <v>9</v>
      </c>
      <c r="Q365" s="22" t="str">
        <f t="shared" si="27"/>
        <v>septiembre</v>
      </c>
    </row>
    <row r="366" spans="1:19" x14ac:dyDescent="0.25">
      <c r="A366">
        <v>6</v>
      </c>
      <c r="B366" t="s">
        <v>727</v>
      </c>
      <c r="C366" t="s">
        <v>155</v>
      </c>
      <c r="D366" t="s">
        <v>201</v>
      </c>
      <c r="E366">
        <v>437912311</v>
      </c>
      <c r="H366">
        <v>1445</v>
      </c>
      <c r="I366" s="19">
        <v>1200</v>
      </c>
      <c r="K366">
        <v>245</v>
      </c>
      <c r="M366" s="39" t="s">
        <v>741</v>
      </c>
      <c r="N366" s="25">
        <f t="shared" si="24"/>
        <v>16</v>
      </c>
      <c r="O366" s="25" t="str">
        <f t="shared" si="25"/>
        <v>martes</v>
      </c>
      <c r="P366" s="27">
        <f t="shared" si="26"/>
        <v>9</v>
      </c>
      <c r="Q366" s="22" t="str">
        <f t="shared" si="27"/>
        <v>septiembre</v>
      </c>
    </row>
    <row r="367" spans="1:19" x14ac:dyDescent="0.25">
      <c r="A367">
        <v>6</v>
      </c>
      <c r="B367" t="s">
        <v>728</v>
      </c>
      <c r="C367" t="s">
        <v>6</v>
      </c>
      <c r="D367" t="s">
        <v>548</v>
      </c>
      <c r="E367">
        <v>437911356</v>
      </c>
      <c r="H367">
        <v>1940</v>
      </c>
      <c r="I367" s="19">
        <v>1200</v>
      </c>
      <c r="K367">
        <v>740</v>
      </c>
      <c r="M367" s="39" t="s">
        <v>741</v>
      </c>
      <c r="N367" s="25">
        <f t="shared" si="24"/>
        <v>16</v>
      </c>
      <c r="O367" s="25" t="str">
        <f t="shared" si="25"/>
        <v>martes</v>
      </c>
      <c r="P367" s="27">
        <f t="shared" si="26"/>
        <v>9</v>
      </c>
      <c r="Q367" s="22" t="str">
        <f t="shared" si="27"/>
        <v>septiembre</v>
      </c>
    </row>
    <row r="368" spans="1:19" x14ac:dyDescent="0.25">
      <c r="A368">
        <v>5</v>
      </c>
      <c r="B368" t="s">
        <v>729</v>
      </c>
      <c r="C368" t="s">
        <v>6</v>
      </c>
      <c r="D368" t="s">
        <v>743</v>
      </c>
      <c r="E368">
        <v>437910727</v>
      </c>
      <c r="H368">
        <v>1450</v>
      </c>
      <c r="I368" s="19">
        <v>1200</v>
      </c>
      <c r="K368">
        <v>250</v>
      </c>
      <c r="M368" s="39" t="s">
        <v>741</v>
      </c>
      <c r="N368" s="25">
        <f t="shared" si="24"/>
        <v>16</v>
      </c>
      <c r="O368" s="25" t="str">
        <f t="shared" si="25"/>
        <v>martes</v>
      </c>
      <c r="P368" s="27">
        <f t="shared" si="26"/>
        <v>9</v>
      </c>
      <c r="Q368" s="22" t="str">
        <f t="shared" si="27"/>
        <v>septiembre</v>
      </c>
    </row>
    <row r="369" spans="1:17" x14ac:dyDescent="0.25">
      <c r="A369">
        <v>5</v>
      </c>
      <c r="B369" t="s">
        <v>730</v>
      </c>
      <c r="C369" t="s">
        <v>6</v>
      </c>
      <c r="D369" t="s">
        <v>731</v>
      </c>
      <c r="E369">
        <v>437910100</v>
      </c>
      <c r="H369">
        <v>1620</v>
      </c>
      <c r="I369" s="19">
        <v>1200</v>
      </c>
      <c r="K369">
        <v>420</v>
      </c>
      <c r="M369" s="39" t="s">
        <v>741</v>
      </c>
      <c r="N369" s="25">
        <f t="shared" si="24"/>
        <v>16</v>
      </c>
      <c r="O369" s="25" t="str">
        <f t="shared" si="25"/>
        <v>martes</v>
      </c>
      <c r="P369" s="27">
        <f t="shared" si="26"/>
        <v>9</v>
      </c>
      <c r="Q369" s="22" t="str">
        <f t="shared" si="27"/>
        <v>septiembre</v>
      </c>
    </row>
    <row r="370" spans="1:17" x14ac:dyDescent="0.25">
      <c r="A370">
        <v>5</v>
      </c>
      <c r="B370" t="s">
        <v>732</v>
      </c>
      <c r="C370" t="s">
        <v>19</v>
      </c>
      <c r="D370" t="s">
        <v>733</v>
      </c>
      <c r="E370">
        <v>437909464</v>
      </c>
      <c r="H370">
        <v>1950</v>
      </c>
      <c r="I370" s="19">
        <v>1200</v>
      </c>
      <c r="K370">
        <v>750</v>
      </c>
      <c r="M370" s="39" t="s">
        <v>741</v>
      </c>
      <c r="N370" s="25">
        <f t="shared" si="24"/>
        <v>16</v>
      </c>
      <c r="O370" s="25" t="str">
        <f t="shared" si="25"/>
        <v>martes</v>
      </c>
      <c r="P370" s="27">
        <f t="shared" si="26"/>
        <v>9</v>
      </c>
      <c r="Q370" s="22" t="str">
        <f t="shared" si="27"/>
        <v>septiembre</v>
      </c>
    </row>
    <row r="371" spans="1:17" x14ac:dyDescent="0.25">
      <c r="A371">
        <v>5</v>
      </c>
      <c r="B371" t="s">
        <v>734</v>
      </c>
      <c r="C371" t="s">
        <v>6</v>
      </c>
      <c r="D371" t="s">
        <v>735</v>
      </c>
      <c r="E371">
        <v>437909008</v>
      </c>
      <c r="H371">
        <v>1200</v>
      </c>
      <c r="I371" s="19">
        <v>1200</v>
      </c>
      <c r="M371" s="39" t="s">
        <v>741</v>
      </c>
      <c r="N371" s="25">
        <f t="shared" si="24"/>
        <v>16</v>
      </c>
      <c r="O371" s="25" t="str">
        <f t="shared" si="25"/>
        <v>martes</v>
      </c>
      <c r="P371" s="27">
        <f t="shared" si="26"/>
        <v>9</v>
      </c>
      <c r="Q371" s="22" t="str">
        <f t="shared" si="27"/>
        <v>septiembre</v>
      </c>
    </row>
    <row r="372" spans="1:17" x14ac:dyDescent="0.25">
      <c r="A372">
        <v>5</v>
      </c>
      <c r="B372" t="s">
        <v>736</v>
      </c>
      <c r="C372" t="s">
        <v>19</v>
      </c>
      <c r="D372" t="s">
        <v>354</v>
      </c>
      <c r="E372">
        <v>437908173</v>
      </c>
      <c r="H372">
        <v>2250</v>
      </c>
      <c r="I372" s="19">
        <v>2000</v>
      </c>
      <c r="K372">
        <v>250</v>
      </c>
      <c r="M372" s="39" t="s">
        <v>741</v>
      </c>
      <c r="N372" s="25">
        <f t="shared" si="24"/>
        <v>16</v>
      </c>
      <c r="O372" s="25" t="str">
        <f t="shared" si="25"/>
        <v>martes</v>
      </c>
      <c r="P372" s="27">
        <f t="shared" si="26"/>
        <v>9</v>
      </c>
      <c r="Q372" s="22" t="str">
        <f t="shared" si="27"/>
        <v>septiembre</v>
      </c>
    </row>
    <row r="373" spans="1:17" x14ac:dyDescent="0.25">
      <c r="A373">
        <v>5</v>
      </c>
      <c r="B373" t="s">
        <v>737</v>
      </c>
      <c r="C373" t="s">
        <v>6</v>
      </c>
      <c r="D373" t="s">
        <v>738</v>
      </c>
      <c r="E373">
        <v>437908156</v>
      </c>
      <c r="H373">
        <v>2140</v>
      </c>
      <c r="I373" s="19">
        <v>1200</v>
      </c>
      <c r="K373">
        <v>940</v>
      </c>
      <c r="M373" s="39" t="s">
        <v>741</v>
      </c>
      <c r="N373" s="25">
        <f t="shared" si="24"/>
        <v>16</v>
      </c>
      <c r="O373" s="25" t="str">
        <f t="shared" si="25"/>
        <v>martes</v>
      </c>
      <c r="P373" s="27">
        <f t="shared" si="26"/>
        <v>9</v>
      </c>
      <c r="Q373" s="22" t="str">
        <f t="shared" si="27"/>
        <v>septiembre</v>
      </c>
    </row>
    <row r="374" spans="1:17" x14ac:dyDescent="0.25">
      <c r="A374">
        <v>4</v>
      </c>
      <c r="B374" t="s">
        <v>739</v>
      </c>
      <c r="C374" t="s">
        <v>6</v>
      </c>
      <c r="D374" t="s">
        <v>740</v>
      </c>
      <c r="E374">
        <v>437908021</v>
      </c>
      <c r="H374">
        <v>1480</v>
      </c>
      <c r="I374" s="19">
        <v>1200</v>
      </c>
      <c r="K374">
        <v>280</v>
      </c>
      <c r="M374" s="39" t="s">
        <v>741</v>
      </c>
      <c r="N374" s="25">
        <f t="shared" si="24"/>
        <v>16</v>
      </c>
      <c r="O374" s="25" t="str">
        <f t="shared" si="25"/>
        <v>martes</v>
      </c>
      <c r="P374" s="27">
        <f t="shared" si="26"/>
        <v>9</v>
      </c>
      <c r="Q374" s="22" t="str">
        <f t="shared" si="27"/>
        <v>septiembre</v>
      </c>
    </row>
    <row r="375" spans="1:17" x14ac:dyDescent="0.25">
      <c r="A375">
        <v>5</v>
      </c>
      <c r="B375" t="s">
        <v>755</v>
      </c>
      <c r="C375" t="s">
        <v>6</v>
      </c>
      <c r="D375" t="s">
        <v>756</v>
      </c>
      <c r="E375">
        <v>438003874</v>
      </c>
      <c r="H375">
        <v>1620</v>
      </c>
      <c r="I375" s="19">
        <v>1200</v>
      </c>
      <c r="K375">
        <v>420</v>
      </c>
      <c r="M375" s="39">
        <v>45917</v>
      </c>
      <c r="N375" s="25">
        <f t="shared" si="24"/>
        <v>17</v>
      </c>
      <c r="O375" s="25" t="str">
        <f t="shared" si="25"/>
        <v>miércoles</v>
      </c>
      <c r="P375" s="27">
        <f t="shared" si="26"/>
        <v>9</v>
      </c>
      <c r="Q375" s="22" t="str">
        <f t="shared" si="27"/>
        <v>septiembre</v>
      </c>
    </row>
    <row r="376" spans="1:17" x14ac:dyDescent="0.25">
      <c r="A376">
        <v>6</v>
      </c>
      <c r="B376" t="s">
        <v>744</v>
      </c>
      <c r="C376" t="s">
        <v>19</v>
      </c>
      <c r="D376" t="s">
        <v>745</v>
      </c>
      <c r="E376">
        <v>437979864</v>
      </c>
      <c r="F376" t="s">
        <v>161</v>
      </c>
      <c r="G376">
        <v>438008708</v>
      </c>
      <c r="H376">
        <v>14500</v>
      </c>
      <c r="I376" s="19">
        <v>3950</v>
      </c>
      <c r="K376">
        <v>10550</v>
      </c>
      <c r="M376" s="39" t="s">
        <v>746</v>
      </c>
      <c r="N376" s="25">
        <f t="shared" si="24"/>
        <v>17</v>
      </c>
      <c r="O376" s="25" t="str">
        <f t="shared" si="25"/>
        <v>miércoles</v>
      </c>
      <c r="P376" s="27">
        <f t="shared" si="26"/>
        <v>9</v>
      </c>
      <c r="Q376" s="22" t="str">
        <f t="shared" si="27"/>
        <v>septiembre</v>
      </c>
    </row>
    <row r="377" spans="1:17" x14ac:dyDescent="0.25">
      <c r="A377">
        <v>6</v>
      </c>
      <c r="B377" t="s">
        <v>747</v>
      </c>
      <c r="C377" t="s">
        <v>6</v>
      </c>
      <c r="D377" t="s">
        <v>757</v>
      </c>
      <c r="E377">
        <v>438007725</v>
      </c>
      <c r="H377">
        <v>1200</v>
      </c>
      <c r="I377" s="19">
        <v>1200</v>
      </c>
      <c r="M377" s="39" t="s">
        <v>746</v>
      </c>
      <c r="N377" s="25">
        <f t="shared" si="24"/>
        <v>17</v>
      </c>
      <c r="O377" s="25" t="str">
        <f t="shared" si="25"/>
        <v>miércoles</v>
      </c>
      <c r="P377" s="27">
        <f t="shared" si="26"/>
        <v>9</v>
      </c>
      <c r="Q377" s="22" t="str">
        <f t="shared" si="27"/>
        <v>septiembre</v>
      </c>
    </row>
    <row r="378" spans="1:17" x14ac:dyDescent="0.25">
      <c r="A378">
        <v>5</v>
      </c>
      <c r="B378" t="s">
        <v>748</v>
      </c>
      <c r="C378" t="s">
        <v>6</v>
      </c>
      <c r="D378" t="s">
        <v>758</v>
      </c>
      <c r="E378">
        <v>438006685</v>
      </c>
      <c r="H378">
        <v>1800</v>
      </c>
      <c r="I378" s="19">
        <v>1200</v>
      </c>
      <c r="K378">
        <v>600</v>
      </c>
      <c r="M378" s="39" t="s">
        <v>746</v>
      </c>
      <c r="N378" s="25">
        <f t="shared" si="24"/>
        <v>17</v>
      </c>
      <c r="O378" s="25" t="str">
        <f t="shared" si="25"/>
        <v>miércoles</v>
      </c>
      <c r="P378" s="27">
        <f t="shared" si="26"/>
        <v>9</v>
      </c>
      <c r="Q378" s="22" t="str">
        <f t="shared" si="27"/>
        <v>septiembre</v>
      </c>
    </row>
    <row r="379" spans="1:17" x14ac:dyDescent="0.25">
      <c r="A379">
        <v>5</v>
      </c>
      <c r="B379" t="s">
        <v>749</v>
      </c>
      <c r="C379" t="s">
        <v>6</v>
      </c>
      <c r="D379" t="s">
        <v>750</v>
      </c>
      <c r="E379">
        <v>438005564</v>
      </c>
      <c r="H379">
        <v>2800</v>
      </c>
      <c r="I379" s="19">
        <v>1200</v>
      </c>
      <c r="K379">
        <v>1600</v>
      </c>
      <c r="M379" s="39" t="s">
        <v>746</v>
      </c>
      <c r="N379" s="25">
        <f t="shared" si="24"/>
        <v>17</v>
      </c>
      <c r="O379" s="25" t="str">
        <f t="shared" si="25"/>
        <v>miércoles</v>
      </c>
      <c r="P379" s="27">
        <f t="shared" si="26"/>
        <v>9</v>
      </c>
      <c r="Q379" s="22" t="str">
        <f t="shared" si="27"/>
        <v>septiembre</v>
      </c>
    </row>
    <row r="380" spans="1:17" x14ac:dyDescent="0.25">
      <c r="A380">
        <v>5</v>
      </c>
      <c r="B380" t="s">
        <v>751</v>
      </c>
      <c r="C380" t="s">
        <v>6</v>
      </c>
      <c r="D380" t="s">
        <v>661</v>
      </c>
      <c r="E380">
        <v>438004915</v>
      </c>
      <c r="H380">
        <v>2000</v>
      </c>
      <c r="I380" s="19">
        <v>1200</v>
      </c>
      <c r="K380">
        <v>800</v>
      </c>
      <c r="M380" s="39" t="s">
        <v>746</v>
      </c>
      <c r="N380" s="25">
        <f t="shared" si="24"/>
        <v>17</v>
      </c>
      <c r="O380" s="25" t="str">
        <f t="shared" si="25"/>
        <v>miércoles</v>
      </c>
      <c r="P380" s="27">
        <f t="shared" si="26"/>
        <v>9</v>
      </c>
      <c r="Q380" s="22" t="str">
        <f t="shared" si="27"/>
        <v>septiembre</v>
      </c>
    </row>
    <row r="381" spans="1:17" x14ac:dyDescent="0.25">
      <c r="A381">
        <v>5</v>
      </c>
      <c r="B381" t="s">
        <v>752</v>
      </c>
      <c r="C381" t="s">
        <v>19</v>
      </c>
      <c r="D381" t="s">
        <v>759</v>
      </c>
      <c r="E381">
        <v>438004573</v>
      </c>
      <c r="H381">
        <v>1201</v>
      </c>
      <c r="I381" s="19">
        <v>1200</v>
      </c>
      <c r="K381">
        <v>1</v>
      </c>
      <c r="M381" s="39" t="s">
        <v>746</v>
      </c>
      <c r="N381" s="25">
        <f t="shared" si="24"/>
        <v>17</v>
      </c>
      <c r="O381" s="25" t="str">
        <f t="shared" si="25"/>
        <v>miércoles</v>
      </c>
      <c r="P381" s="27">
        <f t="shared" si="26"/>
        <v>9</v>
      </c>
      <c r="Q381" s="22" t="str">
        <f t="shared" si="27"/>
        <v>septiembre</v>
      </c>
    </row>
    <row r="382" spans="1:17" x14ac:dyDescent="0.25">
      <c r="A382">
        <v>5</v>
      </c>
      <c r="B382" t="s">
        <v>753</v>
      </c>
      <c r="C382" t="s">
        <v>6</v>
      </c>
      <c r="D382" t="s">
        <v>534</v>
      </c>
      <c r="E382">
        <v>438004243</v>
      </c>
      <c r="H382">
        <v>1880</v>
      </c>
      <c r="I382" s="19">
        <v>1200</v>
      </c>
      <c r="K382">
        <v>680</v>
      </c>
      <c r="M382" s="39" t="s">
        <v>746</v>
      </c>
      <c r="N382" s="25">
        <f t="shared" si="24"/>
        <v>17</v>
      </c>
      <c r="O382" s="25" t="str">
        <f t="shared" si="25"/>
        <v>miércoles</v>
      </c>
      <c r="P382" s="27">
        <f t="shared" si="26"/>
        <v>9</v>
      </c>
      <c r="Q382" s="22" t="str">
        <f t="shared" si="27"/>
        <v>septiembre</v>
      </c>
    </row>
    <row r="383" spans="1:17" x14ac:dyDescent="0.25">
      <c r="A383">
        <v>11</v>
      </c>
      <c r="B383" t="s">
        <v>760</v>
      </c>
      <c r="C383" t="s">
        <v>6</v>
      </c>
      <c r="D383" t="s">
        <v>788</v>
      </c>
      <c r="E383">
        <v>438175398</v>
      </c>
      <c r="H383">
        <v>1200</v>
      </c>
      <c r="I383" s="19">
        <v>1200</v>
      </c>
      <c r="M383" s="39" t="s">
        <v>761</v>
      </c>
      <c r="N383" s="25">
        <f t="shared" si="24"/>
        <v>18</v>
      </c>
      <c r="O383" s="25" t="str">
        <f t="shared" si="25"/>
        <v>jueves</v>
      </c>
      <c r="P383" s="27">
        <f t="shared" si="26"/>
        <v>9</v>
      </c>
      <c r="Q383" s="22" t="str">
        <f t="shared" si="27"/>
        <v>septiembre</v>
      </c>
    </row>
    <row r="384" spans="1:17" x14ac:dyDescent="0.25">
      <c r="A384">
        <v>11</v>
      </c>
      <c r="B384" t="s">
        <v>762</v>
      </c>
      <c r="C384" t="s">
        <v>6</v>
      </c>
      <c r="D384" t="s">
        <v>789</v>
      </c>
      <c r="E384">
        <v>438168085</v>
      </c>
      <c r="F384" t="s">
        <v>790</v>
      </c>
      <c r="G384">
        <v>438168106</v>
      </c>
      <c r="H384">
        <v>4040</v>
      </c>
      <c r="I384" s="19">
        <v>2100</v>
      </c>
      <c r="K384">
        <v>1940</v>
      </c>
      <c r="M384" s="39" t="s">
        <v>761</v>
      </c>
      <c r="N384" s="25">
        <f t="shared" si="24"/>
        <v>18</v>
      </c>
      <c r="O384" s="25" t="str">
        <f t="shared" si="25"/>
        <v>jueves</v>
      </c>
      <c r="P384" s="27">
        <f t="shared" si="26"/>
        <v>9</v>
      </c>
      <c r="Q384" s="22" t="str">
        <f t="shared" si="27"/>
        <v>septiembre</v>
      </c>
    </row>
    <row r="385" spans="1:17" x14ac:dyDescent="0.25">
      <c r="A385">
        <v>10</v>
      </c>
      <c r="B385" t="s">
        <v>763</v>
      </c>
      <c r="C385" t="s">
        <v>19</v>
      </c>
      <c r="D385" t="s">
        <v>791</v>
      </c>
      <c r="E385">
        <v>438165045</v>
      </c>
      <c r="H385">
        <v>3020</v>
      </c>
      <c r="I385" s="19">
        <v>1600</v>
      </c>
      <c r="K385">
        <v>1420</v>
      </c>
      <c r="M385" s="39" t="s">
        <v>761</v>
      </c>
      <c r="N385" s="25">
        <f t="shared" si="24"/>
        <v>18</v>
      </c>
      <c r="O385" s="25" t="str">
        <f t="shared" si="25"/>
        <v>jueves</v>
      </c>
      <c r="P385" s="27">
        <f t="shared" si="26"/>
        <v>9</v>
      </c>
      <c r="Q385" s="22" t="str">
        <f t="shared" si="27"/>
        <v>septiembre</v>
      </c>
    </row>
    <row r="386" spans="1:17" x14ac:dyDescent="0.25">
      <c r="A386">
        <v>10</v>
      </c>
      <c r="B386" t="s">
        <v>764</v>
      </c>
      <c r="C386" t="s">
        <v>19</v>
      </c>
      <c r="D386" t="s">
        <v>765</v>
      </c>
      <c r="E386">
        <v>438161855</v>
      </c>
      <c r="H386">
        <v>3260</v>
      </c>
      <c r="I386" s="19">
        <v>1200</v>
      </c>
      <c r="K386">
        <v>2060</v>
      </c>
      <c r="M386" s="39" t="s">
        <v>761</v>
      </c>
      <c r="N386" s="25">
        <f t="shared" ref="N386:N449" si="28">DAY(M386)</f>
        <v>18</v>
      </c>
      <c r="O386" s="25" t="str">
        <f t="shared" ref="O386:O449" si="29">TEXT(M386,"DDDD")</f>
        <v>jueves</v>
      </c>
      <c r="P386" s="27">
        <f t="shared" si="26"/>
        <v>9</v>
      </c>
      <c r="Q386" s="22" t="str">
        <f t="shared" si="27"/>
        <v>septiembre</v>
      </c>
    </row>
    <row r="387" spans="1:17" x14ac:dyDescent="0.25">
      <c r="A387">
        <v>10</v>
      </c>
      <c r="B387" t="s">
        <v>766</v>
      </c>
      <c r="C387" t="s">
        <v>19</v>
      </c>
      <c r="D387" t="s">
        <v>792</v>
      </c>
      <c r="E387">
        <v>438165045</v>
      </c>
      <c r="H387">
        <v>4720</v>
      </c>
      <c r="I387" s="19">
        <v>1600</v>
      </c>
      <c r="K387">
        <v>1420</v>
      </c>
      <c r="M387" s="39" t="s">
        <v>761</v>
      </c>
      <c r="N387" s="25">
        <f t="shared" si="28"/>
        <v>18</v>
      </c>
      <c r="O387" s="25" t="str">
        <f t="shared" si="29"/>
        <v>jueves</v>
      </c>
      <c r="P387" s="27">
        <f t="shared" si="26"/>
        <v>9</v>
      </c>
      <c r="Q387" s="22" t="str">
        <f t="shared" si="27"/>
        <v>septiembre</v>
      </c>
    </row>
    <row r="388" spans="1:17" x14ac:dyDescent="0.25">
      <c r="A388">
        <v>9</v>
      </c>
      <c r="B388" t="s">
        <v>767</v>
      </c>
      <c r="C388" t="s">
        <v>6</v>
      </c>
      <c r="D388" t="s">
        <v>793</v>
      </c>
      <c r="E388">
        <v>438156995</v>
      </c>
      <c r="H388">
        <v>1450</v>
      </c>
      <c r="I388" s="19">
        <v>1450</v>
      </c>
      <c r="M388" s="39" t="s">
        <v>761</v>
      </c>
      <c r="N388" s="25">
        <f t="shared" si="28"/>
        <v>18</v>
      </c>
      <c r="O388" s="25" t="str">
        <f t="shared" si="29"/>
        <v>jueves</v>
      </c>
      <c r="P388" s="27">
        <f t="shared" si="26"/>
        <v>9</v>
      </c>
      <c r="Q388" s="22" t="str">
        <f t="shared" si="27"/>
        <v>septiembre</v>
      </c>
    </row>
    <row r="389" spans="1:17" x14ac:dyDescent="0.25">
      <c r="A389">
        <v>9</v>
      </c>
      <c r="B389" t="s">
        <v>768</v>
      </c>
      <c r="C389" t="s">
        <v>155</v>
      </c>
      <c r="D389" t="s">
        <v>794</v>
      </c>
      <c r="E389">
        <v>438155461</v>
      </c>
      <c r="H389">
        <v>1900</v>
      </c>
      <c r="I389" s="19">
        <v>1200</v>
      </c>
      <c r="K389">
        <v>700</v>
      </c>
      <c r="M389" s="39" t="s">
        <v>761</v>
      </c>
      <c r="N389" s="25">
        <f t="shared" si="28"/>
        <v>18</v>
      </c>
      <c r="O389" s="25" t="str">
        <f t="shared" si="29"/>
        <v>jueves</v>
      </c>
      <c r="P389" s="27">
        <f t="shared" si="26"/>
        <v>9</v>
      </c>
      <c r="Q389" s="22" t="str">
        <f t="shared" si="27"/>
        <v>septiembre</v>
      </c>
    </row>
    <row r="390" spans="1:17" x14ac:dyDescent="0.25">
      <c r="A390">
        <v>9</v>
      </c>
      <c r="B390" t="s">
        <v>769</v>
      </c>
      <c r="C390" t="s">
        <v>155</v>
      </c>
      <c r="D390" t="s">
        <v>795</v>
      </c>
      <c r="E390">
        <v>438153621</v>
      </c>
      <c r="H390">
        <v>1445</v>
      </c>
      <c r="I390" s="19">
        <v>1200</v>
      </c>
      <c r="K390">
        <v>245</v>
      </c>
      <c r="M390" s="39" t="s">
        <v>761</v>
      </c>
      <c r="N390" s="25">
        <f t="shared" si="28"/>
        <v>18</v>
      </c>
      <c r="O390" s="25" t="str">
        <f t="shared" si="29"/>
        <v>jueves</v>
      </c>
      <c r="P390" s="27">
        <f t="shared" si="26"/>
        <v>9</v>
      </c>
      <c r="Q390" s="22" t="str">
        <f t="shared" si="27"/>
        <v>septiembre</v>
      </c>
    </row>
    <row r="391" spans="1:17" x14ac:dyDescent="0.25">
      <c r="A391">
        <v>8</v>
      </c>
      <c r="B391" t="s">
        <v>770</v>
      </c>
      <c r="C391" t="s">
        <v>6</v>
      </c>
      <c r="D391" t="s">
        <v>771</v>
      </c>
      <c r="E391">
        <v>438136958</v>
      </c>
      <c r="F391" t="s">
        <v>796</v>
      </c>
      <c r="G391">
        <v>438136853</v>
      </c>
      <c r="H391">
        <v>2400</v>
      </c>
      <c r="I391" s="19">
        <v>1800</v>
      </c>
      <c r="K391">
        <v>600</v>
      </c>
      <c r="M391" s="39" t="s">
        <v>761</v>
      </c>
      <c r="N391" s="25">
        <f t="shared" si="28"/>
        <v>18</v>
      </c>
      <c r="O391" s="25" t="str">
        <f t="shared" si="29"/>
        <v>jueves</v>
      </c>
      <c r="P391" s="27">
        <f t="shared" si="26"/>
        <v>9</v>
      </c>
      <c r="Q391" s="22" t="str">
        <f t="shared" si="27"/>
        <v>septiembre</v>
      </c>
    </row>
    <row r="392" spans="1:17" x14ac:dyDescent="0.25">
      <c r="A392">
        <v>7</v>
      </c>
      <c r="B392" t="s">
        <v>772</v>
      </c>
      <c r="C392" t="s">
        <v>6</v>
      </c>
      <c r="D392" t="s">
        <v>773</v>
      </c>
      <c r="E392">
        <v>438133740</v>
      </c>
      <c r="H392">
        <v>1200</v>
      </c>
      <c r="I392" s="19">
        <v>1200</v>
      </c>
      <c r="M392" s="39" t="s">
        <v>761</v>
      </c>
      <c r="N392" s="25">
        <f t="shared" si="28"/>
        <v>18</v>
      </c>
      <c r="O392" s="25" t="str">
        <f t="shared" si="29"/>
        <v>jueves</v>
      </c>
      <c r="P392" s="27">
        <f t="shared" si="26"/>
        <v>9</v>
      </c>
      <c r="Q392" s="22" t="str">
        <f t="shared" si="27"/>
        <v>septiembre</v>
      </c>
    </row>
    <row r="393" spans="1:17" x14ac:dyDescent="0.25">
      <c r="A393">
        <v>7</v>
      </c>
      <c r="B393" t="s">
        <v>774</v>
      </c>
      <c r="C393" t="s">
        <v>155</v>
      </c>
      <c r="D393" t="s">
        <v>608</v>
      </c>
      <c r="H393">
        <v>500</v>
      </c>
      <c r="M393" s="39" t="s">
        <v>761</v>
      </c>
      <c r="N393" s="25">
        <f t="shared" si="28"/>
        <v>18</v>
      </c>
      <c r="O393" s="25" t="str">
        <f t="shared" si="29"/>
        <v>jueves</v>
      </c>
      <c r="P393" s="27">
        <f t="shared" si="26"/>
        <v>9</v>
      </c>
      <c r="Q393" s="22" t="str">
        <f t="shared" si="27"/>
        <v>septiembre</v>
      </c>
    </row>
    <row r="394" spans="1:17" x14ac:dyDescent="0.25">
      <c r="A394">
        <v>7</v>
      </c>
      <c r="B394" t="s">
        <v>775</v>
      </c>
      <c r="C394" t="s">
        <v>6</v>
      </c>
      <c r="D394" t="s">
        <v>776</v>
      </c>
      <c r="E394">
        <v>438129757</v>
      </c>
      <c r="F394" t="s">
        <v>776</v>
      </c>
      <c r="G394">
        <v>438130427</v>
      </c>
      <c r="H394">
        <v>2440</v>
      </c>
      <c r="I394" s="19">
        <v>2100</v>
      </c>
      <c r="K394">
        <v>340</v>
      </c>
      <c r="M394" s="39" t="s">
        <v>761</v>
      </c>
      <c r="N394" s="25">
        <f t="shared" si="28"/>
        <v>18</v>
      </c>
      <c r="O394" s="25" t="str">
        <f t="shared" si="29"/>
        <v>jueves</v>
      </c>
      <c r="P394" s="27">
        <f t="shared" si="26"/>
        <v>9</v>
      </c>
      <c r="Q394" s="22" t="str">
        <f t="shared" si="27"/>
        <v>septiembre</v>
      </c>
    </row>
    <row r="395" spans="1:17" x14ac:dyDescent="0.25">
      <c r="A395">
        <v>7</v>
      </c>
      <c r="B395" t="s">
        <v>777</v>
      </c>
      <c r="C395" t="s">
        <v>6</v>
      </c>
      <c r="D395" t="s">
        <v>797</v>
      </c>
      <c r="E395">
        <v>438126915</v>
      </c>
      <c r="H395">
        <v>2120</v>
      </c>
      <c r="I395" s="19">
        <v>1200</v>
      </c>
      <c r="K395">
        <v>920</v>
      </c>
      <c r="M395" s="39" t="s">
        <v>761</v>
      </c>
      <c r="N395" s="25">
        <f t="shared" si="28"/>
        <v>18</v>
      </c>
      <c r="O395" s="25" t="str">
        <f t="shared" si="29"/>
        <v>jueves</v>
      </c>
      <c r="P395" s="27">
        <f t="shared" si="26"/>
        <v>9</v>
      </c>
      <c r="Q395" s="22" t="str">
        <f t="shared" si="27"/>
        <v>septiembre</v>
      </c>
    </row>
    <row r="396" spans="1:17" x14ac:dyDescent="0.25">
      <c r="A396">
        <v>7</v>
      </c>
      <c r="B396" t="s">
        <v>778</v>
      </c>
      <c r="C396" t="s">
        <v>6</v>
      </c>
      <c r="D396" t="s">
        <v>779</v>
      </c>
      <c r="E396">
        <v>438124924</v>
      </c>
      <c r="H396">
        <v>1680</v>
      </c>
      <c r="I396" s="19">
        <v>1200</v>
      </c>
      <c r="K396">
        <v>480</v>
      </c>
      <c r="M396" s="39" t="s">
        <v>761</v>
      </c>
      <c r="N396" s="25">
        <f t="shared" si="28"/>
        <v>18</v>
      </c>
      <c r="O396" s="25" t="str">
        <f t="shared" si="29"/>
        <v>jueves</v>
      </c>
      <c r="P396" s="27">
        <f t="shared" si="26"/>
        <v>9</v>
      </c>
      <c r="Q396" s="22" t="str">
        <f t="shared" si="27"/>
        <v>septiembre</v>
      </c>
    </row>
    <row r="397" spans="1:17" x14ac:dyDescent="0.25">
      <c r="A397">
        <v>6</v>
      </c>
      <c r="B397" t="s">
        <v>780</v>
      </c>
      <c r="C397" t="s">
        <v>19</v>
      </c>
      <c r="D397" t="s">
        <v>465</v>
      </c>
      <c r="E397">
        <v>438118598</v>
      </c>
      <c r="H397">
        <v>3600</v>
      </c>
      <c r="I397" s="19">
        <v>2550</v>
      </c>
      <c r="K397">
        <v>1050</v>
      </c>
      <c r="M397" s="39" t="s">
        <v>761</v>
      </c>
      <c r="N397" s="25">
        <f t="shared" si="28"/>
        <v>18</v>
      </c>
      <c r="O397" s="25" t="str">
        <f t="shared" si="29"/>
        <v>jueves</v>
      </c>
      <c r="P397" s="27">
        <f t="shared" ref="P397:P460" si="30">MONTH(M397)</f>
        <v>9</v>
      </c>
      <c r="Q397" s="22" t="str">
        <f t="shared" ref="Q397:Q460" si="31">TEXT(M397,"MMMM")</f>
        <v>septiembre</v>
      </c>
    </row>
    <row r="398" spans="1:17" x14ac:dyDescent="0.25">
      <c r="A398">
        <v>6</v>
      </c>
      <c r="B398" t="s">
        <v>781</v>
      </c>
      <c r="C398" t="s">
        <v>19</v>
      </c>
      <c r="D398" t="s">
        <v>522</v>
      </c>
      <c r="E398">
        <v>438119236</v>
      </c>
      <c r="H398">
        <v>1760</v>
      </c>
      <c r="I398" s="19">
        <v>1200</v>
      </c>
      <c r="K398">
        <v>560</v>
      </c>
      <c r="M398" s="39" t="s">
        <v>761</v>
      </c>
      <c r="N398" s="25">
        <f t="shared" si="28"/>
        <v>18</v>
      </c>
      <c r="O398" s="25" t="str">
        <f t="shared" si="29"/>
        <v>jueves</v>
      </c>
      <c r="P398" s="27">
        <f t="shared" si="30"/>
        <v>9</v>
      </c>
      <c r="Q398" s="22" t="str">
        <f t="shared" si="31"/>
        <v>septiembre</v>
      </c>
    </row>
    <row r="399" spans="1:17" x14ac:dyDescent="0.25">
      <c r="A399">
        <v>6</v>
      </c>
      <c r="B399" t="s">
        <v>782</v>
      </c>
      <c r="C399" t="s">
        <v>6</v>
      </c>
      <c r="D399" t="s">
        <v>754</v>
      </c>
      <c r="E399">
        <v>438118290</v>
      </c>
      <c r="H399">
        <v>2700</v>
      </c>
      <c r="I399" s="19">
        <v>1200</v>
      </c>
      <c r="K399">
        <v>1500</v>
      </c>
      <c r="M399" s="39" t="s">
        <v>761</v>
      </c>
      <c r="N399" s="25">
        <f t="shared" si="28"/>
        <v>18</v>
      </c>
      <c r="O399" s="25" t="str">
        <f t="shared" si="29"/>
        <v>jueves</v>
      </c>
      <c r="P399" s="27">
        <f t="shared" si="30"/>
        <v>9</v>
      </c>
      <c r="Q399" s="22" t="str">
        <f t="shared" si="31"/>
        <v>septiembre</v>
      </c>
    </row>
    <row r="400" spans="1:17" x14ac:dyDescent="0.25">
      <c r="A400">
        <v>5</v>
      </c>
      <c r="B400" t="s">
        <v>783</v>
      </c>
      <c r="C400" t="s">
        <v>6</v>
      </c>
      <c r="D400" t="s">
        <v>784</v>
      </c>
      <c r="E400">
        <v>438114657</v>
      </c>
      <c r="F400" t="s">
        <v>798</v>
      </c>
      <c r="H400">
        <v>4020</v>
      </c>
      <c r="I400" s="19">
        <v>2100</v>
      </c>
      <c r="K400">
        <v>1920</v>
      </c>
      <c r="M400" s="39" t="s">
        <v>761</v>
      </c>
      <c r="N400" s="25">
        <f t="shared" si="28"/>
        <v>18</v>
      </c>
      <c r="O400" s="25" t="str">
        <f t="shared" si="29"/>
        <v>jueves</v>
      </c>
      <c r="P400" s="27">
        <f t="shared" si="30"/>
        <v>9</v>
      </c>
      <c r="Q400" s="22" t="str">
        <f t="shared" si="31"/>
        <v>septiembre</v>
      </c>
    </row>
    <row r="401" spans="1:20" x14ac:dyDescent="0.25">
      <c r="A401">
        <v>5</v>
      </c>
      <c r="B401" t="s">
        <v>785</v>
      </c>
      <c r="C401" t="s">
        <v>6</v>
      </c>
      <c r="D401" t="s">
        <v>799</v>
      </c>
      <c r="E401">
        <v>438114071</v>
      </c>
      <c r="H401">
        <v>2680</v>
      </c>
      <c r="I401" s="19">
        <v>1200</v>
      </c>
      <c r="K401">
        <v>1480</v>
      </c>
      <c r="M401" s="39" t="s">
        <v>761</v>
      </c>
      <c r="N401" s="25">
        <f t="shared" si="28"/>
        <v>18</v>
      </c>
      <c r="O401" s="25" t="str">
        <f t="shared" si="29"/>
        <v>jueves</v>
      </c>
      <c r="P401" s="27">
        <f t="shared" si="30"/>
        <v>9</v>
      </c>
      <c r="Q401" s="22" t="str">
        <f t="shared" si="31"/>
        <v>septiembre</v>
      </c>
    </row>
    <row r="402" spans="1:20" x14ac:dyDescent="0.25">
      <c r="A402">
        <v>5</v>
      </c>
      <c r="B402" t="s">
        <v>786</v>
      </c>
      <c r="C402" t="s">
        <v>155</v>
      </c>
      <c r="D402" t="s">
        <v>800</v>
      </c>
      <c r="E402">
        <v>438113615</v>
      </c>
      <c r="H402">
        <v>1750</v>
      </c>
      <c r="I402" s="19">
        <v>1200</v>
      </c>
      <c r="K402">
        <v>550</v>
      </c>
      <c r="M402" s="39" t="s">
        <v>761</v>
      </c>
      <c r="N402" s="25">
        <f t="shared" si="28"/>
        <v>18</v>
      </c>
      <c r="O402" s="25" t="str">
        <f t="shared" si="29"/>
        <v>jueves</v>
      </c>
      <c r="P402" s="27">
        <f t="shared" si="30"/>
        <v>9</v>
      </c>
      <c r="Q402" s="22" t="str">
        <f t="shared" si="31"/>
        <v>septiembre</v>
      </c>
    </row>
    <row r="403" spans="1:20" x14ac:dyDescent="0.25">
      <c r="A403">
        <v>4</v>
      </c>
      <c r="B403" t="s">
        <v>787</v>
      </c>
      <c r="C403" t="s">
        <v>155</v>
      </c>
      <c r="D403" t="s">
        <v>800</v>
      </c>
      <c r="E403">
        <v>438113406</v>
      </c>
      <c r="H403">
        <v>1845</v>
      </c>
      <c r="I403" s="19">
        <v>1600</v>
      </c>
      <c r="K403">
        <v>245</v>
      </c>
      <c r="M403" s="39" t="s">
        <v>761</v>
      </c>
      <c r="N403" s="25">
        <f t="shared" si="28"/>
        <v>18</v>
      </c>
      <c r="O403" s="25" t="str">
        <f t="shared" si="29"/>
        <v>jueves</v>
      </c>
      <c r="P403" s="27">
        <f t="shared" si="30"/>
        <v>9</v>
      </c>
      <c r="Q403" s="22" t="str">
        <f t="shared" si="31"/>
        <v>septiembre</v>
      </c>
    </row>
    <row r="404" spans="1:20" x14ac:dyDescent="0.25">
      <c r="A404">
        <v>8</v>
      </c>
      <c r="B404" t="s">
        <v>555</v>
      </c>
      <c r="C404" t="s">
        <v>6</v>
      </c>
      <c r="D404" t="s">
        <v>559</v>
      </c>
      <c r="E404">
        <v>438251569</v>
      </c>
      <c r="H404">
        <v>2350</v>
      </c>
      <c r="I404" s="19">
        <v>2350</v>
      </c>
      <c r="M404" s="39">
        <v>45919</v>
      </c>
      <c r="N404" s="25">
        <f t="shared" si="28"/>
        <v>19</v>
      </c>
      <c r="O404" s="25" t="str">
        <f t="shared" si="29"/>
        <v>viernes</v>
      </c>
      <c r="P404" s="27">
        <f t="shared" si="30"/>
        <v>9</v>
      </c>
      <c r="Q404" s="22" t="str">
        <f t="shared" si="31"/>
        <v>septiembre</v>
      </c>
      <c r="T404" t="s">
        <v>554</v>
      </c>
    </row>
    <row r="405" spans="1:20" x14ac:dyDescent="0.25">
      <c r="A405">
        <v>8</v>
      </c>
      <c r="B405" t="s">
        <v>556</v>
      </c>
      <c r="C405" t="s">
        <v>6</v>
      </c>
      <c r="D405" t="s">
        <v>560</v>
      </c>
      <c r="E405">
        <v>438245005</v>
      </c>
      <c r="H405">
        <v>2389</v>
      </c>
      <c r="I405" s="19">
        <v>1850</v>
      </c>
      <c r="K405">
        <v>539</v>
      </c>
      <c r="M405" s="39">
        <v>45919</v>
      </c>
      <c r="N405" s="25">
        <f t="shared" si="28"/>
        <v>19</v>
      </c>
      <c r="O405" s="25" t="str">
        <f t="shared" si="29"/>
        <v>viernes</v>
      </c>
      <c r="P405" s="27">
        <f t="shared" si="30"/>
        <v>9</v>
      </c>
      <c r="Q405" s="22" t="str">
        <f t="shared" si="31"/>
        <v>septiembre</v>
      </c>
      <c r="T405" t="s">
        <v>554</v>
      </c>
    </row>
    <row r="406" spans="1:20" x14ac:dyDescent="0.25">
      <c r="A406">
        <v>7</v>
      </c>
      <c r="B406" t="s">
        <v>557</v>
      </c>
      <c r="C406" t="s">
        <v>6</v>
      </c>
      <c r="D406" t="s">
        <v>53</v>
      </c>
      <c r="E406">
        <v>438241211</v>
      </c>
      <c r="F406" t="s">
        <v>561</v>
      </c>
      <c r="G406">
        <v>438241932</v>
      </c>
      <c r="H406">
        <v>3310</v>
      </c>
      <c r="I406" s="19">
        <v>2480</v>
      </c>
      <c r="K406" s="19">
        <v>830</v>
      </c>
      <c r="L406" s="63"/>
      <c r="M406" s="39">
        <v>45919</v>
      </c>
      <c r="N406" s="25">
        <f t="shared" si="28"/>
        <v>19</v>
      </c>
      <c r="O406" s="25" t="str">
        <f t="shared" si="29"/>
        <v>viernes</v>
      </c>
      <c r="P406" s="27">
        <f t="shared" si="30"/>
        <v>9</v>
      </c>
      <c r="Q406" s="22" t="str">
        <f t="shared" si="31"/>
        <v>septiembre</v>
      </c>
      <c r="T406" t="s">
        <v>554</v>
      </c>
    </row>
    <row r="407" spans="1:20" x14ac:dyDescent="0.25">
      <c r="A407">
        <v>7</v>
      </c>
      <c r="B407" t="s">
        <v>518</v>
      </c>
      <c r="C407" t="s">
        <v>6</v>
      </c>
      <c r="D407" t="s">
        <v>562</v>
      </c>
      <c r="E407">
        <v>438231308</v>
      </c>
      <c r="F407" t="s">
        <v>563</v>
      </c>
      <c r="G407">
        <v>438236987</v>
      </c>
      <c r="H407">
        <v>5440</v>
      </c>
      <c r="I407" s="19">
        <v>2800</v>
      </c>
      <c r="K407" s="19">
        <v>2640</v>
      </c>
      <c r="L407" s="63"/>
      <c r="M407" s="39">
        <v>45919</v>
      </c>
      <c r="N407" s="25">
        <f t="shared" si="28"/>
        <v>19</v>
      </c>
      <c r="O407" s="25" t="str">
        <f t="shared" si="29"/>
        <v>viernes</v>
      </c>
      <c r="P407" s="27">
        <f t="shared" si="30"/>
        <v>9</v>
      </c>
      <c r="Q407" s="22" t="str">
        <f t="shared" si="31"/>
        <v>septiembre</v>
      </c>
      <c r="T407" t="s">
        <v>554</v>
      </c>
    </row>
    <row r="408" spans="1:20" x14ac:dyDescent="0.25">
      <c r="A408">
        <v>7</v>
      </c>
      <c r="B408" t="s">
        <v>558</v>
      </c>
      <c r="C408" t="s">
        <v>6</v>
      </c>
      <c r="D408" t="s">
        <v>564</v>
      </c>
      <c r="E408">
        <v>438233103</v>
      </c>
      <c r="H408">
        <v>2190</v>
      </c>
      <c r="I408" s="19">
        <v>1440</v>
      </c>
      <c r="K408" s="19">
        <v>750</v>
      </c>
      <c r="L408" s="63"/>
      <c r="M408" s="39">
        <v>45919</v>
      </c>
      <c r="N408" s="25">
        <f t="shared" si="28"/>
        <v>19</v>
      </c>
      <c r="O408" s="25" t="str">
        <f t="shared" si="29"/>
        <v>viernes</v>
      </c>
      <c r="P408" s="27">
        <f t="shared" si="30"/>
        <v>9</v>
      </c>
      <c r="Q408" s="22" t="str">
        <f t="shared" si="31"/>
        <v>septiembre</v>
      </c>
      <c r="T408" t="s">
        <v>554</v>
      </c>
    </row>
    <row r="409" spans="1:20" x14ac:dyDescent="0.25">
      <c r="A409">
        <v>12</v>
      </c>
      <c r="B409" t="s">
        <v>144</v>
      </c>
      <c r="C409" t="s">
        <v>155</v>
      </c>
      <c r="D409" t="s">
        <v>174</v>
      </c>
      <c r="E409">
        <v>438445242</v>
      </c>
      <c r="H409">
        <v>2880</v>
      </c>
      <c r="I409" s="19">
        <v>2580</v>
      </c>
      <c r="J409">
        <v>60</v>
      </c>
      <c r="K409" s="19">
        <v>280</v>
      </c>
      <c r="L409" s="63"/>
      <c r="M409" s="39">
        <v>45920</v>
      </c>
      <c r="N409" s="25">
        <f t="shared" si="28"/>
        <v>20</v>
      </c>
      <c r="O409" s="25" t="str">
        <f t="shared" si="29"/>
        <v>sábado</v>
      </c>
      <c r="P409" s="27">
        <f t="shared" si="30"/>
        <v>9</v>
      </c>
      <c r="Q409" s="22" t="str">
        <f t="shared" si="31"/>
        <v>septiembre</v>
      </c>
      <c r="T409" t="s">
        <v>554</v>
      </c>
    </row>
    <row r="410" spans="1:20" x14ac:dyDescent="0.25">
      <c r="A410">
        <v>12</v>
      </c>
      <c r="B410" t="s">
        <v>565</v>
      </c>
      <c r="C410" t="s">
        <v>6</v>
      </c>
      <c r="D410" t="s">
        <v>574</v>
      </c>
      <c r="E410">
        <v>438440444</v>
      </c>
      <c r="H410">
        <v>3900</v>
      </c>
      <c r="I410" s="19">
        <v>2540</v>
      </c>
      <c r="J410">
        <v>60</v>
      </c>
      <c r="K410" s="19">
        <v>1300</v>
      </c>
      <c r="L410" s="63"/>
      <c r="M410" s="39">
        <v>45920</v>
      </c>
      <c r="N410" s="25">
        <f t="shared" si="28"/>
        <v>20</v>
      </c>
      <c r="O410" s="25" t="str">
        <f t="shared" si="29"/>
        <v>sábado</v>
      </c>
      <c r="P410" s="27">
        <f t="shared" si="30"/>
        <v>9</v>
      </c>
      <c r="Q410" s="22" t="str">
        <f t="shared" si="31"/>
        <v>septiembre</v>
      </c>
      <c r="T410" t="s">
        <v>554</v>
      </c>
    </row>
    <row r="411" spans="1:20" x14ac:dyDescent="0.25">
      <c r="A411">
        <v>11</v>
      </c>
      <c r="B411" t="s">
        <v>566</v>
      </c>
      <c r="C411" t="s">
        <v>6</v>
      </c>
      <c r="D411" t="s">
        <v>575</v>
      </c>
      <c r="E411">
        <v>438434053</v>
      </c>
      <c r="F411" t="s">
        <v>576</v>
      </c>
      <c r="G411">
        <v>438431501</v>
      </c>
      <c r="H411">
        <v>6400</v>
      </c>
      <c r="I411" s="19">
        <v>3440</v>
      </c>
      <c r="J411">
        <v>120</v>
      </c>
      <c r="K411" s="19">
        <v>2840</v>
      </c>
      <c r="L411" s="63"/>
      <c r="M411" s="39">
        <v>45920</v>
      </c>
      <c r="N411" s="25">
        <f t="shared" si="28"/>
        <v>20</v>
      </c>
      <c r="O411" s="25" t="str">
        <f t="shared" si="29"/>
        <v>sábado</v>
      </c>
      <c r="P411" s="27">
        <f t="shared" si="30"/>
        <v>9</v>
      </c>
      <c r="Q411" s="22" t="str">
        <f t="shared" si="31"/>
        <v>septiembre</v>
      </c>
      <c r="T411" t="s">
        <v>554</v>
      </c>
    </row>
    <row r="412" spans="1:20" x14ac:dyDescent="0.25">
      <c r="A412">
        <v>11</v>
      </c>
      <c r="B412" t="s">
        <v>482</v>
      </c>
      <c r="C412" t="s">
        <v>19</v>
      </c>
      <c r="D412" t="s">
        <v>577</v>
      </c>
      <c r="E412">
        <v>438428834</v>
      </c>
      <c r="F412" t="s">
        <v>578</v>
      </c>
      <c r="G412">
        <v>438430911</v>
      </c>
      <c r="H412">
        <v>5040</v>
      </c>
      <c r="I412" s="19">
        <v>3440</v>
      </c>
      <c r="J412">
        <v>120</v>
      </c>
      <c r="K412" s="19">
        <v>1480</v>
      </c>
      <c r="L412" s="63"/>
      <c r="M412" s="39">
        <v>45920</v>
      </c>
      <c r="N412" s="25">
        <f t="shared" si="28"/>
        <v>20</v>
      </c>
      <c r="O412" s="25" t="str">
        <f t="shared" si="29"/>
        <v>sábado</v>
      </c>
      <c r="P412" s="27">
        <f t="shared" si="30"/>
        <v>9</v>
      </c>
      <c r="Q412" s="22" t="str">
        <f t="shared" si="31"/>
        <v>septiembre</v>
      </c>
      <c r="T412" t="s">
        <v>554</v>
      </c>
    </row>
    <row r="413" spans="1:20" x14ac:dyDescent="0.25">
      <c r="A413">
        <v>11</v>
      </c>
      <c r="B413" t="s">
        <v>567</v>
      </c>
      <c r="C413" t="s">
        <v>6</v>
      </c>
      <c r="D413" t="s">
        <v>568</v>
      </c>
      <c r="E413">
        <v>438420609</v>
      </c>
      <c r="H413">
        <v>3390</v>
      </c>
      <c r="I413" s="19">
        <v>1750</v>
      </c>
      <c r="J413">
        <v>60</v>
      </c>
      <c r="K413" s="19">
        <v>1580</v>
      </c>
      <c r="L413" s="63"/>
      <c r="M413" s="39">
        <v>45920</v>
      </c>
      <c r="N413" s="25">
        <f t="shared" si="28"/>
        <v>20</v>
      </c>
      <c r="O413" s="25" t="str">
        <f t="shared" si="29"/>
        <v>sábado</v>
      </c>
      <c r="P413" s="27">
        <f t="shared" si="30"/>
        <v>9</v>
      </c>
      <c r="Q413" s="22" t="str">
        <f t="shared" si="31"/>
        <v>septiembre</v>
      </c>
      <c r="T413" t="s">
        <v>554</v>
      </c>
    </row>
    <row r="414" spans="1:20" x14ac:dyDescent="0.25">
      <c r="A414">
        <v>11</v>
      </c>
      <c r="B414" t="s">
        <v>403</v>
      </c>
      <c r="C414" t="s">
        <v>19</v>
      </c>
      <c r="D414" t="s">
        <v>309</v>
      </c>
      <c r="E414">
        <v>438421419</v>
      </c>
      <c r="H414">
        <v>2600</v>
      </c>
      <c r="I414" s="19">
        <v>2540</v>
      </c>
      <c r="J414">
        <v>60</v>
      </c>
      <c r="M414" s="39">
        <v>45920</v>
      </c>
      <c r="N414" s="25">
        <f t="shared" si="28"/>
        <v>20</v>
      </c>
      <c r="O414" s="25" t="str">
        <f t="shared" si="29"/>
        <v>sábado</v>
      </c>
      <c r="P414" s="27">
        <f t="shared" si="30"/>
        <v>9</v>
      </c>
      <c r="Q414" s="22" t="str">
        <f t="shared" si="31"/>
        <v>septiembre</v>
      </c>
    </row>
    <row r="415" spans="1:20" x14ac:dyDescent="0.25">
      <c r="A415">
        <v>11</v>
      </c>
      <c r="B415" t="s">
        <v>569</v>
      </c>
      <c r="C415" t="s">
        <v>6</v>
      </c>
      <c r="D415" t="s">
        <v>579</v>
      </c>
      <c r="E415">
        <v>438415086</v>
      </c>
      <c r="H415">
        <v>4910</v>
      </c>
      <c r="I415" s="19">
        <v>3100</v>
      </c>
      <c r="J415">
        <v>60</v>
      </c>
      <c r="K415" s="19">
        <v>1750</v>
      </c>
      <c r="L415" s="63"/>
      <c r="M415" s="39">
        <v>45920</v>
      </c>
      <c r="N415" s="25">
        <f t="shared" si="28"/>
        <v>20</v>
      </c>
      <c r="O415" s="25" t="str">
        <f t="shared" si="29"/>
        <v>sábado</v>
      </c>
      <c r="P415" s="27">
        <f t="shared" si="30"/>
        <v>9</v>
      </c>
      <c r="Q415" s="22" t="str">
        <f t="shared" si="31"/>
        <v>septiembre</v>
      </c>
      <c r="T415" t="s">
        <v>554</v>
      </c>
    </row>
    <row r="416" spans="1:20" x14ac:dyDescent="0.25">
      <c r="A416">
        <v>10</v>
      </c>
      <c r="B416" t="s">
        <v>570</v>
      </c>
      <c r="C416" t="s">
        <v>19</v>
      </c>
      <c r="D416" t="s">
        <v>571</v>
      </c>
      <c r="E416">
        <v>438413346</v>
      </c>
      <c r="H416">
        <v>1710</v>
      </c>
      <c r="I416" s="19">
        <v>1450</v>
      </c>
      <c r="J416">
        <v>60</v>
      </c>
      <c r="K416" s="19">
        <v>200</v>
      </c>
      <c r="L416" s="63"/>
      <c r="M416" s="39">
        <v>45920</v>
      </c>
      <c r="N416" s="25">
        <f t="shared" si="28"/>
        <v>20</v>
      </c>
      <c r="O416" s="25" t="str">
        <f t="shared" si="29"/>
        <v>sábado</v>
      </c>
      <c r="P416" s="27">
        <f t="shared" si="30"/>
        <v>9</v>
      </c>
      <c r="Q416" s="22" t="str">
        <f t="shared" si="31"/>
        <v>septiembre</v>
      </c>
      <c r="T416" t="s">
        <v>554</v>
      </c>
    </row>
    <row r="417" spans="1:20" x14ac:dyDescent="0.25">
      <c r="A417" s="19">
        <v>10</v>
      </c>
      <c r="B417" s="19" t="s">
        <v>572</v>
      </c>
      <c r="C417" s="38" t="s">
        <v>19</v>
      </c>
      <c r="D417" s="38" t="s">
        <v>573</v>
      </c>
      <c r="E417" s="38">
        <v>438404684</v>
      </c>
      <c r="F417" s="19" t="s">
        <v>580</v>
      </c>
      <c r="G417" s="19">
        <v>438405322</v>
      </c>
      <c r="H417" s="19">
        <v>7410</v>
      </c>
      <c r="I417" s="19">
        <v>6150</v>
      </c>
      <c r="J417" s="19">
        <v>120</v>
      </c>
      <c r="K417" s="19">
        <v>1140</v>
      </c>
      <c r="L417" s="63"/>
      <c r="M417" s="51">
        <v>45920</v>
      </c>
      <c r="N417" s="25">
        <f t="shared" si="28"/>
        <v>20</v>
      </c>
      <c r="O417" s="25" t="str">
        <f t="shared" si="29"/>
        <v>sábado</v>
      </c>
      <c r="P417" s="37">
        <f t="shared" si="30"/>
        <v>9</v>
      </c>
      <c r="Q417" s="22" t="str">
        <f t="shared" si="31"/>
        <v>septiembre</v>
      </c>
      <c r="R417" s="19"/>
      <c r="S417" s="19"/>
      <c r="T417" s="19"/>
    </row>
    <row r="418" spans="1:20" x14ac:dyDescent="0.25">
      <c r="A418">
        <v>10</v>
      </c>
      <c r="B418" t="s">
        <v>409</v>
      </c>
      <c r="C418" t="s">
        <v>19</v>
      </c>
      <c r="D418" t="s">
        <v>491</v>
      </c>
      <c r="E418">
        <v>438396264</v>
      </c>
      <c r="F418" t="s">
        <v>130</v>
      </c>
      <c r="G418">
        <v>438396427</v>
      </c>
      <c r="H418">
        <v>3350</v>
      </c>
      <c r="I418" s="19">
        <v>2650</v>
      </c>
      <c r="J418">
        <v>120</v>
      </c>
      <c r="K418" s="19">
        <v>580</v>
      </c>
      <c r="L418" s="63"/>
      <c r="M418" s="39">
        <v>45920</v>
      </c>
      <c r="N418" s="25">
        <f t="shared" si="28"/>
        <v>20</v>
      </c>
      <c r="O418" s="25" t="str">
        <f t="shared" si="29"/>
        <v>sábado</v>
      </c>
      <c r="P418" s="27">
        <f t="shared" si="30"/>
        <v>9</v>
      </c>
      <c r="Q418" s="22" t="str">
        <f t="shared" si="31"/>
        <v>septiembre</v>
      </c>
    </row>
    <row r="419" spans="1:20" x14ac:dyDescent="0.25">
      <c r="A419">
        <v>9</v>
      </c>
      <c r="B419" t="s">
        <v>514</v>
      </c>
      <c r="C419" t="s">
        <v>6</v>
      </c>
      <c r="D419" t="s">
        <v>581</v>
      </c>
      <c r="E419">
        <v>438395114</v>
      </c>
      <c r="H419">
        <v>2260</v>
      </c>
      <c r="I419" s="19">
        <v>1950</v>
      </c>
      <c r="J419">
        <v>60</v>
      </c>
      <c r="K419" s="19">
        <v>250</v>
      </c>
      <c r="L419" s="63"/>
      <c r="M419" s="39">
        <v>45920</v>
      </c>
      <c r="N419" s="25">
        <f t="shared" si="28"/>
        <v>20</v>
      </c>
      <c r="O419" s="25" t="str">
        <f t="shared" si="29"/>
        <v>sábado</v>
      </c>
      <c r="P419" s="27">
        <f t="shared" si="30"/>
        <v>9</v>
      </c>
      <c r="Q419" s="22" t="str">
        <f t="shared" si="31"/>
        <v>septiembre</v>
      </c>
    </row>
    <row r="420" spans="1:20" x14ac:dyDescent="0.25">
      <c r="A420">
        <v>9</v>
      </c>
      <c r="B420" t="s">
        <v>263</v>
      </c>
      <c r="C420" t="s">
        <v>6</v>
      </c>
      <c r="D420" t="s">
        <v>517</v>
      </c>
      <c r="E420">
        <v>438391715</v>
      </c>
      <c r="H420">
        <v>2110</v>
      </c>
      <c r="I420" s="19">
        <v>1550</v>
      </c>
      <c r="J420">
        <v>60</v>
      </c>
      <c r="K420" s="19">
        <v>500</v>
      </c>
      <c r="L420" s="63"/>
      <c r="M420" s="39">
        <v>45920</v>
      </c>
      <c r="N420" s="25">
        <f t="shared" si="28"/>
        <v>20</v>
      </c>
      <c r="O420" s="25" t="str">
        <f t="shared" si="29"/>
        <v>sábado</v>
      </c>
      <c r="P420" s="27">
        <f t="shared" si="30"/>
        <v>9</v>
      </c>
      <c r="Q420" s="22" t="str">
        <f t="shared" si="31"/>
        <v>septiembre</v>
      </c>
    </row>
    <row r="421" spans="1:20" x14ac:dyDescent="0.25">
      <c r="A421">
        <v>12</v>
      </c>
      <c r="B421" t="s">
        <v>582</v>
      </c>
      <c r="C421" t="s">
        <v>6</v>
      </c>
      <c r="D421" t="s">
        <v>595</v>
      </c>
      <c r="E421">
        <v>438894428</v>
      </c>
      <c r="F421" t="s">
        <v>596</v>
      </c>
      <c r="G421">
        <v>438895229</v>
      </c>
      <c r="H421">
        <v>3700</v>
      </c>
      <c r="I421" s="19">
        <v>2100</v>
      </c>
      <c r="J421">
        <v>120</v>
      </c>
      <c r="K421" s="19">
        <v>1480</v>
      </c>
      <c r="L421" s="63"/>
      <c r="M421" s="39">
        <v>45924</v>
      </c>
      <c r="N421" s="25">
        <f t="shared" si="28"/>
        <v>24</v>
      </c>
      <c r="O421" s="25" t="str">
        <f t="shared" si="29"/>
        <v>miércoles</v>
      </c>
      <c r="P421" s="27">
        <f t="shared" si="30"/>
        <v>9</v>
      </c>
      <c r="Q421" s="22" t="str">
        <f t="shared" si="31"/>
        <v>septiembre</v>
      </c>
    </row>
    <row r="422" spans="1:20" x14ac:dyDescent="0.25">
      <c r="A422">
        <v>12</v>
      </c>
      <c r="B422" t="s">
        <v>583</v>
      </c>
      <c r="C422" t="s">
        <v>19</v>
      </c>
      <c r="D422" t="s">
        <v>584</v>
      </c>
      <c r="E422">
        <v>438891157</v>
      </c>
      <c r="H422">
        <v>1560</v>
      </c>
      <c r="I422" s="19">
        <v>1200</v>
      </c>
      <c r="J422">
        <v>60</v>
      </c>
      <c r="K422" s="19">
        <v>300</v>
      </c>
      <c r="L422" s="63"/>
      <c r="M422" s="39">
        <v>45924</v>
      </c>
      <c r="N422" s="25">
        <f t="shared" si="28"/>
        <v>24</v>
      </c>
      <c r="O422" s="25" t="str">
        <f t="shared" si="29"/>
        <v>miércoles</v>
      </c>
      <c r="P422" s="27">
        <f t="shared" si="30"/>
        <v>9</v>
      </c>
      <c r="Q422" s="22" t="str">
        <f t="shared" si="31"/>
        <v>septiembre</v>
      </c>
    </row>
    <row r="423" spans="1:20" x14ac:dyDescent="0.25">
      <c r="A423">
        <v>12</v>
      </c>
      <c r="B423" t="s">
        <v>585</v>
      </c>
      <c r="C423" t="s">
        <v>6</v>
      </c>
      <c r="D423" t="s">
        <v>348</v>
      </c>
      <c r="E423">
        <v>438887888</v>
      </c>
      <c r="F423" t="s">
        <v>550</v>
      </c>
      <c r="G423">
        <v>438888028</v>
      </c>
      <c r="H423">
        <v>2820</v>
      </c>
      <c r="I423" s="19">
        <v>2100</v>
      </c>
      <c r="J423">
        <v>120</v>
      </c>
      <c r="K423" s="19">
        <v>600</v>
      </c>
      <c r="L423" s="63"/>
      <c r="M423" s="39">
        <v>45924</v>
      </c>
      <c r="N423" s="25">
        <f t="shared" si="28"/>
        <v>24</v>
      </c>
      <c r="O423" s="25" t="str">
        <f t="shared" si="29"/>
        <v>miércoles</v>
      </c>
      <c r="P423" s="27">
        <f t="shared" si="30"/>
        <v>9</v>
      </c>
      <c r="Q423" s="22" t="str">
        <f t="shared" si="31"/>
        <v>septiembre</v>
      </c>
    </row>
    <row r="424" spans="1:20" x14ac:dyDescent="0.25">
      <c r="A424">
        <v>11</v>
      </c>
      <c r="B424" t="s">
        <v>586</v>
      </c>
      <c r="C424" t="s">
        <v>19</v>
      </c>
      <c r="D424" t="s">
        <v>597</v>
      </c>
      <c r="E424">
        <v>438864768</v>
      </c>
      <c r="F424" t="s">
        <v>597</v>
      </c>
      <c r="G424">
        <v>438868503</v>
      </c>
      <c r="H424">
        <v>5270</v>
      </c>
      <c r="I424" s="19">
        <v>3550</v>
      </c>
      <c r="J424">
        <v>120</v>
      </c>
      <c r="K424" s="19">
        <v>1600</v>
      </c>
      <c r="L424" s="63"/>
      <c r="M424" s="39">
        <v>45924</v>
      </c>
      <c r="N424" s="25">
        <f t="shared" si="28"/>
        <v>24</v>
      </c>
      <c r="O424" s="25" t="str">
        <f t="shared" si="29"/>
        <v>miércoles</v>
      </c>
      <c r="P424" s="27">
        <f t="shared" si="30"/>
        <v>9</v>
      </c>
      <c r="Q424" s="22" t="str">
        <f t="shared" si="31"/>
        <v>septiembre</v>
      </c>
    </row>
    <row r="425" spans="1:20" x14ac:dyDescent="0.25">
      <c r="A425">
        <v>11</v>
      </c>
      <c r="B425" t="s">
        <v>344</v>
      </c>
      <c r="C425" t="s">
        <v>6</v>
      </c>
      <c r="D425" t="s">
        <v>485</v>
      </c>
      <c r="E425">
        <v>438858756</v>
      </c>
      <c r="H425">
        <v>1310</v>
      </c>
      <c r="I425" s="19">
        <v>1250</v>
      </c>
      <c r="J425">
        <v>60</v>
      </c>
      <c r="M425" s="39">
        <v>45924</v>
      </c>
      <c r="N425" s="25">
        <f t="shared" si="28"/>
        <v>24</v>
      </c>
      <c r="O425" s="25" t="str">
        <f t="shared" si="29"/>
        <v>miércoles</v>
      </c>
      <c r="P425" s="27">
        <f t="shared" si="30"/>
        <v>9</v>
      </c>
      <c r="Q425" s="22" t="str">
        <f t="shared" si="31"/>
        <v>septiembre</v>
      </c>
    </row>
    <row r="426" spans="1:20" x14ac:dyDescent="0.25">
      <c r="A426">
        <v>10</v>
      </c>
      <c r="B426" t="s">
        <v>587</v>
      </c>
      <c r="C426" t="s">
        <v>6</v>
      </c>
      <c r="D426" t="s">
        <v>588</v>
      </c>
      <c r="E426">
        <v>438853216</v>
      </c>
      <c r="H426">
        <v>2010</v>
      </c>
      <c r="I426" s="19">
        <v>1200</v>
      </c>
      <c r="J426">
        <v>60</v>
      </c>
      <c r="K426" s="19">
        <v>750</v>
      </c>
      <c r="L426" s="63"/>
      <c r="M426" s="39">
        <v>45924</v>
      </c>
      <c r="N426" s="25">
        <f t="shared" si="28"/>
        <v>24</v>
      </c>
      <c r="O426" s="25" t="str">
        <f t="shared" si="29"/>
        <v>miércoles</v>
      </c>
      <c r="P426" s="27">
        <f t="shared" si="30"/>
        <v>9</v>
      </c>
      <c r="Q426" s="22" t="str">
        <f t="shared" si="31"/>
        <v>septiembre</v>
      </c>
    </row>
    <row r="427" spans="1:20" x14ac:dyDescent="0.25">
      <c r="A427">
        <v>10</v>
      </c>
      <c r="B427" t="s">
        <v>589</v>
      </c>
      <c r="C427" t="s">
        <v>6</v>
      </c>
      <c r="D427" t="s">
        <v>598</v>
      </c>
      <c r="E427">
        <v>438851756</v>
      </c>
      <c r="H427">
        <v>2640</v>
      </c>
      <c r="I427" s="19">
        <v>1200</v>
      </c>
      <c r="J427">
        <v>60</v>
      </c>
      <c r="K427" s="19">
        <v>1380</v>
      </c>
      <c r="L427" s="63"/>
      <c r="M427" s="39">
        <v>45924</v>
      </c>
      <c r="N427" s="25">
        <f t="shared" si="28"/>
        <v>24</v>
      </c>
      <c r="O427" s="25" t="str">
        <f t="shared" si="29"/>
        <v>miércoles</v>
      </c>
      <c r="P427" s="27">
        <f t="shared" si="30"/>
        <v>9</v>
      </c>
      <c r="Q427" s="22" t="str">
        <f t="shared" si="31"/>
        <v>septiembre</v>
      </c>
    </row>
    <row r="428" spans="1:20" x14ac:dyDescent="0.25">
      <c r="A428">
        <v>10</v>
      </c>
      <c r="B428" t="s">
        <v>590</v>
      </c>
      <c r="C428" t="s">
        <v>19</v>
      </c>
      <c r="D428" t="s">
        <v>464</v>
      </c>
      <c r="E428">
        <v>438847731</v>
      </c>
      <c r="H428">
        <v>2380</v>
      </c>
      <c r="I428" s="19">
        <v>1200</v>
      </c>
      <c r="J428">
        <v>60</v>
      </c>
      <c r="K428" s="19">
        <v>1120</v>
      </c>
      <c r="L428" s="63"/>
      <c r="M428" s="39">
        <v>45924</v>
      </c>
      <c r="N428" s="25">
        <f t="shared" si="28"/>
        <v>24</v>
      </c>
      <c r="O428" s="25" t="str">
        <f t="shared" si="29"/>
        <v>miércoles</v>
      </c>
      <c r="P428" s="27">
        <f t="shared" si="30"/>
        <v>9</v>
      </c>
      <c r="Q428" s="22" t="str">
        <f t="shared" si="31"/>
        <v>septiembre</v>
      </c>
    </row>
    <row r="429" spans="1:20" x14ac:dyDescent="0.25">
      <c r="A429">
        <v>10</v>
      </c>
      <c r="B429" t="s">
        <v>591</v>
      </c>
      <c r="C429" t="s">
        <v>6</v>
      </c>
      <c r="D429" t="s">
        <v>592</v>
      </c>
      <c r="E429">
        <v>438844603</v>
      </c>
      <c r="H429">
        <v>1260</v>
      </c>
      <c r="I429" s="19">
        <v>1200</v>
      </c>
      <c r="J429">
        <v>60</v>
      </c>
      <c r="M429" s="39">
        <v>45924</v>
      </c>
      <c r="N429" s="25">
        <f t="shared" si="28"/>
        <v>24</v>
      </c>
      <c r="O429" s="25" t="str">
        <f t="shared" si="29"/>
        <v>miércoles</v>
      </c>
      <c r="P429" s="27">
        <f t="shared" si="30"/>
        <v>9</v>
      </c>
      <c r="Q429" s="22" t="str">
        <f t="shared" si="31"/>
        <v>septiembre</v>
      </c>
    </row>
    <row r="430" spans="1:20" x14ac:dyDescent="0.25">
      <c r="A430">
        <v>9</v>
      </c>
      <c r="B430" t="s">
        <v>492</v>
      </c>
      <c r="C430" t="s">
        <v>6</v>
      </c>
      <c r="D430" t="s">
        <v>599</v>
      </c>
      <c r="E430">
        <v>438842612</v>
      </c>
      <c r="F430" t="s">
        <v>599</v>
      </c>
      <c r="G430">
        <v>438842720</v>
      </c>
      <c r="H430">
        <v>3160</v>
      </c>
      <c r="I430" s="19">
        <v>1800</v>
      </c>
      <c r="J430">
        <v>120</v>
      </c>
      <c r="K430" s="19">
        <v>1240</v>
      </c>
      <c r="L430" s="63"/>
      <c r="M430" s="39">
        <v>45924</v>
      </c>
      <c r="N430" s="25">
        <f t="shared" si="28"/>
        <v>24</v>
      </c>
      <c r="O430" s="25" t="str">
        <f t="shared" si="29"/>
        <v>miércoles</v>
      </c>
      <c r="P430" s="27">
        <f t="shared" si="30"/>
        <v>9</v>
      </c>
      <c r="Q430" s="22" t="str">
        <f t="shared" si="31"/>
        <v>septiembre</v>
      </c>
    </row>
    <row r="431" spans="1:20" x14ac:dyDescent="0.25">
      <c r="A431">
        <v>9</v>
      </c>
      <c r="B431" t="s">
        <v>593</v>
      </c>
      <c r="C431" t="s">
        <v>19</v>
      </c>
      <c r="D431" t="s">
        <v>309</v>
      </c>
      <c r="E431">
        <v>438842385</v>
      </c>
      <c r="H431">
        <v>1260</v>
      </c>
      <c r="I431" s="19">
        <v>1200</v>
      </c>
      <c r="J431">
        <v>60</v>
      </c>
      <c r="M431" s="39">
        <v>45924</v>
      </c>
      <c r="N431" s="25">
        <f t="shared" si="28"/>
        <v>24</v>
      </c>
      <c r="O431" s="25" t="str">
        <f t="shared" si="29"/>
        <v>miércoles</v>
      </c>
      <c r="P431" s="27">
        <f t="shared" si="30"/>
        <v>9</v>
      </c>
      <c r="Q431" s="22" t="str">
        <f t="shared" si="31"/>
        <v>septiembre</v>
      </c>
    </row>
    <row r="432" spans="1:20" x14ac:dyDescent="0.25">
      <c r="A432">
        <v>9</v>
      </c>
      <c r="B432" t="s">
        <v>542</v>
      </c>
      <c r="C432" t="s">
        <v>6</v>
      </c>
      <c r="D432" t="s">
        <v>600</v>
      </c>
      <c r="E432">
        <v>438840477</v>
      </c>
      <c r="H432">
        <v>2800</v>
      </c>
      <c r="I432" s="19">
        <v>1200</v>
      </c>
      <c r="J432">
        <v>60</v>
      </c>
      <c r="K432" s="19">
        <v>1540</v>
      </c>
      <c r="L432" s="63"/>
      <c r="M432" s="39">
        <v>45924</v>
      </c>
      <c r="N432" s="25">
        <f t="shared" si="28"/>
        <v>24</v>
      </c>
      <c r="O432" s="25" t="str">
        <f t="shared" si="29"/>
        <v>miércoles</v>
      </c>
      <c r="P432" s="27">
        <f t="shared" si="30"/>
        <v>9</v>
      </c>
      <c r="Q432" s="22" t="str">
        <f t="shared" si="31"/>
        <v>septiembre</v>
      </c>
    </row>
    <row r="433" spans="1:17" x14ac:dyDescent="0.25">
      <c r="A433">
        <v>9</v>
      </c>
      <c r="B433" t="s">
        <v>594</v>
      </c>
      <c r="C433" t="s">
        <v>6</v>
      </c>
      <c r="D433" t="s">
        <v>257</v>
      </c>
      <c r="E433">
        <v>438838527</v>
      </c>
      <c r="H433">
        <v>2500</v>
      </c>
      <c r="I433" s="19">
        <v>1200</v>
      </c>
      <c r="J433">
        <v>60</v>
      </c>
      <c r="K433">
        <v>1240</v>
      </c>
      <c r="M433" s="39">
        <v>45924</v>
      </c>
      <c r="N433" s="25">
        <f t="shared" si="28"/>
        <v>24</v>
      </c>
      <c r="O433" s="25" t="str">
        <f t="shared" si="29"/>
        <v>miércoles</v>
      </c>
      <c r="P433" s="27">
        <f t="shared" si="30"/>
        <v>9</v>
      </c>
      <c r="Q433" s="22" t="str">
        <f t="shared" si="31"/>
        <v>septiembre</v>
      </c>
    </row>
    <row r="434" spans="1:17" x14ac:dyDescent="0.25">
      <c r="A434">
        <v>11</v>
      </c>
      <c r="B434" t="s">
        <v>508</v>
      </c>
      <c r="C434" t="s">
        <v>155</v>
      </c>
      <c r="D434" t="s">
        <v>608</v>
      </c>
      <c r="M434" s="39">
        <v>45926</v>
      </c>
      <c r="N434" s="25">
        <f t="shared" si="28"/>
        <v>26</v>
      </c>
      <c r="O434" s="25" t="str">
        <f t="shared" si="29"/>
        <v>viernes</v>
      </c>
      <c r="P434" s="27">
        <f t="shared" si="30"/>
        <v>9</v>
      </c>
      <c r="Q434" s="22" t="str">
        <f t="shared" si="31"/>
        <v>septiembre</v>
      </c>
    </row>
    <row r="435" spans="1:17" x14ac:dyDescent="0.25">
      <c r="A435">
        <v>10</v>
      </c>
      <c r="B435" t="s">
        <v>601</v>
      </c>
      <c r="C435" t="s">
        <v>155</v>
      </c>
      <c r="D435" t="s">
        <v>602</v>
      </c>
      <c r="E435">
        <v>439051802</v>
      </c>
      <c r="H435">
        <v>2000</v>
      </c>
      <c r="I435" s="19">
        <v>1200</v>
      </c>
      <c r="J435">
        <v>60</v>
      </c>
      <c r="K435">
        <v>245</v>
      </c>
      <c r="M435" s="39">
        <v>45926</v>
      </c>
      <c r="N435" s="25">
        <f t="shared" si="28"/>
        <v>26</v>
      </c>
      <c r="O435" s="25" t="str">
        <f t="shared" si="29"/>
        <v>viernes</v>
      </c>
      <c r="P435" s="27">
        <f t="shared" si="30"/>
        <v>9</v>
      </c>
      <c r="Q435" s="22" t="str">
        <f t="shared" si="31"/>
        <v>septiembre</v>
      </c>
    </row>
    <row r="436" spans="1:17" x14ac:dyDescent="0.25">
      <c r="A436">
        <v>9</v>
      </c>
      <c r="B436" t="s">
        <v>603</v>
      </c>
      <c r="C436" t="s">
        <v>6</v>
      </c>
      <c r="D436" t="s">
        <v>604</v>
      </c>
      <c r="E436">
        <v>439048431</v>
      </c>
      <c r="H436">
        <v>2740</v>
      </c>
      <c r="I436" s="19">
        <v>1200</v>
      </c>
      <c r="J436">
        <v>60</v>
      </c>
      <c r="K436">
        <v>1480</v>
      </c>
      <c r="M436" s="39">
        <v>45926</v>
      </c>
      <c r="N436" s="25">
        <f t="shared" si="28"/>
        <v>26</v>
      </c>
      <c r="O436" s="25" t="str">
        <f t="shared" si="29"/>
        <v>viernes</v>
      </c>
      <c r="P436" s="27">
        <f t="shared" si="30"/>
        <v>9</v>
      </c>
      <c r="Q436" s="22" t="str">
        <f t="shared" si="31"/>
        <v>septiembre</v>
      </c>
    </row>
    <row r="437" spans="1:17" x14ac:dyDescent="0.25">
      <c r="A437">
        <v>9</v>
      </c>
      <c r="B437" t="s">
        <v>605</v>
      </c>
      <c r="C437" t="s">
        <v>19</v>
      </c>
      <c r="D437" t="s">
        <v>363</v>
      </c>
      <c r="E437">
        <v>439043156</v>
      </c>
      <c r="H437">
        <v>1560</v>
      </c>
      <c r="I437" s="19">
        <v>1500</v>
      </c>
      <c r="J437">
        <v>60</v>
      </c>
      <c r="K437">
        <v>0</v>
      </c>
      <c r="M437" s="39">
        <v>45926</v>
      </c>
      <c r="N437" s="25">
        <f t="shared" si="28"/>
        <v>26</v>
      </c>
      <c r="O437" s="25" t="str">
        <f t="shared" si="29"/>
        <v>viernes</v>
      </c>
      <c r="P437" s="27">
        <f t="shared" si="30"/>
        <v>9</v>
      </c>
      <c r="Q437" s="22" t="str">
        <f t="shared" si="31"/>
        <v>septiembre</v>
      </c>
    </row>
    <row r="438" spans="1:17" x14ac:dyDescent="0.25">
      <c r="A438">
        <v>8</v>
      </c>
      <c r="B438" t="s">
        <v>555</v>
      </c>
      <c r="C438" t="s">
        <v>6</v>
      </c>
      <c r="D438" t="s">
        <v>606</v>
      </c>
      <c r="E438">
        <v>439037665</v>
      </c>
      <c r="H438">
        <v>2280</v>
      </c>
      <c r="I438" s="19">
        <v>1200</v>
      </c>
      <c r="J438">
        <v>60</v>
      </c>
      <c r="K438">
        <v>1020</v>
      </c>
      <c r="M438" s="39">
        <v>45926</v>
      </c>
      <c r="N438" s="25">
        <f t="shared" si="28"/>
        <v>26</v>
      </c>
      <c r="O438" s="25" t="str">
        <f t="shared" si="29"/>
        <v>viernes</v>
      </c>
      <c r="P438" s="27">
        <f t="shared" si="30"/>
        <v>9</v>
      </c>
      <c r="Q438" s="22" t="str">
        <f t="shared" si="31"/>
        <v>septiembre</v>
      </c>
    </row>
    <row r="439" spans="1:17" x14ac:dyDescent="0.25">
      <c r="A439">
        <v>8</v>
      </c>
      <c r="B439" t="s">
        <v>607</v>
      </c>
      <c r="C439" t="s">
        <v>155</v>
      </c>
      <c r="D439" t="s">
        <v>602</v>
      </c>
      <c r="E439">
        <v>439033397</v>
      </c>
      <c r="H439">
        <v>1260</v>
      </c>
      <c r="I439" s="19">
        <v>1200</v>
      </c>
      <c r="J439">
        <v>60</v>
      </c>
      <c r="M439" s="39">
        <v>45926</v>
      </c>
      <c r="N439" s="25">
        <f t="shared" si="28"/>
        <v>26</v>
      </c>
      <c r="O439" s="25" t="str">
        <f t="shared" si="29"/>
        <v>viernes</v>
      </c>
      <c r="P439" s="27">
        <f t="shared" si="30"/>
        <v>9</v>
      </c>
      <c r="Q439" s="22" t="str">
        <f t="shared" si="31"/>
        <v>septiembre</v>
      </c>
    </row>
    <row r="440" spans="1:17" x14ac:dyDescent="0.25">
      <c r="A440">
        <v>11</v>
      </c>
      <c r="B440" t="s">
        <v>801</v>
      </c>
      <c r="C440" t="s">
        <v>19</v>
      </c>
      <c r="D440" t="s">
        <v>464</v>
      </c>
      <c r="E440">
        <v>439327916</v>
      </c>
      <c r="F440" t="s">
        <v>464</v>
      </c>
      <c r="G440">
        <v>439328798</v>
      </c>
      <c r="H440">
        <v>8840</v>
      </c>
      <c r="I440" s="19">
        <v>6300</v>
      </c>
      <c r="J440">
        <v>120</v>
      </c>
      <c r="K440">
        <v>2420</v>
      </c>
      <c r="M440" s="39" t="s">
        <v>802</v>
      </c>
      <c r="N440" s="25">
        <f t="shared" si="28"/>
        <v>28</v>
      </c>
      <c r="O440" s="25" t="str">
        <f t="shared" si="29"/>
        <v>domingo</v>
      </c>
      <c r="P440" s="27">
        <f t="shared" si="30"/>
        <v>9</v>
      </c>
      <c r="Q440" s="22" t="str">
        <f t="shared" si="31"/>
        <v>septiembre</v>
      </c>
    </row>
    <row r="441" spans="1:17" x14ac:dyDescent="0.25">
      <c r="A441">
        <v>11</v>
      </c>
      <c r="B441" t="s">
        <v>803</v>
      </c>
      <c r="C441" t="s">
        <v>19</v>
      </c>
      <c r="D441" t="s">
        <v>814</v>
      </c>
      <c r="E441">
        <v>439322543</v>
      </c>
      <c r="F441" t="s">
        <v>814</v>
      </c>
      <c r="G441">
        <v>439322821</v>
      </c>
      <c r="H441">
        <v>3870</v>
      </c>
      <c r="I441" s="19">
        <v>2150</v>
      </c>
      <c r="J441">
        <v>120</v>
      </c>
      <c r="K441">
        <v>1600</v>
      </c>
      <c r="M441" s="39" t="s">
        <v>802</v>
      </c>
      <c r="N441" s="25">
        <f t="shared" si="28"/>
        <v>28</v>
      </c>
      <c r="O441" s="25" t="str">
        <f t="shared" si="29"/>
        <v>domingo</v>
      </c>
      <c r="P441" s="27">
        <f t="shared" si="30"/>
        <v>9</v>
      </c>
      <c r="Q441" s="22" t="str">
        <f t="shared" si="31"/>
        <v>septiembre</v>
      </c>
    </row>
    <row r="442" spans="1:17" x14ac:dyDescent="0.25">
      <c r="A442">
        <v>10</v>
      </c>
      <c r="B442" t="s">
        <v>804</v>
      </c>
      <c r="C442" t="s">
        <v>6</v>
      </c>
      <c r="D442" t="s">
        <v>394</v>
      </c>
      <c r="E442">
        <v>439320152</v>
      </c>
      <c r="H442">
        <v>2680</v>
      </c>
      <c r="I442" s="19">
        <v>1200</v>
      </c>
      <c r="J442">
        <v>60</v>
      </c>
      <c r="K442">
        <v>1420</v>
      </c>
      <c r="M442" s="39" t="s">
        <v>802</v>
      </c>
      <c r="N442" s="25">
        <f t="shared" si="28"/>
        <v>28</v>
      </c>
      <c r="O442" s="25" t="str">
        <f t="shared" si="29"/>
        <v>domingo</v>
      </c>
      <c r="P442" s="27">
        <f t="shared" si="30"/>
        <v>9</v>
      </c>
      <c r="Q442" s="22" t="str">
        <f t="shared" si="31"/>
        <v>septiembre</v>
      </c>
    </row>
    <row r="443" spans="1:17" x14ac:dyDescent="0.25">
      <c r="A443">
        <v>10</v>
      </c>
      <c r="B443" t="s">
        <v>805</v>
      </c>
      <c r="C443" t="s">
        <v>19</v>
      </c>
      <c r="D443" t="s">
        <v>815</v>
      </c>
      <c r="E443">
        <v>439315419</v>
      </c>
      <c r="H443">
        <v>2660</v>
      </c>
      <c r="I443" s="19">
        <v>2100</v>
      </c>
      <c r="J443">
        <v>60</v>
      </c>
      <c r="K443">
        <v>500</v>
      </c>
      <c r="M443" s="39" t="s">
        <v>802</v>
      </c>
      <c r="N443" s="25">
        <f t="shared" si="28"/>
        <v>28</v>
      </c>
      <c r="O443" s="25" t="str">
        <f t="shared" si="29"/>
        <v>domingo</v>
      </c>
      <c r="P443" s="27">
        <f t="shared" si="30"/>
        <v>9</v>
      </c>
      <c r="Q443" s="22" t="str">
        <f t="shared" si="31"/>
        <v>septiembre</v>
      </c>
    </row>
    <row r="444" spans="1:17" x14ac:dyDescent="0.25">
      <c r="A444">
        <v>9</v>
      </c>
      <c r="B444" t="s">
        <v>806</v>
      </c>
      <c r="C444" t="s">
        <v>6</v>
      </c>
      <c r="D444" t="s">
        <v>807</v>
      </c>
      <c r="E444">
        <v>439313922</v>
      </c>
      <c r="H444">
        <v>2820</v>
      </c>
      <c r="I444" s="19">
        <v>1200</v>
      </c>
      <c r="J444">
        <v>60</v>
      </c>
      <c r="K444">
        <v>1560</v>
      </c>
      <c r="M444" s="39" t="s">
        <v>802</v>
      </c>
      <c r="N444" s="25">
        <f t="shared" si="28"/>
        <v>28</v>
      </c>
      <c r="O444" s="25" t="str">
        <f t="shared" si="29"/>
        <v>domingo</v>
      </c>
      <c r="P444" s="27">
        <f t="shared" si="30"/>
        <v>9</v>
      </c>
      <c r="Q444" s="22" t="str">
        <f t="shared" si="31"/>
        <v>septiembre</v>
      </c>
    </row>
    <row r="445" spans="1:17" x14ac:dyDescent="0.25">
      <c r="A445">
        <v>9</v>
      </c>
      <c r="B445" t="s">
        <v>808</v>
      </c>
      <c r="C445" t="s">
        <v>6</v>
      </c>
      <c r="D445" t="s">
        <v>816</v>
      </c>
      <c r="E445">
        <v>439312768</v>
      </c>
      <c r="H445">
        <v>1260</v>
      </c>
      <c r="I445" s="19">
        <v>1200</v>
      </c>
      <c r="J445">
        <v>60</v>
      </c>
      <c r="M445" s="39" t="s">
        <v>802</v>
      </c>
      <c r="N445" s="25">
        <f t="shared" si="28"/>
        <v>28</v>
      </c>
      <c r="O445" s="25" t="str">
        <f t="shared" si="29"/>
        <v>domingo</v>
      </c>
      <c r="P445" s="27">
        <f t="shared" si="30"/>
        <v>9</v>
      </c>
      <c r="Q445" s="22" t="str">
        <f t="shared" si="31"/>
        <v>septiembre</v>
      </c>
    </row>
    <row r="446" spans="1:17" x14ac:dyDescent="0.25">
      <c r="A446">
        <v>9</v>
      </c>
      <c r="B446" t="s">
        <v>809</v>
      </c>
      <c r="C446" t="s">
        <v>6</v>
      </c>
      <c r="D446" t="s">
        <v>817</v>
      </c>
      <c r="E446">
        <v>439309573</v>
      </c>
      <c r="H446">
        <v>2260</v>
      </c>
      <c r="I446" s="19">
        <v>1200</v>
      </c>
      <c r="J446">
        <v>60</v>
      </c>
      <c r="K446">
        <v>1000</v>
      </c>
      <c r="M446" s="39" t="s">
        <v>802</v>
      </c>
      <c r="N446" s="25">
        <f t="shared" si="28"/>
        <v>28</v>
      </c>
      <c r="O446" s="25" t="str">
        <f t="shared" si="29"/>
        <v>domingo</v>
      </c>
      <c r="P446" s="27">
        <f t="shared" si="30"/>
        <v>9</v>
      </c>
      <c r="Q446" s="22" t="str">
        <f t="shared" si="31"/>
        <v>septiembre</v>
      </c>
    </row>
    <row r="447" spans="1:17" x14ac:dyDescent="0.25">
      <c r="A447">
        <v>9</v>
      </c>
      <c r="B447" t="s">
        <v>810</v>
      </c>
      <c r="C447" t="s">
        <v>6</v>
      </c>
      <c r="D447" t="s">
        <v>298</v>
      </c>
      <c r="E447">
        <v>439305142</v>
      </c>
      <c r="H447">
        <v>2760</v>
      </c>
      <c r="I447" s="19">
        <v>1200</v>
      </c>
      <c r="J447">
        <v>60</v>
      </c>
      <c r="K447">
        <v>1500</v>
      </c>
      <c r="M447" s="39" t="s">
        <v>802</v>
      </c>
      <c r="N447" s="25">
        <f t="shared" si="28"/>
        <v>28</v>
      </c>
      <c r="O447" s="25" t="str">
        <f t="shared" si="29"/>
        <v>domingo</v>
      </c>
      <c r="P447" s="27">
        <f t="shared" si="30"/>
        <v>9</v>
      </c>
      <c r="Q447" s="22" t="str">
        <f t="shared" si="31"/>
        <v>septiembre</v>
      </c>
    </row>
    <row r="448" spans="1:17" x14ac:dyDescent="0.25">
      <c r="A448">
        <v>8</v>
      </c>
      <c r="B448" t="s">
        <v>811</v>
      </c>
      <c r="C448" t="s">
        <v>6</v>
      </c>
      <c r="D448" t="s">
        <v>818</v>
      </c>
      <c r="E448">
        <v>439299539</v>
      </c>
      <c r="H448">
        <v>2780</v>
      </c>
      <c r="I448" s="19">
        <v>1200</v>
      </c>
      <c r="J448">
        <v>60</v>
      </c>
      <c r="K448">
        <v>1520</v>
      </c>
      <c r="M448" s="39" t="s">
        <v>802</v>
      </c>
      <c r="N448" s="25">
        <f t="shared" si="28"/>
        <v>28</v>
      </c>
      <c r="O448" s="25" t="str">
        <f t="shared" si="29"/>
        <v>domingo</v>
      </c>
      <c r="P448" s="27">
        <f t="shared" si="30"/>
        <v>9</v>
      </c>
      <c r="Q448" s="22" t="str">
        <f t="shared" si="31"/>
        <v>septiembre</v>
      </c>
    </row>
    <row r="449" spans="1:19" x14ac:dyDescent="0.25">
      <c r="A449">
        <v>7</v>
      </c>
      <c r="B449" t="s">
        <v>812</v>
      </c>
      <c r="C449" t="s">
        <v>19</v>
      </c>
      <c r="D449" t="s">
        <v>813</v>
      </c>
      <c r="E449">
        <v>439282195</v>
      </c>
      <c r="F449" t="s">
        <v>813</v>
      </c>
      <c r="G449">
        <v>439282195</v>
      </c>
      <c r="H449">
        <v>5920</v>
      </c>
      <c r="I449" s="19">
        <v>5050</v>
      </c>
      <c r="J449">
        <v>120</v>
      </c>
      <c r="K449">
        <v>750</v>
      </c>
      <c r="M449" s="39" t="s">
        <v>802</v>
      </c>
      <c r="N449" s="25">
        <f t="shared" si="28"/>
        <v>28</v>
      </c>
      <c r="O449" s="25" t="str">
        <f t="shared" si="29"/>
        <v>domingo</v>
      </c>
      <c r="P449" s="27">
        <f t="shared" si="30"/>
        <v>9</v>
      </c>
      <c r="Q449" s="22" t="str">
        <f t="shared" si="31"/>
        <v>septiembre</v>
      </c>
    </row>
    <row r="450" spans="1:19" x14ac:dyDescent="0.25">
      <c r="A450">
        <v>7</v>
      </c>
      <c r="B450" t="s">
        <v>778</v>
      </c>
      <c r="C450" t="s">
        <v>6</v>
      </c>
      <c r="D450" t="s">
        <v>829</v>
      </c>
      <c r="E450">
        <v>439392788</v>
      </c>
      <c r="H450">
        <v>1800</v>
      </c>
      <c r="I450" s="19">
        <v>1200</v>
      </c>
      <c r="K450">
        <v>600</v>
      </c>
      <c r="M450" s="39" t="s">
        <v>820</v>
      </c>
      <c r="N450" s="25">
        <f t="shared" ref="N450:N513" si="32">DAY(M450)</f>
        <v>29</v>
      </c>
      <c r="O450" s="25" t="str">
        <f t="shared" ref="O450:O513" si="33">TEXT(M450,"DDDD")</f>
        <v>lunes</v>
      </c>
      <c r="P450" s="27">
        <f t="shared" si="30"/>
        <v>9</v>
      </c>
      <c r="Q450" s="22" t="str">
        <f t="shared" si="31"/>
        <v>septiembre</v>
      </c>
    </row>
    <row r="451" spans="1:19" x14ac:dyDescent="0.25">
      <c r="A451">
        <v>7</v>
      </c>
      <c r="B451" t="s">
        <v>825</v>
      </c>
      <c r="C451" t="s">
        <v>6</v>
      </c>
      <c r="D451" t="s">
        <v>830</v>
      </c>
      <c r="E451">
        <v>439392687</v>
      </c>
      <c r="F451" t="s">
        <v>444</v>
      </c>
      <c r="G451">
        <v>439392526</v>
      </c>
      <c r="H451">
        <v>3500</v>
      </c>
      <c r="I451" s="19">
        <v>2100</v>
      </c>
      <c r="K451">
        <v>1400</v>
      </c>
      <c r="M451" s="39" t="s">
        <v>820</v>
      </c>
      <c r="N451" s="25">
        <f t="shared" si="32"/>
        <v>29</v>
      </c>
      <c r="O451" s="25" t="str">
        <f t="shared" si="33"/>
        <v>lunes</v>
      </c>
      <c r="P451" s="27">
        <f t="shared" si="30"/>
        <v>9</v>
      </c>
      <c r="Q451" s="22" t="str">
        <f t="shared" si="31"/>
        <v>septiembre</v>
      </c>
      <c r="R451" t="s">
        <v>339</v>
      </c>
      <c r="S451">
        <v>30332</v>
      </c>
    </row>
    <row r="452" spans="1:19" x14ac:dyDescent="0.25">
      <c r="A452">
        <v>6</v>
      </c>
      <c r="B452" t="s">
        <v>826</v>
      </c>
      <c r="C452" t="s">
        <v>155</v>
      </c>
      <c r="D452" t="s">
        <v>831</v>
      </c>
      <c r="E452">
        <v>439391375</v>
      </c>
      <c r="H452">
        <v>1200</v>
      </c>
      <c r="I452" s="19">
        <v>1200</v>
      </c>
      <c r="M452" s="39" t="s">
        <v>820</v>
      </c>
      <c r="N452" s="25">
        <f t="shared" si="32"/>
        <v>29</v>
      </c>
      <c r="O452" s="25" t="str">
        <f t="shared" si="33"/>
        <v>lunes</v>
      </c>
      <c r="P452" s="27">
        <f t="shared" si="30"/>
        <v>9</v>
      </c>
      <c r="Q452" s="22" t="str">
        <f t="shared" si="31"/>
        <v>septiembre</v>
      </c>
    </row>
    <row r="453" spans="1:19" x14ac:dyDescent="0.25">
      <c r="A453">
        <v>6</v>
      </c>
      <c r="B453" t="s">
        <v>827</v>
      </c>
      <c r="C453" t="s">
        <v>6</v>
      </c>
      <c r="D453" t="s">
        <v>828</v>
      </c>
      <c r="E453">
        <v>439388156</v>
      </c>
      <c r="H453">
        <v>2420</v>
      </c>
      <c r="I453" s="19">
        <v>1200</v>
      </c>
      <c r="K453">
        <v>1220</v>
      </c>
      <c r="M453" s="39" t="s">
        <v>820</v>
      </c>
      <c r="N453" s="25">
        <f t="shared" si="32"/>
        <v>29</v>
      </c>
      <c r="O453" s="25" t="str">
        <f t="shared" si="33"/>
        <v>lunes</v>
      </c>
      <c r="P453" s="27">
        <f t="shared" si="30"/>
        <v>9</v>
      </c>
      <c r="Q453" s="22" t="str">
        <f t="shared" si="31"/>
        <v>septiembre</v>
      </c>
    </row>
    <row r="454" spans="1:19" x14ac:dyDescent="0.25">
      <c r="A454">
        <v>6</v>
      </c>
      <c r="B454" t="s">
        <v>819</v>
      </c>
      <c r="C454" t="s">
        <v>6</v>
      </c>
      <c r="D454" t="s">
        <v>828</v>
      </c>
      <c r="E454">
        <v>439387815</v>
      </c>
      <c r="H454">
        <v>1420</v>
      </c>
      <c r="I454" s="19">
        <v>1200</v>
      </c>
      <c r="K454">
        <v>220</v>
      </c>
      <c r="M454" s="39" t="s">
        <v>820</v>
      </c>
      <c r="N454" s="25">
        <f t="shared" si="32"/>
        <v>29</v>
      </c>
      <c r="O454" s="25" t="str">
        <f t="shared" si="33"/>
        <v>lunes</v>
      </c>
      <c r="P454" s="27">
        <f t="shared" si="30"/>
        <v>9</v>
      </c>
      <c r="Q454" s="22" t="str">
        <f t="shared" si="31"/>
        <v>septiembre</v>
      </c>
    </row>
    <row r="455" spans="1:19" x14ac:dyDescent="0.25">
      <c r="A455">
        <v>5</v>
      </c>
      <c r="B455" t="s">
        <v>748</v>
      </c>
      <c r="C455" t="s">
        <v>19</v>
      </c>
      <c r="D455" t="s">
        <v>206</v>
      </c>
      <c r="E455">
        <v>439387471</v>
      </c>
      <c r="H455">
        <v>1800</v>
      </c>
      <c r="I455" s="19">
        <v>1200</v>
      </c>
      <c r="K455">
        <v>600</v>
      </c>
      <c r="M455" s="39" t="s">
        <v>820</v>
      </c>
      <c r="N455" s="25">
        <f t="shared" si="32"/>
        <v>29</v>
      </c>
      <c r="O455" s="25" t="str">
        <f t="shared" si="33"/>
        <v>lunes</v>
      </c>
      <c r="P455" s="27">
        <f t="shared" si="30"/>
        <v>9</v>
      </c>
      <c r="Q455" s="22" t="str">
        <f t="shared" si="31"/>
        <v>septiembre</v>
      </c>
    </row>
    <row r="456" spans="1:19" x14ac:dyDescent="0.25">
      <c r="A456">
        <v>5</v>
      </c>
      <c r="B456" t="s">
        <v>821</v>
      </c>
      <c r="C456" t="s">
        <v>155</v>
      </c>
      <c r="D456" t="s">
        <v>675</v>
      </c>
      <c r="E456">
        <v>439386261</v>
      </c>
      <c r="H456">
        <v>1655</v>
      </c>
      <c r="I456" s="19">
        <v>1200</v>
      </c>
      <c r="K456">
        <v>455</v>
      </c>
      <c r="M456" s="39" t="s">
        <v>820</v>
      </c>
      <c r="N456" s="25">
        <f t="shared" si="32"/>
        <v>29</v>
      </c>
      <c r="O456" s="25" t="str">
        <f t="shared" si="33"/>
        <v>lunes</v>
      </c>
      <c r="P456" s="27">
        <f t="shared" si="30"/>
        <v>9</v>
      </c>
      <c r="Q456" s="22" t="str">
        <f t="shared" si="31"/>
        <v>septiembre</v>
      </c>
    </row>
    <row r="457" spans="1:19" x14ac:dyDescent="0.25">
      <c r="A457">
        <v>5</v>
      </c>
      <c r="B457" t="s">
        <v>822</v>
      </c>
      <c r="C457" t="s">
        <v>19</v>
      </c>
      <c r="D457" t="s">
        <v>832</v>
      </c>
      <c r="E457">
        <v>439385580</v>
      </c>
      <c r="H457">
        <v>1200</v>
      </c>
      <c r="I457" s="19">
        <v>1200</v>
      </c>
      <c r="M457" s="39" t="s">
        <v>820</v>
      </c>
      <c r="N457" s="25">
        <f t="shared" si="32"/>
        <v>29</v>
      </c>
      <c r="O457" s="25" t="str">
        <f t="shared" si="33"/>
        <v>lunes</v>
      </c>
      <c r="P457" s="27">
        <f t="shared" si="30"/>
        <v>9</v>
      </c>
      <c r="Q457" s="22" t="str">
        <f t="shared" si="31"/>
        <v>septiembre</v>
      </c>
      <c r="R457" t="s">
        <v>339</v>
      </c>
      <c r="S457">
        <v>12253</v>
      </c>
    </row>
    <row r="458" spans="1:19" x14ac:dyDescent="0.25">
      <c r="A458">
        <v>5</v>
      </c>
      <c r="B458" t="s">
        <v>823</v>
      </c>
      <c r="C458" t="s">
        <v>6</v>
      </c>
      <c r="D458" t="s">
        <v>833</v>
      </c>
      <c r="E458">
        <v>439385189</v>
      </c>
      <c r="H458">
        <v>2160</v>
      </c>
      <c r="I458" s="19">
        <v>1200</v>
      </c>
      <c r="K458">
        <v>960</v>
      </c>
      <c r="M458" s="39" t="s">
        <v>820</v>
      </c>
      <c r="N458" s="25">
        <f t="shared" si="32"/>
        <v>29</v>
      </c>
      <c r="O458" s="25" t="str">
        <f t="shared" si="33"/>
        <v>lunes</v>
      </c>
      <c r="P458" s="27">
        <f t="shared" si="30"/>
        <v>9</v>
      </c>
      <c r="Q458" s="22" t="str">
        <f t="shared" si="31"/>
        <v>septiembre</v>
      </c>
    </row>
    <row r="459" spans="1:19" x14ac:dyDescent="0.25">
      <c r="A459">
        <v>5</v>
      </c>
      <c r="B459" t="s">
        <v>786</v>
      </c>
      <c r="C459" t="s">
        <v>19</v>
      </c>
      <c r="D459" t="s">
        <v>834</v>
      </c>
      <c r="E459">
        <v>439385065</v>
      </c>
      <c r="H459">
        <v>1700</v>
      </c>
      <c r="I459" s="19">
        <v>1200</v>
      </c>
      <c r="K459">
        <v>500</v>
      </c>
      <c r="M459" s="39" t="s">
        <v>820</v>
      </c>
      <c r="N459" s="25">
        <f t="shared" si="32"/>
        <v>29</v>
      </c>
      <c r="O459" s="25" t="str">
        <f t="shared" si="33"/>
        <v>lunes</v>
      </c>
      <c r="P459" s="27">
        <f t="shared" si="30"/>
        <v>9</v>
      </c>
      <c r="Q459" s="22" t="str">
        <f t="shared" si="31"/>
        <v>septiembre</v>
      </c>
    </row>
    <row r="460" spans="1:19" x14ac:dyDescent="0.25">
      <c r="A460">
        <v>5</v>
      </c>
      <c r="B460" t="s">
        <v>824</v>
      </c>
      <c r="C460" t="s">
        <v>6</v>
      </c>
      <c r="D460" t="s">
        <v>835</v>
      </c>
      <c r="E460">
        <v>439384966</v>
      </c>
      <c r="H460">
        <v>2280</v>
      </c>
      <c r="I460" s="19">
        <v>1200</v>
      </c>
      <c r="K460">
        <v>1080</v>
      </c>
      <c r="M460" s="39" t="s">
        <v>820</v>
      </c>
      <c r="N460" s="25">
        <f t="shared" si="32"/>
        <v>29</v>
      </c>
      <c r="O460" s="25" t="str">
        <f t="shared" si="33"/>
        <v>lunes</v>
      </c>
      <c r="P460" s="27">
        <f t="shared" si="30"/>
        <v>9</v>
      </c>
      <c r="Q460" s="22" t="str">
        <f t="shared" si="31"/>
        <v>septiembre</v>
      </c>
    </row>
    <row r="461" spans="1:19" x14ac:dyDescent="0.25">
      <c r="A461">
        <v>6</v>
      </c>
      <c r="B461" t="s">
        <v>836</v>
      </c>
      <c r="C461" t="s">
        <v>6</v>
      </c>
      <c r="D461" t="s">
        <v>841</v>
      </c>
      <c r="E461">
        <v>439575839</v>
      </c>
      <c r="F461" t="s">
        <v>842</v>
      </c>
      <c r="G461">
        <v>439576057</v>
      </c>
      <c r="H461">
        <v>3700</v>
      </c>
      <c r="I461" s="19">
        <v>2100</v>
      </c>
      <c r="K461">
        <v>1600</v>
      </c>
      <c r="M461" s="39" t="s">
        <v>840</v>
      </c>
      <c r="N461" s="25">
        <f t="shared" si="32"/>
        <v>1</v>
      </c>
      <c r="O461" s="25" t="str">
        <f t="shared" si="33"/>
        <v>miércoles</v>
      </c>
      <c r="P461" s="27">
        <f t="shared" ref="P461:P524" si="34">MONTH(M461)</f>
        <v>10</v>
      </c>
      <c r="Q461" s="22" t="str">
        <f t="shared" ref="Q461:Q524" si="35">TEXT(M461,"MMMM")</f>
        <v>octubre</v>
      </c>
    </row>
    <row r="462" spans="1:19" x14ac:dyDescent="0.25">
      <c r="A462">
        <v>6</v>
      </c>
      <c r="B462" t="s">
        <v>727</v>
      </c>
      <c r="C462" t="s">
        <v>6</v>
      </c>
      <c r="D462" t="s">
        <v>843</v>
      </c>
      <c r="E462">
        <v>439575026</v>
      </c>
      <c r="H462">
        <v>1920</v>
      </c>
      <c r="I462" s="19">
        <v>1200</v>
      </c>
      <c r="K462">
        <v>720</v>
      </c>
      <c r="M462" s="39" t="s">
        <v>840</v>
      </c>
      <c r="N462" s="25">
        <f t="shared" si="32"/>
        <v>1</v>
      </c>
      <c r="O462" s="25" t="str">
        <f t="shared" si="33"/>
        <v>miércoles</v>
      </c>
      <c r="P462" s="27">
        <f t="shared" si="34"/>
        <v>10</v>
      </c>
      <c r="Q462" s="22" t="str">
        <f t="shared" si="35"/>
        <v>octubre</v>
      </c>
    </row>
    <row r="463" spans="1:19" x14ac:dyDescent="0.25">
      <c r="A463">
        <v>5</v>
      </c>
      <c r="B463" t="s">
        <v>748</v>
      </c>
      <c r="C463" t="s">
        <v>6</v>
      </c>
      <c r="D463" t="s">
        <v>758</v>
      </c>
      <c r="E463">
        <v>439573635</v>
      </c>
      <c r="H463">
        <v>1700</v>
      </c>
      <c r="I463" s="19">
        <v>1200</v>
      </c>
      <c r="K463">
        <v>500</v>
      </c>
      <c r="M463" s="39" t="s">
        <v>840</v>
      </c>
      <c r="N463" s="25">
        <f t="shared" si="32"/>
        <v>1</v>
      </c>
      <c r="O463" s="25" t="str">
        <f t="shared" si="33"/>
        <v>miércoles</v>
      </c>
      <c r="P463" s="27">
        <f t="shared" si="34"/>
        <v>10</v>
      </c>
      <c r="Q463" s="22" t="str">
        <f t="shared" si="35"/>
        <v>octubre</v>
      </c>
    </row>
    <row r="464" spans="1:19" x14ac:dyDescent="0.25">
      <c r="A464">
        <v>5</v>
      </c>
      <c r="B464" t="s">
        <v>837</v>
      </c>
      <c r="C464" t="s">
        <v>19</v>
      </c>
      <c r="D464" t="s">
        <v>844</v>
      </c>
      <c r="E464">
        <v>439572993</v>
      </c>
      <c r="H464">
        <v>2150</v>
      </c>
      <c r="I464" s="19">
        <v>1350</v>
      </c>
      <c r="K464">
        <v>800</v>
      </c>
      <c r="M464" s="39" t="s">
        <v>840</v>
      </c>
      <c r="N464" s="25">
        <f t="shared" si="32"/>
        <v>1</v>
      </c>
      <c r="O464" s="25" t="str">
        <f t="shared" si="33"/>
        <v>miércoles</v>
      </c>
      <c r="P464" s="27">
        <f t="shared" si="34"/>
        <v>10</v>
      </c>
      <c r="Q464" s="22" t="str">
        <f t="shared" si="35"/>
        <v>octubre</v>
      </c>
    </row>
    <row r="465" spans="1:19" x14ac:dyDescent="0.25">
      <c r="A465">
        <v>5</v>
      </c>
      <c r="B465" t="s">
        <v>838</v>
      </c>
      <c r="C465" t="s">
        <v>6</v>
      </c>
      <c r="D465" t="s">
        <v>256</v>
      </c>
      <c r="E465">
        <v>439571219</v>
      </c>
      <c r="H465">
        <v>1700</v>
      </c>
      <c r="I465" s="19">
        <v>1200</v>
      </c>
      <c r="K465">
        <v>500</v>
      </c>
      <c r="M465" s="39" t="s">
        <v>840</v>
      </c>
      <c r="N465" s="25">
        <f t="shared" si="32"/>
        <v>1</v>
      </c>
      <c r="O465" s="25" t="str">
        <f t="shared" si="33"/>
        <v>miércoles</v>
      </c>
      <c r="P465" s="27">
        <f t="shared" si="34"/>
        <v>10</v>
      </c>
      <c r="Q465" s="22" t="str">
        <f t="shared" si="35"/>
        <v>octubre</v>
      </c>
    </row>
    <row r="466" spans="1:19" x14ac:dyDescent="0.25">
      <c r="A466">
        <v>5</v>
      </c>
      <c r="B466" t="s">
        <v>839</v>
      </c>
      <c r="C466" t="s">
        <v>6</v>
      </c>
      <c r="D466" t="s">
        <v>256</v>
      </c>
      <c r="E466">
        <v>439570719</v>
      </c>
      <c r="H466">
        <v>1560</v>
      </c>
      <c r="I466" s="19">
        <v>1200</v>
      </c>
      <c r="K466">
        <v>360</v>
      </c>
      <c r="M466" s="39" t="s">
        <v>840</v>
      </c>
      <c r="N466" s="25">
        <f t="shared" si="32"/>
        <v>1</v>
      </c>
      <c r="O466" s="25" t="str">
        <f t="shared" si="33"/>
        <v>miércoles</v>
      </c>
      <c r="P466" s="27">
        <f t="shared" si="34"/>
        <v>10</v>
      </c>
      <c r="Q466" s="22" t="str">
        <f t="shared" si="35"/>
        <v>octubre</v>
      </c>
    </row>
    <row r="467" spans="1:19" x14ac:dyDescent="0.25">
      <c r="A467">
        <v>12</v>
      </c>
      <c r="B467" t="s">
        <v>845</v>
      </c>
      <c r="C467" t="s">
        <v>6</v>
      </c>
      <c r="D467" t="s">
        <v>846</v>
      </c>
      <c r="E467">
        <v>440174774</v>
      </c>
      <c r="H467">
        <v>2880</v>
      </c>
      <c r="I467" s="19">
        <v>1440</v>
      </c>
      <c r="K467">
        <v>1440</v>
      </c>
      <c r="M467" s="48" t="s">
        <v>862</v>
      </c>
      <c r="N467" s="25">
        <f t="shared" si="32"/>
        <v>5</v>
      </c>
      <c r="O467" s="25" t="str">
        <f t="shared" si="33"/>
        <v>domingo</v>
      </c>
      <c r="P467" s="27">
        <f t="shared" si="34"/>
        <v>10</v>
      </c>
      <c r="Q467" s="22" t="str">
        <f t="shared" si="35"/>
        <v>octubre</v>
      </c>
    </row>
    <row r="468" spans="1:19" x14ac:dyDescent="0.25">
      <c r="A468">
        <v>12</v>
      </c>
      <c r="B468" t="s">
        <v>480</v>
      </c>
      <c r="C468" t="s">
        <v>6</v>
      </c>
      <c r="D468" t="s">
        <v>863</v>
      </c>
      <c r="E468">
        <v>440170940</v>
      </c>
      <c r="H468">
        <v>3230</v>
      </c>
      <c r="I468" s="19">
        <v>1750</v>
      </c>
      <c r="K468">
        <v>1480</v>
      </c>
      <c r="M468" s="48" t="s">
        <v>862</v>
      </c>
      <c r="N468" s="25">
        <f t="shared" si="32"/>
        <v>5</v>
      </c>
      <c r="O468" s="25" t="str">
        <f t="shared" si="33"/>
        <v>domingo</v>
      </c>
      <c r="P468" s="27">
        <f t="shared" si="34"/>
        <v>10</v>
      </c>
      <c r="Q468" s="22" t="str">
        <f t="shared" si="35"/>
        <v>octubre</v>
      </c>
    </row>
    <row r="469" spans="1:19" x14ac:dyDescent="0.25">
      <c r="A469">
        <v>12</v>
      </c>
      <c r="B469" t="s">
        <v>302</v>
      </c>
      <c r="C469" t="s">
        <v>6</v>
      </c>
      <c r="D469" t="s">
        <v>864</v>
      </c>
      <c r="E469">
        <v>440156494</v>
      </c>
      <c r="F469" t="s">
        <v>865</v>
      </c>
      <c r="G469">
        <v>440161206</v>
      </c>
      <c r="H469">
        <v>5880</v>
      </c>
      <c r="I469" s="19">
        <v>2800</v>
      </c>
      <c r="K469">
        <v>3080</v>
      </c>
      <c r="M469" s="48" t="s">
        <v>862</v>
      </c>
      <c r="N469" s="25">
        <f t="shared" si="32"/>
        <v>5</v>
      </c>
      <c r="O469" s="25" t="str">
        <f t="shared" si="33"/>
        <v>domingo</v>
      </c>
      <c r="P469" s="27">
        <f t="shared" si="34"/>
        <v>10</v>
      </c>
      <c r="Q469" s="22" t="str">
        <f t="shared" si="35"/>
        <v>octubre</v>
      </c>
      <c r="R469" t="s">
        <v>876</v>
      </c>
      <c r="S469">
        <v>18083</v>
      </c>
    </row>
    <row r="470" spans="1:19" x14ac:dyDescent="0.25">
      <c r="A470">
        <v>11</v>
      </c>
      <c r="B470" t="s">
        <v>847</v>
      </c>
      <c r="C470" t="s">
        <v>6</v>
      </c>
      <c r="D470" t="s">
        <v>866</v>
      </c>
      <c r="E470">
        <v>440151143</v>
      </c>
      <c r="H470">
        <v>2830</v>
      </c>
      <c r="I470" s="19">
        <v>1450</v>
      </c>
      <c r="K470">
        <v>1380</v>
      </c>
      <c r="M470" s="48" t="s">
        <v>862</v>
      </c>
      <c r="N470" s="25">
        <f t="shared" si="32"/>
        <v>5</v>
      </c>
      <c r="O470" s="25" t="str">
        <f t="shared" si="33"/>
        <v>domingo</v>
      </c>
      <c r="P470" s="27">
        <f t="shared" si="34"/>
        <v>10</v>
      </c>
      <c r="Q470" s="22" t="str">
        <f t="shared" si="35"/>
        <v>octubre</v>
      </c>
    </row>
    <row r="471" spans="1:19" x14ac:dyDescent="0.25">
      <c r="A471">
        <v>11</v>
      </c>
      <c r="B471" t="s">
        <v>305</v>
      </c>
      <c r="C471" t="s">
        <v>6</v>
      </c>
      <c r="D471" t="s">
        <v>867</v>
      </c>
      <c r="E471">
        <v>440146752</v>
      </c>
      <c r="H471">
        <v>2210</v>
      </c>
      <c r="I471" s="19">
        <v>1250</v>
      </c>
      <c r="K471">
        <v>960</v>
      </c>
      <c r="M471" s="48" t="s">
        <v>862</v>
      </c>
      <c r="N471" s="25">
        <f t="shared" si="32"/>
        <v>5</v>
      </c>
      <c r="O471" s="25" t="str">
        <f t="shared" si="33"/>
        <v>domingo</v>
      </c>
      <c r="P471" s="27">
        <f t="shared" si="34"/>
        <v>10</v>
      </c>
      <c r="Q471" s="22" t="str">
        <f t="shared" si="35"/>
        <v>octubre</v>
      </c>
    </row>
    <row r="472" spans="1:19" x14ac:dyDescent="0.25">
      <c r="A472">
        <v>11</v>
      </c>
      <c r="B472" t="s">
        <v>848</v>
      </c>
      <c r="C472" t="s">
        <v>6</v>
      </c>
      <c r="D472" t="s">
        <v>868</v>
      </c>
      <c r="E472">
        <v>440138179</v>
      </c>
      <c r="F472" t="s">
        <v>869</v>
      </c>
      <c r="G472">
        <v>440137726</v>
      </c>
      <c r="H472">
        <v>3880</v>
      </c>
      <c r="I472" s="19">
        <v>2900</v>
      </c>
      <c r="K472">
        <v>980</v>
      </c>
      <c r="M472" s="48" t="s">
        <v>862</v>
      </c>
      <c r="N472" s="25">
        <f t="shared" si="32"/>
        <v>5</v>
      </c>
      <c r="O472" s="25" t="str">
        <f t="shared" si="33"/>
        <v>domingo</v>
      </c>
      <c r="P472" s="27">
        <f t="shared" si="34"/>
        <v>10</v>
      </c>
      <c r="Q472" s="22" t="str">
        <f t="shared" si="35"/>
        <v>octubre</v>
      </c>
    </row>
    <row r="473" spans="1:19" x14ac:dyDescent="0.25">
      <c r="A473">
        <v>10</v>
      </c>
      <c r="B473" t="s">
        <v>849</v>
      </c>
      <c r="C473" t="s">
        <v>155</v>
      </c>
      <c r="D473" t="s">
        <v>389</v>
      </c>
      <c r="E473">
        <v>440119991</v>
      </c>
      <c r="H473">
        <v>1445</v>
      </c>
      <c r="I473" s="19">
        <v>1200</v>
      </c>
      <c r="K473">
        <v>245</v>
      </c>
      <c r="M473" s="48" t="s">
        <v>862</v>
      </c>
      <c r="N473" s="25">
        <f t="shared" si="32"/>
        <v>5</v>
      </c>
      <c r="O473" s="25" t="str">
        <f t="shared" si="33"/>
        <v>domingo</v>
      </c>
      <c r="P473" s="27">
        <f t="shared" si="34"/>
        <v>10</v>
      </c>
      <c r="Q473" s="22" t="str">
        <f t="shared" si="35"/>
        <v>octubre</v>
      </c>
    </row>
    <row r="474" spans="1:19" x14ac:dyDescent="0.25">
      <c r="A474">
        <v>10</v>
      </c>
      <c r="B474" t="s">
        <v>540</v>
      </c>
      <c r="C474" t="s">
        <v>6</v>
      </c>
      <c r="D474" t="s">
        <v>599</v>
      </c>
      <c r="E474">
        <v>440115903</v>
      </c>
      <c r="F474" t="s">
        <v>599</v>
      </c>
      <c r="G474">
        <v>440116871</v>
      </c>
      <c r="H474">
        <v>4800</v>
      </c>
      <c r="I474" s="19">
        <v>2100</v>
      </c>
      <c r="K474">
        <v>2700</v>
      </c>
      <c r="M474" s="48" t="s">
        <v>862</v>
      </c>
      <c r="N474" s="25">
        <f t="shared" si="32"/>
        <v>5</v>
      </c>
      <c r="O474" s="25" t="str">
        <f t="shared" si="33"/>
        <v>domingo</v>
      </c>
      <c r="P474" s="27">
        <f t="shared" si="34"/>
        <v>10</v>
      </c>
      <c r="Q474" s="22" t="str">
        <f t="shared" si="35"/>
        <v>octubre</v>
      </c>
    </row>
    <row r="475" spans="1:19" x14ac:dyDescent="0.25">
      <c r="A475">
        <v>10</v>
      </c>
      <c r="B475" t="s">
        <v>850</v>
      </c>
      <c r="C475" t="s">
        <v>6</v>
      </c>
      <c r="D475" t="s">
        <v>870</v>
      </c>
      <c r="E475">
        <v>440114730</v>
      </c>
      <c r="H475">
        <v>2600</v>
      </c>
      <c r="I475" s="19">
        <v>1200</v>
      </c>
      <c r="K475">
        <v>1400</v>
      </c>
      <c r="M475" s="48" t="s">
        <v>862</v>
      </c>
      <c r="N475" s="25">
        <f t="shared" si="32"/>
        <v>5</v>
      </c>
      <c r="O475" s="25" t="str">
        <f t="shared" si="33"/>
        <v>domingo</v>
      </c>
      <c r="P475" s="27">
        <f t="shared" si="34"/>
        <v>10</v>
      </c>
      <c r="Q475" s="22" t="str">
        <f t="shared" si="35"/>
        <v>octubre</v>
      </c>
    </row>
    <row r="476" spans="1:19" x14ac:dyDescent="0.25">
      <c r="A476">
        <v>10</v>
      </c>
      <c r="B476" t="s">
        <v>851</v>
      </c>
      <c r="C476" t="s">
        <v>6</v>
      </c>
      <c r="D476" t="s">
        <v>568</v>
      </c>
      <c r="E476">
        <v>440111757</v>
      </c>
      <c r="H476">
        <v>1200</v>
      </c>
      <c r="I476" s="19">
        <v>1200</v>
      </c>
      <c r="M476" s="48" t="s">
        <v>862</v>
      </c>
      <c r="N476" s="25">
        <f t="shared" si="32"/>
        <v>5</v>
      </c>
      <c r="O476" s="25" t="str">
        <f t="shared" si="33"/>
        <v>domingo</v>
      </c>
      <c r="P476" s="27">
        <f t="shared" si="34"/>
        <v>10</v>
      </c>
      <c r="Q476" s="22" t="str">
        <f t="shared" si="35"/>
        <v>octubre</v>
      </c>
    </row>
    <row r="477" spans="1:19" x14ac:dyDescent="0.25">
      <c r="A477">
        <v>9</v>
      </c>
      <c r="B477" t="s">
        <v>852</v>
      </c>
      <c r="C477" t="s">
        <v>155</v>
      </c>
      <c r="D477" t="s">
        <v>174</v>
      </c>
      <c r="E477">
        <v>440108184</v>
      </c>
      <c r="H477">
        <v>3105</v>
      </c>
      <c r="I477" s="19">
        <v>2150</v>
      </c>
      <c r="K477">
        <v>955</v>
      </c>
      <c r="M477" s="48" t="s">
        <v>862</v>
      </c>
      <c r="N477" s="25">
        <f t="shared" si="32"/>
        <v>5</v>
      </c>
      <c r="O477" s="25" t="str">
        <f t="shared" si="33"/>
        <v>domingo</v>
      </c>
      <c r="P477" s="27">
        <f t="shared" si="34"/>
        <v>10</v>
      </c>
      <c r="Q477" s="22" t="str">
        <f t="shared" si="35"/>
        <v>octubre</v>
      </c>
    </row>
    <row r="478" spans="1:19" x14ac:dyDescent="0.25">
      <c r="A478">
        <v>9</v>
      </c>
      <c r="B478" t="s">
        <v>853</v>
      </c>
      <c r="C478" t="s">
        <v>19</v>
      </c>
      <c r="D478" t="s">
        <v>491</v>
      </c>
      <c r="E478">
        <v>440098623</v>
      </c>
      <c r="H478">
        <v>2020</v>
      </c>
      <c r="I478" s="19">
        <v>1200</v>
      </c>
      <c r="K478">
        <v>820</v>
      </c>
      <c r="M478" s="48" t="s">
        <v>862</v>
      </c>
      <c r="N478" s="25">
        <f t="shared" si="32"/>
        <v>5</v>
      </c>
      <c r="O478" s="25" t="str">
        <f t="shared" si="33"/>
        <v>domingo</v>
      </c>
      <c r="P478" s="27">
        <f t="shared" si="34"/>
        <v>10</v>
      </c>
      <c r="Q478" s="22" t="str">
        <f t="shared" si="35"/>
        <v>octubre</v>
      </c>
      <c r="R478" t="s">
        <v>491</v>
      </c>
      <c r="S478">
        <v>12350</v>
      </c>
    </row>
    <row r="479" spans="1:19" x14ac:dyDescent="0.25">
      <c r="A479">
        <v>8</v>
      </c>
      <c r="B479" t="s">
        <v>854</v>
      </c>
      <c r="C479" t="s">
        <v>6</v>
      </c>
      <c r="D479" t="s">
        <v>871</v>
      </c>
      <c r="E479">
        <v>440084038</v>
      </c>
      <c r="F479" t="s">
        <v>871</v>
      </c>
      <c r="G479">
        <v>440084122</v>
      </c>
      <c r="H479">
        <v>4230</v>
      </c>
      <c r="I479" s="19">
        <v>2150</v>
      </c>
      <c r="K479">
        <v>2080</v>
      </c>
      <c r="M479" s="48" t="s">
        <v>862</v>
      </c>
      <c r="N479" s="25">
        <f t="shared" si="32"/>
        <v>5</v>
      </c>
      <c r="O479" s="25" t="str">
        <f t="shared" si="33"/>
        <v>domingo</v>
      </c>
      <c r="P479" s="27">
        <f t="shared" si="34"/>
        <v>10</v>
      </c>
      <c r="Q479" s="22" t="str">
        <f t="shared" si="35"/>
        <v>octubre</v>
      </c>
    </row>
    <row r="480" spans="1:19" x14ac:dyDescent="0.25">
      <c r="A480">
        <v>6</v>
      </c>
      <c r="B480" t="s">
        <v>855</v>
      </c>
      <c r="C480" t="s">
        <v>19</v>
      </c>
      <c r="D480" t="s">
        <v>872</v>
      </c>
      <c r="E480">
        <v>440058663</v>
      </c>
      <c r="H480">
        <v>3830</v>
      </c>
      <c r="I480" s="19">
        <v>2450</v>
      </c>
      <c r="K480">
        <v>1380</v>
      </c>
      <c r="M480" s="48" t="s">
        <v>862</v>
      </c>
      <c r="N480" s="25">
        <f t="shared" si="32"/>
        <v>5</v>
      </c>
      <c r="O480" s="25" t="str">
        <f t="shared" si="33"/>
        <v>domingo</v>
      </c>
      <c r="P480" s="27">
        <f t="shared" si="34"/>
        <v>10</v>
      </c>
      <c r="Q480" s="22" t="str">
        <f t="shared" si="35"/>
        <v>octubre</v>
      </c>
    </row>
    <row r="481" spans="1:19" x14ac:dyDescent="0.25">
      <c r="A481">
        <v>6</v>
      </c>
      <c r="B481" t="s">
        <v>856</v>
      </c>
      <c r="C481" t="s">
        <v>19</v>
      </c>
      <c r="D481" t="s">
        <v>248</v>
      </c>
      <c r="E481">
        <v>440057272</v>
      </c>
      <c r="H481">
        <v>3001</v>
      </c>
      <c r="I481" s="19">
        <v>3000</v>
      </c>
      <c r="K481">
        <v>1</v>
      </c>
      <c r="M481" s="48" t="s">
        <v>862</v>
      </c>
      <c r="N481" s="25">
        <f t="shared" si="32"/>
        <v>5</v>
      </c>
      <c r="O481" s="25" t="str">
        <f t="shared" si="33"/>
        <v>domingo</v>
      </c>
      <c r="P481" s="27">
        <f t="shared" si="34"/>
        <v>10</v>
      </c>
      <c r="Q481" s="22" t="str">
        <f t="shared" si="35"/>
        <v>octubre</v>
      </c>
    </row>
    <row r="482" spans="1:19" x14ac:dyDescent="0.25">
      <c r="A482">
        <v>6</v>
      </c>
      <c r="B482" t="s">
        <v>707</v>
      </c>
      <c r="C482" t="s">
        <v>6</v>
      </c>
      <c r="D482" t="s">
        <v>873</v>
      </c>
      <c r="E482">
        <v>440055863</v>
      </c>
      <c r="H482">
        <v>1750</v>
      </c>
      <c r="I482" s="19">
        <v>1250</v>
      </c>
      <c r="K482">
        <v>500</v>
      </c>
      <c r="M482" s="48" t="s">
        <v>862</v>
      </c>
      <c r="N482" s="25">
        <f t="shared" si="32"/>
        <v>5</v>
      </c>
      <c r="O482" s="25" t="str">
        <f t="shared" si="33"/>
        <v>domingo</v>
      </c>
      <c r="P482" s="27">
        <f t="shared" si="34"/>
        <v>10</v>
      </c>
      <c r="Q482" s="22" t="str">
        <f t="shared" si="35"/>
        <v>octubre</v>
      </c>
    </row>
    <row r="483" spans="1:19" x14ac:dyDescent="0.25">
      <c r="A483">
        <v>5</v>
      </c>
      <c r="B483" t="s">
        <v>857</v>
      </c>
      <c r="C483" t="s">
        <v>6</v>
      </c>
      <c r="D483" t="s">
        <v>874</v>
      </c>
      <c r="E483">
        <v>440054900</v>
      </c>
      <c r="H483">
        <v>1720</v>
      </c>
      <c r="I483" s="19">
        <v>1200</v>
      </c>
      <c r="K483">
        <v>520</v>
      </c>
      <c r="M483" s="48" t="s">
        <v>862</v>
      </c>
      <c r="N483" s="25">
        <f t="shared" si="32"/>
        <v>5</v>
      </c>
      <c r="O483" s="25" t="str">
        <f t="shared" si="33"/>
        <v>domingo</v>
      </c>
      <c r="P483" s="27">
        <f t="shared" si="34"/>
        <v>10</v>
      </c>
      <c r="Q483" s="22" t="str">
        <f t="shared" si="35"/>
        <v>octubre</v>
      </c>
    </row>
    <row r="484" spans="1:19" x14ac:dyDescent="0.25">
      <c r="A484">
        <v>4</v>
      </c>
      <c r="B484" t="s">
        <v>858</v>
      </c>
      <c r="C484" t="s">
        <v>19</v>
      </c>
      <c r="D484" t="s">
        <v>875</v>
      </c>
      <c r="E484">
        <v>440052250</v>
      </c>
      <c r="H484">
        <v>3000</v>
      </c>
      <c r="I484" s="19">
        <v>2000</v>
      </c>
      <c r="K484">
        <v>1000</v>
      </c>
      <c r="M484" s="48" t="s">
        <v>862</v>
      </c>
      <c r="N484" s="25">
        <f t="shared" si="32"/>
        <v>5</v>
      </c>
      <c r="O484" s="25" t="str">
        <f t="shared" si="33"/>
        <v>domingo</v>
      </c>
      <c r="P484" s="27">
        <f t="shared" si="34"/>
        <v>10</v>
      </c>
      <c r="Q484" s="22" t="str">
        <f t="shared" si="35"/>
        <v>octubre</v>
      </c>
    </row>
    <row r="485" spans="1:19" x14ac:dyDescent="0.25">
      <c r="A485">
        <v>3</v>
      </c>
      <c r="B485" t="s">
        <v>859</v>
      </c>
      <c r="C485" t="s">
        <v>6</v>
      </c>
      <c r="D485" t="s">
        <v>631</v>
      </c>
      <c r="E485">
        <v>440052042</v>
      </c>
      <c r="H485">
        <v>2150</v>
      </c>
      <c r="I485" s="19">
        <v>2150</v>
      </c>
      <c r="M485" s="48" t="s">
        <v>862</v>
      </c>
      <c r="N485" s="25">
        <f t="shared" si="32"/>
        <v>5</v>
      </c>
      <c r="O485" s="25" t="str">
        <f t="shared" si="33"/>
        <v>domingo</v>
      </c>
      <c r="P485" s="27">
        <f t="shared" si="34"/>
        <v>10</v>
      </c>
      <c r="Q485" s="22" t="str">
        <f t="shared" si="35"/>
        <v>octubre</v>
      </c>
    </row>
    <row r="486" spans="1:19" x14ac:dyDescent="0.25">
      <c r="A486">
        <v>3</v>
      </c>
      <c r="B486" t="s">
        <v>860</v>
      </c>
      <c r="C486" t="s">
        <v>19</v>
      </c>
      <c r="D486" t="s">
        <v>861</v>
      </c>
      <c r="E486">
        <v>440051688</v>
      </c>
      <c r="H486">
        <v>2790</v>
      </c>
      <c r="I486" s="19">
        <v>1850</v>
      </c>
      <c r="K486">
        <v>940</v>
      </c>
      <c r="M486" s="48" t="s">
        <v>862</v>
      </c>
      <c r="N486" s="25">
        <f t="shared" si="32"/>
        <v>5</v>
      </c>
      <c r="O486" s="25" t="str">
        <f t="shared" si="33"/>
        <v>domingo</v>
      </c>
      <c r="P486" s="27">
        <f t="shared" si="34"/>
        <v>10</v>
      </c>
      <c r="Q486" s="22" t="str">
        <f t="shared" si="35"/>
        <v>octubre</v>
      </c>
      <c r="R486" t="s">
        <v>861</v>
      </c>
      <c r="S486">
        <v>16720</v>
      </c>
    </row>
    <row r="487" spans="1:19" x14ac:dyDescent="0.25">
      <c r="A487">
        <v>12</v>
      </c>
      <c r="B487" t="s">
        <v>877</v>
      </c>
      <c r="C487" t="s">
        <v>6</v>
      </c>
      <c r="D487" t="s">
        <v>889</v>
      </c>
      <c r="E487">
        <v>440263004</v>
      </c>
      <c r="F487" t="s">
        <v>890</v>
      </c>
      <c r="G487">
        <v>440263068</v>
      </c>
      <c r="H487">
        <v>4510</v>
      </c>
      <c r="I487" s="19">
        <v>2300</v>
      </c>
      <c r="J487">
        <v>120</v>
      </c>
      <c r="K487">
        <v>2090</v>
      </c>
      <c r="M487" s="39" t="s">
        <v>888</v>
      </c>
      <c r="N487" s="25">
        <f t="shared" si="32"/>
        <v>6</v>
      </c>
      <c r="O487" s="25" t="str">
        <f t="shared" si="33"/>
        <v>lunes</v>
      </c>
      <c r="P487" s="27">
        <f t="shared" si="34"/>
        <v>10</v>
      </c>
      <c r="Q487" s="22" t="str">
        <f t="shared" si="35"/>
        <v>octubre</v>
      </c>
      <c r="R487" t="s">
        <v>889</v>
      </c>
      <c r="S487">
        <v>11672</v>
      </c>
    </row>
    <row r="488" spans="1:19" x14ac:dyDescent="0.25">
      <c r="A488">
        <v>11</v>
      </c>
      <c r="B488" t="s">
        <v>878</v>
      </c>
      <c r="C488" t="s">
        <v>19</v>
      </c>
      <c r="D488" t="s">
        <v>891</v>
      </c>
      <c r="E488">
        <v>440257949</v>
      </c>
      <c r="H488">
        <v>1880</v>
      </c>
      <c r="I488" s="19">
        <v>1200</v>
      </c>
      <c r="J488">
        <v>60</v>
      </c>
      <c r="K488">
        <v>620</v>
      </c>
      <c r="M488" s="39" t="s">
        <v>888</v>
      </c>
      <c r="N488" s="25">
        <f t="shared" si="32"/>
        <v>6</v>
      </c>
      <c r="O488" s="25" t="str">
        <f t="shared" si="33"/>
        <v>lunes</v>
      </c>
      <c r="P488" s="27">
        <f t="shared" si="34"/>
        <v>10</v>
      </c>
      <c r="Q488" s="22" t="str">
        <f t="shared" si="35"/>
        <v>octubre</v>
      </c>
    </row>
    <row r="489" spans="1:19" x14ac:dyDescent="0.25">
      <c r="A489">
        <v>11</v>
      </c>
      <c r="B489" t="s">
        <v>879</v>
      </c>
      <c r="C489" t="s">
        <v>6</v>
      </c>
      <c r="D489" t="s">
        <v>350</v>
      </c>
      <c r="E489">
        <v>440250670</v>
      </c>
      <c r="F489" t="s">
        <v>892</v>
      </c>
      <c r="G489">
        <v>440250947</v>
      </c>
      <c r="H489">
        <v>5320</v>
      </c>
      <c r="I489" s="19">
        <v>2100</v>
      </c>
      <c r="J489">
        <v>120</v>
      </c>
      <c r="K489">
        <v>3100</v>
      </c>
      <c r="M489" s="39" t="s">
        <v>888</v>
      </c>
      <c r="N489" s="25">
        <f t="shared" si="32"/>
        <v>6</v>
      </c>
      <c r="O489" s="25" t="str">
        <f t="shared" si="33"/>
        <v>lunes</v>
      </c>
      <c r="P489" s="27">
        <f t="shared" si="34"/>
        <v>10</v>
      </c>
      <c r="Q489" s="22" t="str">
        <f t="shared" si="35"/>
        <v>octubre</v>
      </c>
    </row>
    <row r="490" spans="1:19" x14ac:dyDescent="0.25">
      <c r="A490">
        <v>11</v>
      </c>
      <c r="B490" t="s">
        <v>269</v>
      </c>
      <c r="C490" t="s">
        <v>6</v>
      </c>
      <c r="D490" t="s">
        <v>893</v>
      </c>
      <c r="E490">
        <v>440244385</v>
      </c>
      <c r="H490">
        <v>2380</v>
      </c>
      <c r="I490" s="19">
        <v>1200</v>
      </c>
      <c r="J490">
        <v>60</v>
      </c>
      <c r="K490">
        <v>1120</v>
      </c>
      <c r="M490" s="39" t="s">
        <v>888</v>
      </c>
      <c r="N490" s="25">
        <f t="shared" si="32"/>
        <v>6</v>
      </c>
      <c r="O490" s="25" t="str">
        <f t="shared" si="33"/>
        <v>lunes</v>
      </c>
      <c r="P490" s="27">
        <f t="shared" si="34"/>
        <v>10</v>
      </c>
      <c r="Q490" s="22" t="str">
        <f t="shared" si="35"/>
        <v>octubre</v>
      </c>
    </row>
    <row r="491" spans="1:19" x14ac:dyDescent="0.25">
      <c r="A491">
        <v>10</v>
      </c>
      <c r="B491" t="s">
        <v>880</v>
      </c>
      <c r="C491" t="s">
        <v>6</v>
      </c>
      <c r="D491" t="s">
        <v>894</v>
      </c>
      <c r="E491">
        <v>440239231</v>
      </c>
      <c r="H491">
        <v>1960</v>
      </c>
      <c r="I491" s="19">
        <v>1200</v>
      </c>
      <c r="J491">
        <v>60</v>
      </c>
      <c r="K491">
        <v>700</v>
      </c>
      <c r="M491" s="39" t="s">
        <v>888</v>
      </c>
      <c r="N491" s="25">
        <f t="shared" si="32"/>
        <v>6</v>
      </c>
      <c r="O491" s="25" t="str">
        <f t="shared" si="33"/>
        <v>lunes</v>
      </c>
      <c r="P491" s="27">
        <f t="shared" si="34"/>
        <v>10</v>
      </c>
      <c r="Q491" s="22" t="str">
        <f t="shared" si="35"/>
        <v>octubre</v>
      </c>
    </row>
    <row r="492" spans="1:19" x14ac:dyDescent="0.25">
      <c r="A492">
        <v>10</v>
      </c>
      <c r="B492" t="s">
        <v>881</v>
      </c>
      <c r="C492" t="s">
        <v>6</v>
      </c>
      <c r="D492" t="s">
        <v>894</v>
      </c>
      <c r="E492">
        <v>440235711</v>
      </c>
      <c r="H492">
        <v>1260</v>
      </c>
      <c r="I492" s="19">
        <v>1200</v>
      </c>
      <c r="J492">
        <v>60</v>
      </c>
      <c r="M492" s="39" t="s">
        <v>888</v>
      </c>
      <c r="N492" s="25">
        <f t="shared" si="32"/>
        <v>6</v>
      </c>
      <c r="O492" s="25" t="str">
        <f t="shared" si="33"/>
        <v>lunes</v>
      </c>
      <c r="P492" s="27">
        <f t="shared" si="34"/>
        <v>10</v>
      </c>
      <c r="Q492" s="22" t="str">
        <f t="shared" si="35"/>
        <v>octubre</v>
      </c>
    </row>
    <row r="493" spans="1:19" x14ac:dyDescent="0.25">
      <c r="A493">
        <v>10</v>
      </c>
      <c r="B493" t="s">
        <v>882</v>
      </c>
      <c r="C493" t="s">
        <v>6</v>
      </c>
      <c r="D493" t="s">
        <v>894</v>
      </c>
      <c r="E493">
        <v>440232333</v>
      </c>
      <c r="H493">
        <v>2040</v>
      </c>
      <c r="I493" s="19">
        <v>1200</v>
      </c>
      <c r="J493">
        <v>60</v>
      </c>
      <c r="K493">
        <v>780</v>
      </c>
      <c r="M493" s="39" t="s">
        <v>888</v>
      </c>
      <c r="N493" s="25">
        <f t="shared" si="32"/>
        <v>6</v>
      </c>
      <c r="O493" s="25" t="str">
        <f t="shared" si="33"/>
        <v>lunes</v>
      </c>
      <c r="P493" s="27">
        <f t="shared" si="34"/>
        <v>10</v>
      </c>
      <c r="Q493" s="22" t="str">
        <f t="shared" si="35"/>
        <v>octubre</v>
      </c>
    </row>
    <row r="494" spans="1:19" x14ac:dyDescent="0.25">
      <c r="A494">
        <v>9</v>
      </c>
      <c r="B494" t="s">
        <v>109</v>
      </c>
      <c r="C494" t="s">
        <v>19</v>
      </c>
      <c r="D494" t="s">
        <v>883</v>
      </c>
      <c r="E494">
        <v>440229364</v>
      </c>
      <c r="H494">
        <v>2760</v>
      </c>
      <c r="I494" s="19">
        <v>1200</v>
      </c>
      <c r="J494">
        <v>60</v>
      </c>
      <c r="K494">
        <v>1500</v>
      </c>
      <c r="M494" s="39" t="s">
        <v>888</v>
      </c>
      <c r="N494" s="25">
        <f t="shared" si="32"/>
        <v>6</v>
      </c>
      <c r="O494" s="25" t="str">
        <f t="shared" si="33"/>
        <v>lunes</v>
      </c>
      <c r="P494" s="27">
        <f t="shared" si="34"/>
        <v>10</v>
      </c>
      <c r="Q494" s="22" t="str">
        <f t="shared" si="35"/>
        <v>octubre</v>
      </c>
    </row>
    <row r="495" spans="1:19" x14ac:dyDescent="0.25">
      <c r="A495">
        <v>9</v>
      </c>
      <c r="B495" t="s">
        <v>512</v>
      </c>
      <c r="C495" t="s">
        <v>155</v>
      </c>
      <c r="D495" t="s">
        <v>675</v>
      </c>
      <c r="E495">
        <v>440227646</v>
      </c>
      <c r="H495">
        <v>1610</v>
      </c>
      <c r="I495" s="19">
        <v>1200</v>
      </c>
      <c r="J495">
        <v>60</v>
      </c>
      <c r="K495">
        <v>350</v>
      </c>
      <c r="M495" s="39" t="s">
        <v>888</v>
      </c>
      <c r="N495" s="25">
        <f t="shared" si="32"/>
        <v>6</v>
      </c>
      <c r="O495" s="25" t="str">
        <f t="shared" si="33"/>
        <v>lunes</v>
      </c>
      <c r="P495" s="27">
        <f t="shared" si="34"/>
        <v>10</v>
      </c>
      <c r="Q495" s="22" t="str">
        <f t="shared" si="35"/>
        <v>octubre</v>
      </c>
    </row>
    <row r="496" spans="1:19" x14ac:dyDescent="0.25">
      <c r="A496">
        <v>9</v>
      </c>
      <c r="B496" t="s">
        <v>884</v>
      </c>
      <c r="C496" t="s">
        <v>6</v>
      </c>
      <c r="D496" t="s">
        <v>895</v>
      </c>
      <c r="E496">
        <v>440226239</v>
      </c>
      <c r="H496">
        <v>1860</v>
      </c>
      <c r="I496" s="19">
        <v>1200</v>
      </c>
      <c r="J496">
        <v>60</v>
      </c>
      <c r="K496">
        <v>600</v>
      </c>
      <c r="M496" s="39" t="s">
        <v>888</v>
      </c>
      <c r="N496" s="25">
        <f t="shared" si="32"/>
        <v>6</v>
      </c>
      <c r="O496" s="25" t="str">
        <f t="shared" si="33"/>
        <v>lunes</v>
      </c>
      <c r="P496" s="27">
        <f t="shared" si="34"/>
        <v>10</v>
      </c>
      <c r="Q496" s="22" t="str">
        <f t="shared" si="35"/>
        <v>octubre</v>
      </c>
    </row>
    <row r="497" spans="1:19" x14ac:dyDescent="0.25">
      <c r="A497">
        <v>7</v>
      </c>
      <c r="B497" t="s">
        <v>885</v>
      </c>
      <c r="C497" t="s">
        <v>6</v>
      </c>
      <c r="D497" t="s">
        <v>253</v>
      </c>
      <c r="E497">
        <v>440199739</v>
      </c>
      <c r="H497">
        <v>2760</v>
      </c>
      <c r="I497" s="19">
        <v>1200</v>
      </c>
      <c r="J497">
        <v>60</v>
      </c>
      <c r="K497">
        <v>1500</v>
      </c>
      <c r="M497" s="39" t="s">
        <v>888</v>
      </c>
      <c r="N497" s="25">
        <f t="shared" si="32"/>
        <v>6</v>
      </c>
      <c r="O497" s="25" t="str">
        <f t="shared" si="33"/>
        <v>lunes</v>
      </c>
      <c r="P497" s="27">
        <f t="shared" si="34"/>
        <v>10</v>
      </c>
      <c r="Q497" s="22" t="str">
        <f t="shared" si="35"/>
        <v>octubre</v>
      </c>
    </row>
    <row r="498" spans="1:19" x14ac:dyDescent="0.25">
      <c r="A498">
        <v>7</v>
      </c>
      <c r="B498" t="s">
        <v>886</v>
      </c>
      <c r="C498" t="s">
        <v>6</v>
      </c>
      <c r="D498" t="s">
        <v>896</v>
      </c>
      <c r="E498">
        <v>440196113</v>
      </c>
      <c r="H498">
        <v>3300</v>
      </c>
      <c r="I498" s="19">
        <v>1200</v>
      </c>
      <c r="K498">
        <v>2100</v>
      </c>
      <c r="M498" s="39" t="s">
        <v>888</v>
      </c>
      <c r="N498" s="25">
        <f t="shared" si="32"/>
        <v>6</v>
      </c>
      <c r="O498" s="25" t="str">
        <f t="shared" si="33"/>
        <v>lunes</v>
      </c>
      <c r="P498" s="27">
        <f t="shared" si="34"/>
        <v>10</v>
      </c>
      <c r="Q498" s="22" t="str">
        <f t="shared" si="35"/>
        <v>octubre</v>
      </c>
    </row>
    <row r="499" spans="1:19" x14ac:dyDescent="0.25">
      <c r="A499">
        <v>6</v>
      </c>
      <c r="B499" t="s">
        <v>887</v>
      </c>
      <c r="C499" t="s">
        <v>155</v>
      </c>
      <c r="D499" t="s">
        <v>389</v>
      </c>
      <c r="E499">
        <v>440194678</v>
      </c>
      <c r="H499">
        <v>1550</v>
      </c>
      <c r="I499" s="19">
        <v>1200</v>
      </c>
      <c r="K499">
        <v>350</v>
      </c>
      <c r="M499" s="39" t="s">
        <v>888</v>
      </c>
      <c r="N499" s="25">
        <f t="shared" si="32"/>
        <v>6</v>
      </c>
      <c r="O499" s="25" t="str">
        <f t="shared" si="33"/>
        <v>lunes</v>
      </c>
      <c r="P499" s="27">
        <f t="shared" si="34"/>
        <v>10</v>
      </c>
      <c r="Q499" s="22" t="str">
        <f t="shared" si="35"/>
        <v>octubre</v>
      </c>
    </row>
    <row r="500" spans="1:19" x14ac:dyDescent="0.25">
      <c r="A500">
        <v>2</v>
      </c>
      <c r="B500" t="s">
        <v>629</v>
      </c>
      <c r="C500" t="s">
        <v>6</v>
      </c>
      <c r="D500" t="s">
        <v>901</v>
      </c>
      <c r="E500">
        <v>440284502</v>
      </c>
      <c r="H500">
        <v>2930</v>
      </c>
      <c r="I500" s="19">
        <v>1550</v>
      </c>
      <c r="J500">
        <v>60</v>
      </c>
      <c r="K500">
        <v>1320</v>
      </c>
      <c r="M500" s="39" t="s">
        <v>900</v>
      </c>
      <c r="N500" s="25">
        <f t="shared" si="32"/>
        <v>7</v>
      </c>
      <c r="O500" s="25" t="str">
        <f t="shared" si="33"/>
        <v>martes</v>
      </c>
      <c r="P500" s="27">
        <f t="shared" si="34"/>
        <v>10</v>
      </c>
      <c r="Q500" s="22" t="str">
        <f t="shared" si="35"/>
        <v>octubre</v>
      </c>
    </row>
    <row r="501" spans="1:19" x14ac:dyDescent="0.25">
      <c r="A501">
        <v>1</v>
      </c>
      <c r="B501" t="s">
        <v>897</v>
      </c>
      <c r="C501" t="s">
        <v>6</v>
      </c>
      <c r="D501" t="s">
        <v>281</v>
      </c>
      <c r="E501">
        <v>440284249</v>
      </c>
      <c r="H501">
        <v>1260</v>
      </c>
      <c r="I501" s="19">
        <v>1200</v>
      </c>
      <c r="J501">
        <v>60</v>
      </c>
      <c r="M501" s="39" t="s">
        <v>900</v>
      </c>
      <c r="N501" s="25">
        <f t="shared" si="32"/>
        <v>7</v>
      </c>
      <c r="O501" s="25" t="str">
        <f t="shared" si="33"/>
        <v>martes</v>
      </c>
      <c r="P501" s="27">
        <f t="shared" si="34"/>
        <v>10</v>
      </c>
      <c r="Q501" s="22" t="str">
        <f t="shared" si="35"/>
        <v>octubre</v>
      </c>
    </row>
    <row r="502" spans="1:19" x14ac:dyDescent="0.25">
      <c r="A502">
        <v>1</v>
      </c>
      <c r="B502" t="s">
        <v>898</v>
      </c>
      <c r="C502" t="s">
        <v>6</v>
      </c>
      <c r="D502" t="s">
        <v>694</v>
      </c>
      <c r="E502">
        <v>440283986</v>
      </c>
      <c r="H502">
        <v>1260</v>
      </c>
      <c r="I502" s="19">
        <v>1200</v>
      </c>
      <c r="J502">
        <v>60</v>
      </c>
      <c r="M502" s="39" t="s">
        <v>900</v>
      </c>
      <c r="N502" s="25">
        <f t="shared" si="32"/>
        <v>7</v>
      </c>
      <c r="O502" s="25" t="str">
        <f t="shared" si="33"/>
        <v>martes</v>
      </c>
      <c r="P502" s="27">
        <f t="shared" si="34"/>
        <v>10</v>
      </c>
      <c r="Q502" s="22" t="str">
        <f t="shared" si="35"/>
        <v>octubre</v>
      </c>
    </row>
    <row r="503" spans="1:19" x14ac:dyDescent="0.25">
      <c r="A503">
        <v>1</v>
      </c>
      <c r="B503" t="s">
        <v>899</v>
      </c>
      <c r="C503" t="s">
        <v>6</v>
      </c>
      <c r="D503" t="s">
        <v>394</v>
      </c>
      <c r="E503">
        <v>440283156</v>
      </c>
      <c r="F503" t="s">
        <v>902</v>
      </c>
      <c r="G503">
        <v>440283124</v>
      </c>
      <c r="H503">
        <v>5000</v>
      </c>
      <c r="I503" s="19">
        <v>2100</v>
      </c>
      <c r="J503">
        <v>120</v>
      </c>
      <c r="K503">
        <v>2780</v>
      </c>
      <c r="M503" s="39" t="s">
        <v>900</v>
      </c>
      <c r="N503" s="25">
        <f t="shared" si="32"/>
        <v>7</v>
      </c>
      <c r="O503" s="25" t="str">
        <f t="shared" si="33"/>
        <v>martes</v>
      </c>
      <c r="P503" s="27">
        <f t="shared" si="34"/>
        <v>10</v>
      </c>
      <c r="Q503" s="22" t="str">
        <f t="shared" si="35"/>
        <v>octubre</v>
      </c>
    </row>
    <row r="504" spans="1:19" x14ac:dyDescent="0.25">
      <c r="A504">
        <v>12</v>
      </c>
      <c r="B504" t="s">
        <v>357</v>
      </c>
      <c r="C504" t="s">
        <v>6</v>
      </c>
      <c r="D504" t="s">
        <v>170</v>
      </c>
      <c r="E504">
        <v>440598416</v>
      </c>
      <c r="H504">
        <v>2800</v>
      </c>
      <c r="I504" s="19">
        <v>1200</v>
      </c>
      <c r="J504">
        <v>60</v>
      </c>
      <c r="K504">
        <v>1540</v>
      </c>
      <c r="M504" s="39" t="s">
        <v>910</v>
      </c>
      <c r="N504" s="25">
        <f t="shared" si="32"/>
        <v>9</v>
      </c>
      <c r="O504" s="25" t="str">
        <f t="shared" si="33"/>
        <v>jueves</v>
      </c>
      <c r="P504" s="27">
        <f t="shared" si="34"/>
        <v>10</v>
      </c>
      <c r="Q504" s="22" t="str">
        <f t="shared" si="35"/>
        <v>octubre</v>
      </c>
      <c r="R504" t="s">
        <v>170</v>
      </c>
      <c r="S504">
        <v>25708</v>
      </c>
    </row>
    <row r="505" spans="1:19" x14ac:dyDescent="0.25">
      <c r="A505">
        <v>12</v>
      </c>
      <c r="B505" t="s">
        <v>360</v>
      </c>
      <c r="C505" t="s">
        <v>19</v>
      </c>
      <c r="D505" t="s">
        <v>230</v>
      </c>
      <c r="E505">
        <v>440585056</v>
      </c>
      <c r="H505">
        <v>1260</v>
      </c>
      <c r="I505" s="19">
        <v>1200</v>
      </c>
      <c r="J505">
        <v>60</v>
      </c>
      <c r="M505" s="39" t="s">
        <v>910</v>
      </c>
      <c r="N505" s="25">
        <f t="shared" si="32"/>
        <v>9</v>
      </c>
      <c r="O505" s="25" t="str">
        <f t="shared" si="33"/>
        <v>jueves</v>
      </c>
      <c r="P505" s="27">
        <f t="shared" si="34"/>
        <v>10</v>
      </c>
      <c r="Q505" s="22" t="str">
        <f t="shared" si="35"/>
        <v>octubre</v>
      </c>
    </row>
    <row r="506" spans="1:19" x14ac:dyDescent="0.25">
      <c r="A506">
        <v>12</v>
      </c>
      <c r="B506" t="s">
        <v>340</v>
      </c>
      <c r="C506" t="s">
        <v>6</v>
      </c>
      <c r="D506" t="s">
        <v>618</v>
      </c>
      <c r="E506">
        <v>440581365</v>
      </c>
      <c r="H506">
        <v>1860</v>
      </c>
      <c r="I506" s="19">
        <v>1200</v>
      </c>
      <c r="J506">
        <v>60</v>
      </c>
      <c r="K506">
        <v>600</v>
      </c>
      <c r="M506" s="39" t="s">
        <v>910</v>
      </c>
      <c r="N506" s="25">
        <f t="shared" si="32"/>
        <v>9</v>
      </c>
      <c r="O506" s="25" t="str">
        <f t="shared" si="33"/>
        <v>jueves</v>
      </c>
      <c r="P506" s="27">
        <f t="shared" si="34"/>
        <v>10</v>
      </c>
      <c r="Q506" s="22" t="str">
        <f t="shared" si="35"/>
        <v>octubre</v>
      </c>
    </row>
    <row r="507" spans="1:19" x14ac:dyDescent="0.25">
      <c r="A507">
        <v>11</v>
      </c>
      <c r="B507" t="s">
        <v>903</v>
      </c>
      <c r="C507" t="s">
        <v>6</v>
      </c>
      <c r="D507" t="s">
        <v>904</v>
      </c>
      <c r="E507">
        <v>440573242</v>
      </c>
      <c r="H507">
        <v>2860</v>
      </c>
      <c r="I507" s="19">
        <v>1200</v>
      </c>
      <c r="J507">
        <v>60</v>
      </c>
      <c r="K507">
        <v>1600</v>
      </c>
      <c r="M507" s="39" t="s">
        <v>910</v>
      </c>
      <c r="N507" s="25">
        <f t="shared" si="32"/>
        <v>9</v>
      </c>
      <c r="O507" s="25" t="str">
        <f t="shared" si="33"/>
        <v>jueves</v>
      </c>
      <c r="P507" s="27">
        <f t="shared" si="34"/>
        <v>10</v>
      </c>
      <c r="Q507" s="22" t="str">
        <f t="shared" si="35"/>
        <v>octubre</v>
      </c>
    </row>
    <row r="508" spans="1:19" x14ac:dyDescent="0.25">
      <c r="A508">
        <v>11</v>
      </c>
      <c r="B508" t="s">
        <v>905</v>
      </c>
      <c r="C508" t="s">
        <v>6</v>
      </c>
      <c r="D508" t="s">
        <v>563</v>
      </c>
      <c r="E508">
        <v>440560077</v>
      </c>
      <c r="F508" t="s">
        <v>563</v>
      </c>
      <c r="G508">
        <v>440560031</v>
      </c>
      <c r="H508">
        <v>3350</v>
      </c>
      <c r="I508" s="19">
        <v>1800</v>
      </c>
      <c r="J508">
        <v>120</v>
      </c>
      <c r="K508">
        <v>1430</v>
      </c>
      <c r="M508" s="39" t="s">
        <v>910</v>
      </c>
      <c r="N508" s="25">
        <f t="shared" si="32"/>
        <v>9</v>
      </c>
      <c r="O508" s="25" t="str">
        <f t="shared" si="33"/>
        <v>jueves</v>
      </c>
      <c r="P508" s="27">
        <f t="shared" si="34"/>
        <v>10</v>
      </c>
      <c r="Q508" s="22" t="str">
        <f t="shared" si="35"/>
        <v>octubre</v>
      </c>
    </row>
    <row r="509" spans="1:19" x14ac:dyDescent="0.25">
      <c r="A509">
        <v>11</v>
      </c>
      <c r="B509" t="s">
        <v>269</v>
      </c>
      <c r="C509" t="s">
        <v>6</v>
      </c>
      <c r="D509" t="s">
        <v>911</v>
      </c>
      <c r="E509">
        <v>440549985</v>
      </c>
      <c r="F509" t="s">
        <v>912</v>
      </c>
      <c r="G509">
        <v>440550540</v>
      </c>
      <c r="H509">
        <v>3610</v>
      </c>
      <c r="I509" s="19">
        <v>2150</v>
      </c>
      <c r="J509">
        <v>120</v>
      </c>
      <c r="K509">
        <v>1340</v>
      </c>
      <c r="M509" s="39" t="s">
        <v>910</v>
      </c>
      <c r="N509" s="25">
        <f t="shared" si="32"/>
        <v>9</v>
      </c>
      <c r="O509" s="25" t="str">
        <f t="shared" si="33"/>
        <v>jueves</v>
      </c>
      <c r="P509" s="27">
        <f t="shared" si="34"/>
        <v>10</v>
      </c>
      <c r="Q509" s="22" t="str">
        <f t="shared" si="35"/>
        <v>octubre</v>
      </c>
    </row>
    <row r="510" spans="1:19" x14ac:dyDescent="0.25">
      <c r="A510">
        <v>10</v>
      </c>
      <c r="B510" t="s">
        <v>540</v>
      </c>
      <c r="C510" t="s">
        <v>155</v>
      </c>
      <c r="D510" t="s">
        <v>389</v>
      </c>
      <c r="E510">
        <v>440542172</v>
      </c>
      <c r="H510">
        <v>1910</v>
      </c>
      <c r="I510" s="19">
        <v>1850</v>
      </c>
      <c r="J510">
        <v>60</v>
      </c>
      <c r="M510" s="39" t="s">
        <v>910</v>
      </c>
      <c r="N510" s="25">
        <f t="shared" si="32"/>
        <v>9</v>
      </c>
      <c r="O510" s="25" t="str">
        <f t="shared" si="33"/>
        <v>jueves</v>
      </c>
      <c r="P510" s="27">
        <f t="shared" si="34"/>
        <v>10</v>
      </c>
      <c r="Q510" s="22" t="str">
        <f t="shared" si="35"/>
        <v>octubre</v>
      </c>
    </row>
    <row r="511" spans="1:19" x14ac:dyDescent="0.25">
      <c r="A511">
        <v>10</v>
      </c>
      <c r="B511" t="s">
        <v>906</v>
      </c>
      <c r="C511" t="s">
        <v>19</v>
      </c>
      <c r="D511" t="s">
        <v>907</v>
      </c>
      <c r="E511">
        <v>440540882</v>
      </c>
      <c r="H511">
        <v>2000</v>
      </c>
      <c r="I511" s="19">
        <v>1200</v>
      </c>
      <c r="J511">
        <v>60</v>
      </c>
      <c r="K511">
        <v>740</v>
      </c>
      <c r="M511" s="39" t="s">
        <v>910</v>
      </c>
      <c r="N511" s="25">
        <f t="shared" si="32"/>
        <v>9</v>
      </c>
      <c r="O511" s="25" t="str">
        <f t="shared" si="33"/>
        <v>jueves</v>
      </c>
      <c r="P511" s="27">
        <f t="shared" si="34"/>
        <v>10</v>
      </c>
      <c r="Q511" s="22" t="str">
        <f t="shared" si="35"/>
        <v>octubre</v>
      </c>
    </row>
    <row r="512" spans="1:19" x14ac:dyDescent="0.25">
      <c r="A512">
        <v>9</v>
      </c>
      <c r="B512" t="s">
        <v>908</v>
      </c>
      <c r="C512" t="s">
        <v>19</v>
      </c>
      <c r="D512" t="s">
        <v>913</v>
      </c>
      <c r="E512">
        <v>440533786</v>
      </c>
      <c r="F512" t="s">
        <v>914</v>
      </c>
      <c r="G512">
        <v>440535227</v>
      </c>
      <c r="H512">
        <v>3180</v>
      </c>
      <c r="I512" s="19">
        <v>2100</v>
      </c>
      <c r="J512">
        <v>120</v>
      </c>
      <c r="K512">
        <v>960</v>
      </c>
      <c r="M512" s="39" t="s">
        <v>910</v>
      </c>
      <c r="N512" s="25">
        <f t="shared" si="32"/>
        <v>9</v>
      </c>
      <c r="O512" s="25" t="str">
        <f t="shared" si="33"/>
        <v>jueves</v>
      </c>
      <c r="P512" s="27">
        <f t="shared" si="34"/>
        <v>10</v>
      </c>
      <c r="Q512" s="22" t="str">
        <f t="shared" si="35"/>
        <v>octubre</v>
      </c>
    </row>
    <row r="513" spans="1:19" x14ac:dyDescent="0.25">
      <c r="A513">
        <v>9</v>
      </c>
      <c r="B513" t="s">
        <v>909</v>
      </c>
      <c r="C513" t="s">
        <v>155</v>
      </c>
      <c r="D513" t="s">
        <v>201</v>
      </c>
      <c r="E513">
        <v>44053155</v>
      </c>
      <c r="H513">
        <v>1460</v>
      </c>
      <c r="I513" s="19">
        <v>1400</v>
      </c>
      <c r="J513">
        <v>60</v>
      </c>
      <c r="M513" s="39" t="s">
        <v>910</v>
      </c>
      <c r="N513" s="25">
        <f t="shared" si="32"/>
        <v>9</v>
      </c>
      <c r="O513" s="25" t="str">
        <f t="shared" si="33"/>
        <v>jueves</v>
      </c>
      <c r="P513" s="27">
        <f t="shared" si="34"/>
        <v>10</v>
      </c>
      <c r="Q513" s="22" t="str">
        <f t="shared" si="35"/>
        <v>octubre</v>
      </c>
    </row>
    <row r="514" spans="1:19" x14ac:dyDescent="0.25">
      <c r="A514">
        <v>12</v>
      </c>
      <c r="B514" t="s">
        <v>915</v>
      </c>
      <c r="C514" t="s">
        <v>6</v>
      </c>
      <c r="D514" t="s">
        <v>406</v>
      </c>
      <c r="E514">
        <v>440710515</v>
      </c>
      <c r="F514" t="s">
        <v>936</v>
      </c>
      <c r="G514">
        <v>440711844</v>
      </c>
      <c r="H514">
        <v>4120</v>
      </c>
      <c r="I514" s="19">
        <v>2300</v>
      </c>
      <c r="J514">
        <v>120</v>
      </c>
      <c r="K514">
        <v>1700</v>
      </c>
      <c r="M514" s="39" t="s">
        <v>935</v>
      </c>
      <c r="N514" s="25">
        <f t="shared" ref="N514:N577" si="36">DAY(M514)</f>
        <v>10</v>
      </c>
      <c r="O514" s="25" t="str">
        <f t="shared" ref="O514:O577" si="37">TEXT(M514,"DDDD")</f>
        <v>viernes</v>
      </c>
      <c r="P514" s="27">
        <f t="shared" si="34"/>
        <v>10</v>
      </c>
      <c r="Q514" s="22" t="str">
        <f t="shared" si="35"/>
        <v>octubre</v>
      </c>
      <c r="R514" t="s">
        <v>406</v>
      </c>
      <c r="S514">
        <v>14690</v>
      </c>
    </row>
    <row r="515" spans="1:19" x14ac:dyDescent="0.25">
      <c r="A515">
        <v>11</v>
      </c>
      <c r="B515" t="s">
        <v>878</v>
      </c>
      <c r="C515" t="s">
        <v>6</v>
      </c>
      <c r="D515" t="s">
        <v>937</v>
      </c>
      <c r="E515">
        <v>440693522</v>
      </c>
      <c r="F515" t="s">
        <v>317</v>
      </c>
      <c r="G515">
        <v>440695292</v>
      </c>
      <c r="H515">
        <v>4840</v>
      </c>
      <c r="I515" s="19">
        <v>2100</v>
      </c>
      <c r="J515">
        <v>120</v>
      </c>
      <c r="K515">
        <v>2620</v>
      </c>
      <c r="M515" s="39" t="s">
        <v>935</v>
      </c>
      <c r="N515" s="25">
        <f t="shared" si="36"/>
        <v>10</v>
      </c>
      <c r="O515" s="25" t="str">
        <f t="shared" si="37"/>
        <v>viernes</v>
      </c>
      <c r="P515" s="27">
        <f t="shared" si="34"/>
        <v>10</v>
      </c>
      <c r="Q515" s="22" t="str">
        <f t="shared" si="35"/>
        <v>octubre</v>
      </c>
    </row>
    <row r="516" spans="1:19" x14ac:dyDescent="0.25">
      <c r="A516">
        <v>11</v>
      </c>
      <c r="B516" t="s">
        <v>916</v>
      </c>
      <c r="C516" t="s">
        <v>6</v>
      </c>
      <c r="D516" t="s">
        <v>917</v>
      </c>
      <c r="E516">
        <v>440685387</v>
      </c>
      <c r="H516">
        <v>4370</v>
      </c>
      <c r="I516" s="19">
        <v>2650</v>
      </c>
      <c r="J516">
        <v>60</v>
      </c>
      <c r="K516">
        <v>1660</v>
      </c>
      <c r="M516" s="39" t="s">
        <v>935</v>
      </c>
      <c r="N516" s="25">
        <f t="shared" si="36"/>
        <v>10</v>
      </c>
      <c r="O516" s="25" t="str">
        <f t="shared" si="37"/>
        <v>viernes</v>
      </c>
      <c r="P516" s="27">
        <f t="shared" si="34"/>
        <v>10</v>
      </c>
      <c r="Q516" s="22" t="str">
        <f t="shared" si="35"/>
        <v>octubre</v>
      </c>
    </row>
    <row r="517" spans="1:19" x14ac:dyDescent="0.25">
      <c r="A517">
        <v>11</v>
      </c>
      <c r="B517" t="s">
        <v>345</v>
      </c>
      <c r="C517" t="s">
        <v>6</v>
      </c>
      <c r="D517" t="s">
        <v>918</v>
      </c>
      <c r="E517">
        <v>440680439</v>
      </c>
      <c r="F517" t="s">
        <v>938</v>
      </c>
      <c r="G517">
        <v>440680423</v>
      </c>
      <c r="H517">
        <v>5340</v>
      </c>
      <c r="I517" s="19">
        <v>2100</v>
      </c>
      <c r="J517">
        <v>120</v>
      </c>
      <c r="K517">
        <v>3120</v>
      </c>
      <c r="M517" s="39" t="s">
        <v>935</v>
      </c>
      <c r="N517" s="25">
        <f t="shared" si="36"/>
        <v>10</v>
      </c>
      <c r="O517" s="25" t="str">
        <f t="shared" si="37"/>
        <v>viernes</v>
      </c>
      <c r="P517" s="27">
        <f t="shared" si="34"/>
        <v>10</v>
      </c>
      <c r="Q517" s="22" t="str">
        <f t="shared" si="35"/>
        <v>octubre</v>
      </c>
    </row>
    <row r="518" spans="1:19" x14ac:dyDescent="0.25">
      <c r="A518">
        <v>10</v>
      </c>
      <c r="B518" t="s">
        <v>919</v>
      </c>
      <c r="C518" t="s">
        <v>19</v>
      </c>
      <c r="D518" t="s">
        <v>161</v>
      </c>
      <c r="E518">
        <v>440675738</v>
      </c>
      <c r="F518" t="s">
        <v>161</v>
      </c>
      <c r="G518">
        <v>440676194</v>
      </c>
      <c r="H518">
        <v>4530</v>
      </c>
      <c r="I518" s="19">
        <v>2950</v>
      </c>
      <c r="J518">
        <v>120</v>
      </c>
      <c r="K518">
        <v>1460</v>
      </c>
      <c r="M518" s="39" t="s">
        <v>935</v>
      </c>
      <c r="N518" s="25">
        <f t="shared" si="36"/>
        <v>10</v>
      </c>
      <c r="O518" s="25" t="str">
        <f t="shared" si="37"/>
        <v>viernes</v>
      </c>
      <c r="P518" s="27">
        <f t="shared" si="34"/>
        <v>10</v>
      </c>
      <c r="Q518" s="22" t="str">
        <f t="shared" si="35"/>
        <v>octubre</v>
      </c>
    </row>
    <row r="519" spans="1:19" x14ac:dyDescent="0.25">
      <c r="A519">
        <v>4</v>
      </c>
      <c r="B519" t="s">
        <v>920</v>
      </c>
      <c r="C519" t="s">
        <v>6</v>
      </c>
      <c r="D519" t="s">
        <v>939</v>
      </c>
      <c r="E519">
        <v>440617647</v>
      </c>
      <c r="H519">
        <v>2610</v>
      </c>
      <c r="I519" s="19">
        <v>2550</v>
      </c>
      <c r="J519">
        <v>60</v>
      </c>
      <c r="M519" s="39" t="s">
        <v>935</v>
      </c>
      <c r="N519" s="25">
        <f t="shared" si="36"/>
        <v>10</v>
      </c>
      <c r="O519" s="25" t="str">
        <f t="shared" si="37"/>
        <v>viernes</v>
      </c>
      <c r="P519" s="27">
        <f t="shared" si="34"/>
        <v>10</v>
      </c>
      <c r="Q519" s="22" t="str">
        <f t="shared" si="35"/>
        <v>octubre</v>
      </c>
    </row>
    <row r="520" spans="1:19" x14ac:dyDescent="0.25">
      <c r="A520">
        <v>4</v>
      </c>
      <c r="B520" t="s">
        <v>921</v>
      </c>
      <c r="C520" t="s">
        <v>19</v>
      </c>
      <c r="D520" t="s">
        <v>178</v>
      </c>
      <c r="E520">
        <v>440617601</v>
      </c>
      <c r="H520">
        <v>1510</v>
      </c>
      <c r="I520" s="19">
        <v>1200</v>
      </c>
      <c r="J520">
        <v>60</v>
      </c>
      <c r="K520">
        <v>250</v>
      </c>
      <c r="M520" s="39" t="s">
        <v>935</v>
      </c>
      <c r="N520" s="25">
        <f t="shared" si="36"/>
        <v>10</v>
      </c>
      <c r="O520" s="25" t="str">
        <f t="shared" si="37"/>
        <v>viernes</v>
      </c>
      <c r="P520" s="27">
        <f t="shared" si="34"/>
        <v>10</v>
      </c>
      <c r="Q520" s="22" t="str">
        <f t="shared" si="35"/>
        <v>octubre</v>
      </c>
    </row>
    <row r="521" spans="1:19" x14ac:dyDescent="0.25">
      <c r="A521">
        <v>4</v>
      </c>
      <c r="B521" t="s">
        <v>922</v>
      </c>
      <c r="C521" t="s">
        <v>6</v>
      </c>
      <c r="D521" t="s">
        <v>183</v>
      </c>
      <c r="E521">
        <v>440617454</v>
      </c>
      <c r="F521" t="s">
        <v>183</v>
      </c>
      <c r="G521">
        <v>440617398</v>
      </c>
      <c r="H521">
        <v>4920</v>
      </c>
      <c r="I521" s="19">
        <v>1800</v>
      </c>
      <c r="J521">
        <v>120</v>
      </c>
      <c r="K521">
        <v>3000</v>
      </c>
      <c r="M521" s="39" t="s">
        <v>935</v>
      </c>
      <c r="N521" s="25">
        <f t="shared" si="36"/>
        <v>10</v>
      </c>
      <c r="O521" s="25" t="str">
        <f t="shared" si="37"/>
        <v>viernes</v>
      </c>
      <c r="P521" s="27">
        <f t="shared" si="34"/>
        <v>10</v>
      </c>
      <c r="Q521" s="22" t="str">
        <f t="shared" si="35"/>
        <v>octubre</v>
      </c>
    </row>
    <row r="522" spans="1:19" x14ac:dyDescent="0.25">
      <c r="A522">
        <v>3</v>
      </c>
      <c r="B522" t="s">
        <v>923</v>
      </c>
      <c r="C522" t="s">
        <v>19</v>
      </c>
      <c r="D522" t="s">
        <v>924</v>
      </c>
      <c r="E522">
        <v>440617168</v>
      </c>
      <c r="H522">
        <v>2960</v>
      </c>
      <c r="I522" s="19">
        <v>1400</v>
      </c>
      <c r="J522">
        <v>60</v>
      </c>
      <c r="K522">
        <v>1500</v>
      </c>
      <c r="M522" s="39" t="s">
        <v>935</v>
      </c>
      <c r="N522" s="25">
        <f t="shared" si="36"/>
        <v>10</v>
      </c>
      <c r="O522" s="25" t="str">
        <f t="shared" si="37"/>
        <v>viernes</v>
      </c>
      <c r="P522" s="27">
        <f t="shared" si="34"/>
        <v>10</v>
      </c>
      <c r="Q522" s="22" t="str">
        <f t="shared" si="35"/>
        <v>octubre</v>
      </c>
    </row>
    <row r="523" spans="1:19" x14ac:dyDescent="0.25">
      <c r="A523">
        <v>3</v>
      </c>
      <c r="B523" t="s">
        <v>925</v>
      </c>
      <c r="C523" t="s">
        <v>6</v>
      </c>
      <c r="D523" t="s">
        <v>940</v>
      </c>
      <c r="E523">
        <v>440616889</v>
      </c>
      <c r="H523">
        <v>1510</v>
      </c>
      <c r="I523" s="19">
        <v>1450</v>
      </c>
      <c r="J523">
        <v>60</v>
      </c>
      <c r="M523" s="39" t="s">
        <v>935</v>
      </c>
      <c r="N523" s="25">
        <f t="shared" si="36"/>
        <v>10</v>
      </c>
      <c r="O523" s="25" t="str">
        <f t="shared" si="37"/>
        <v>viernes</v>
      </c>
      <c r="P523" s="27">
        <f t="shared" si="34"/>
        <v>10</v>
      </c>
      <c r="Q523" s="22" t="str">
        <f t="shared" si="35"/>
        <v>octubre</v>
      </c>
      <c r="R523" t="s">
        <v>940</v>
      </c>
      <c r="S523">
        <v>9310</v>
      </c>
    </row>
    <row r="524" spans="1:19" x14ac:dyDescent="0.25">
      <c r="A524">
        <v>3</v>
      </c>
      <c r="B524" t="s">
        <v>329</v>
      </c>
      <c r="C524" t="s">
        <v>6</v>
      </c>
      <c r="D524" t="s">
        <v>941</v>
      </c>
      <c r="E524">
        <v>440616364</v>
      </c>
      <c r="F524" t="s">
        <v>941</v>
      </c>
      <c r="G524">
        <v>440616515</v>
      </c>
      <c r="H524">
        <v>4180</v>
      </c>
      <c r="I524" s="19">
        <v>2700</v>
      </c>
      <c r="J524">
        <v>120</v>
      </c>
      <c r="K524">
        <v>1360</v>
      </c>
      <c r="M524" s="39" t="s">
        <v>935</v>
      </c>
      <c r="N524" s="25">
        <f t="shared" si="36"/>
        <v>10</v>
      </c>
      <c r="O524" s="25" t="str">
        <f t="shared" si="37"/>
        <v>viernes</v>
      </c>
      <c r="P524" s="27">
        <f t="shared" si="34"/>
        <v>10</v>
      </c>
      <c r="Q524" s="22" t="str">
        <f t="shared" si="35"/>
        <v>octubre</v>
      </c>
    </row>
    <row r="525" spans="1:19" x14ac:dyDescent="0.25">
      <c r="A525">
        <v>2</v>
      </c>
      <c r="B525" t="s">
        <v>926</v>
      </c>
      <c r="C525" t="s">
        <v>19</v>
      </c>
      <c r="D525" t="s">
        <v>634</v>
      </c>
      <c r="E525">
        <v>440616237</v>
      </c>
      <c r="H525">
        <v>3650</v>
      </c>
      <c r="I525" s="19">
        <v>2150</v>
      </c>
      <c r="J525">
        <v>60</v>
      </c>
      <c r="K525">
        <v>1440</v>
      </c>
      <c r="M525" s="39" t="s">
        <v>935</v>
      </c>
      <c r="N525" s="25">
        <f t="shared" si="36"/>
        <v>10</v>
      </c>
      <c r="O525" s="25" t="str">
        <f t="shared" si="37"/>
        <v>viernes</v>
      </c>
      <c r="P525" s="27">
        <f t="shared" ref="P525:P588" si="38">MONTH(M525)</f>
        <v>10</v>
      </c>
      <c r="Q525" s="22" t="str">
        <f t="shared" ref="Q525:Q588" si="39">TEXT(M525,"MMMM")</f>
        <v>octubre</v>
      </c>
    </row>
    <row r="526" spans="1:19" x14ac:dyDescent="0.25">
      <c r="A526">
        <v>1</v>
      </c>
      <c r="B526" t="s">
        <v>927</v>
      </c>
      <c r="C526" t="s">
        <v>6</v>
      </c>
      <c r="D526" t="s">
        <v>942</v>
      </c>
      <c r="E526">
        <v>440612697</v>
      </c>
      <c r="H526">
        <v>2060</v>
      </c>
      <c r="I526" s="19">
        <v>1400</v>
      </c>
      <c r="J526">
        <v>60</v>
      </c>
      <c r="K526">
        <v>600</v>
      </c>
      <c r="M526" s="39" t="s">
        <v>935</v>
      </c>
      <c r="N526" s="25">
        <f t="shared" si="36"/>
        <v>10</v>
      </c>
      <c r="O526" s="25" t="str">
        <f t="shared" si="37"/>
        <v>viernes</v>
      </c>
      <c r="P526" s="27">
        <f t="shared" si="38"/>
        <v>10</v>
      </c>
      <c r="Q526" s="22" t="str">
        <f t="shared" si="39"/>
        <v>octubre</v>
      </c>
    </row>
    <row r="527" spans="1:19" x14ac:dyDescent="0.25">
      <c r="A527">
        <v>1</v>
      </c>
      <c r="B527" t="s">
        <v>928</v>
      </c>
      <c r="C527" t="s">
        <v>6</v>
      </c>
      <c r="D527" t="s">
        <v>943</v>
      </c>
      <c r="E527">
        <v>440614279</v>
      </c>
      <c r="H527">
        <v>3200</v>
      </c>
      <c r="I527" s="19">
        <v>1200</v>
      </c>
      <c r="J527">
        <v>60</v>
      </c>
      <c r="K527">
        <v>1940</v>
      </c>
      <c r="M527" s="39" t="s">
        <v>935</v>
      </c>
      <c r="N527" s="25">
        <f t="shared" si="36"/>
        <v>10</v>
      </c>
      <c r="O527" s="25" t="str">
        <f t="shared" si="37"/>
        <v>viernes</v>
      </c>
      <c r="P527" s="27">
        <f t="shared" si="38"/>
        <v>10</v>
      </c>
      <c r="Q527" s="22" t="str">
        <f t="shared" si="39"/>
        <v>octubre</v>
      </c>
    </row>
    <row r="528" spans="1:19" x14ac:dyDescent="0.25">
      <c r="A528">
        <v>1</v>
      </c>
      <c r="B528" t="s">
        <v>929</v>
      </c>
      <c r="C528" t="s">
        <v>19</v>
      </c>
      <c r="D528" t="s">
        <v>930</v>
      </c>
      <c r="E528">
        <v>440612902</v>
      </c>
      <c r="H528">
        <v>2870</v>
      </c>
      <c r="I528" s="19">
        <v>1350</v>
      </c>
      <c r="J528">
        <v>60</v>
      </c>
      <c r="K528">
        <v>1460</v>
      </c>
      <c r="M528" s="39" t="s">
        <v>935</v>
      </c>
      <c r="N528" s="25">
        <f t="shared" si="36"/>
        <v>10</v>
      </c>
      <c r="O528" s="25" t="str">
        <f t="shared" si="37"/>
        <v>viernes</v>
      </c>
      <c r="P528" s="27">
        <f t="shared" si="38"/>
        <v>10</v>
      </c>
      <c r="Q528" s="22" t="str">
        <f t="shared" si="39"/>
        <v>octubre</v>
      </c>
    </row>
    <row r="529" spans="1:20" x14ac:dyDescent="0.25">
      <c r="A529">
        <v>1</v>
      </c>
      <c r="B529" t="s">
        <v>931</v>
      </c>
      <c r="C529" t="s">
        <v>19</v>
      </c>
      <c r="D529" t="s">
        <v>932</v>
      </c>
      <c r="E529">
        <v>440611744</v>
      </c>
      <c r="H529">
        <v>1780</v>
      </c>
      <c r="I529" s="19">
        <v>1300</v>
      </c>
      <c r="J529">
        <v>60</v>
      </c>
      <c r="K529">
        <v>420</v>
      </c>
      <c r="M529" s="39" t="s">
        <v>935</v>
      </c>
      <c r="N529" s="25">
        <f t="shared" si="36"/>
        <v>10</v>
      </c>
      <c r="O529" s="25" t="str">
        <f t="shared" si="37"/>
        <v>viernes</v>
      </c>
      <c r="P529" s="27">
        <f t="shared" si="38"/>
        <v>10</v>
      </c>
      <c r="Q529" s="22" t="str">
        <f t="shared" si="39"/>
        <v>octubre</v>
      </c>
    </row>
    <row r="530" spans="1:20" x14ac:dyDescent="0.25">
      <c r="A530">
        <v>1</v>
      </c>
      <c r="B530" t="s">
        <v>933</v>
      </c>
      <c r="C530" t="s">
        <v>6</v>
      </c>
      <c r="D530" t="s">
        <v>944</v>
      </c>
      <c r="E530">
        <v>440610874</v>
      </c>
      <c r="H530">
        <v>2840</v>
      </c>
      <c r="I530" s="19">
        <v>1400</v>
      </c>
      <c r="J530">
        <v>60</v>
      </c>
      <c r="K530">
        <v>1380</v>
      </c>
      <c r="M530" s="39" t="s">
        <v>935</v>
      </c>
      <c r="N530" s="25">
        <f t="shared" si="36"/>
        <v>10</v>
      </c>
      <c r="O530" s="25" t="str">
        <f t="shared" si="37"/>
        <v>viernes</v>
      </c>
      <c r="P530" s="27">
        <f t="shared" si="38"/>
        <v>10</v>
      </c>
      <c r="Q530" s="22" t="str">
        <f t="shared" si="39"/>
        <v>octubre</v>
      </c>
    </row>
    <row r="531" spans="1:20" x14ac:dyDescent="0.25">
      <c r="A531">
        <v>1</v>
      </c>
      <c r="B531" t="s">
        <v>934</v>
      </c>
      <c r="C531" t="s">
        <v>6</v>
      </c>
      <c r="D531" t="s">
        <v>447</v>
      </c>
      <c r="E531">
        <v>440609040</v>
      </c>
      <c r="H531">
        <v>3390</v>
      </c>
      <c r="I531" s="19">
        <v>1850</v>
      </c>
      <c r="J531">
        <v>60</v>
      </c>
      <c r="K531">
        <v>1480</v>
      </c>
      <c r="M531" s="39" t="s">
        <v>935</v>
      </c>
      <c r="N531" s="25">
        <f t="shared" si="36"/>
        <v>10</v>
      </c>
      <c r="O531" s="25" t="str">
        <f t="shared" si="37"/>
        <v>viernes</v>
      </c>
      <c r="P531" s="27">
        <f t="shared" si="38"/>
        <v>10</v>
      </c>
      <c r="Q531" s="22" t="str">
        <f t="shared" si="39"/>
        <v>octubre</v>
      </c>
    </row>
    <row r="532" spans="1:20" x14ac:dyDescent="0.25">
      <c r="A532">
        <v>12</v>
      </c>
      <c r="B532" t="s">
        <v>945</v>
      </c>
      <c r="C532" t="s">
        <v>19</v>
      </c>
      <c r="D532" t="s">
        <v>946</v>
      </c>
      <c r="E532">
        <v>440863531</v>
      </c>
      <c r="H532">
        <v>3144</v>
      </c>
      <c r="I532" s="19">
        <v>1604</v>
      </c>
      <c r="J532">
        <v>60</v>
      </c>
      <c r="K532">
        <v>1840</v>
      </c>
      <c r="M532" s="39" t="s">
        <v>947</v>
      </c>
      <c r="N532" s="25">
        <f t="shared" si="36"/>
        <v>11</v>
      </c>
      <c r="O532" s="25" t="str">
        <f t="shared" si="37"/>
        <v>sábado</v>
      </c>
      <c r="P532" s="27">
        <f t="shared" si="38"/>
        <v>10</v>
      </c>
      <c r="Q532" s="22" t="str">
        <f t="shared" si="39"/>
        <v>octubre</v>
      </c>
      <c r="T532" t="s">
        <v>972</v>
      </c>
    </row>
    <row r="533" spans="1:20" x14ac:dyDescent="0.25">
      <c r="A533">
        <v>12</v>
      </c>
      <c r="B533" t="s">
        <v>948</v>
      </c>
      <c r="C533" t="s">
        <v>6</v>
      </c>
      <c r="D533" t="s">
        <v>949</v>
      </c>
      <c r="E533">
        <v>440858574</v>
      </c>
      <c r="H533">
        <v>4410</v>
      </c>
      <c r="I533" s="19">
        <v>2600</v>
      </c>
      <c r="J533">
        <v>60</v>
      </c>
      <c r="K533">
        <v>1750</v>
      </c>
      <c r="M533" s="39" t="s">
        <v>947</v>
      </c>
      <c r="N533" s="25">
        <f t="shared" si="36"/>
        <v>11</v>
      </c>
      <c r="O533" s="25" t="str">
        <f t="shared" si="37"/>
        <v>sábado</v>
      </c>
      <c r="P533" s="27">
        <f t="shared" si="38"/>
        <v>10</v>
      </c>
      <c r="Q533" s="22" t="str">
        <f t="shared" si="39"/>
        <v>octubre</v>
      </c>
      <c r="T533" t="s">
        <v>972</v>
      </c>
    </row>
    <row r="534" spans="1:20" x14ac:dyDescent="0.25">
      <c r="A534">
        <v>12</v>
      </c>
      <c r="B534" t="s">
        <v>950</v>
      </c>
      <c r="C534" t="s">
        <v>6</v>
      </c>
      <c r="D534" t="s">
        <v>969</v>
      </c>
      <c r="E534">
        <v>440855442</v>
      </c>
      <c r="H534">
        <v>2660</v>
      </c>
      <c r="I534" s="19">
        <v>2600</v>
      </c>
      <c r="J534">
        <v>60</v>
      </c>
      <c r="M534" s="39" t="s">
        <v>947</v>
      </c>
      <c r="N534" s="25">
        <f t="shared" si="36"/>
        <v>11</v>
      </c>
      <c r="O534" s="25" t="str">
        <f t="shared" si="37"/>
        <v>sábado</v>
      </c>
      <c r="P534" s="27">
        <f t="shared" si="38"/>
        <v>10</v>
      </c>
      <c r="Q534" s="22" t="str">
        <f t="shared" si="39"/>
        <v>octubre</v>
      </c>
      <c r="T534" t="s">
        <v>972</v>
      </c>
    </row>
    <row r="535" spans="1:20" x14ac:dyDescent="0.25">
      <c r="A535">
        <v>12</v>
      </c>
      <c r="B535" t="s">
        <v>951</v>
      </c>
      <c r="C535" t="s">
        <v>6</v>
      </c>
      <c r="D535" t="s">
        <v>359</v>
      </c>
      <c r="E535">
        <v>440849183</v>
      </c>
      <c r="H535">
        <v>4660</v>
      </c>
      <c r="I535" s="19">
        <v>4600</v>
      </c>
      <c r="J535">
        <v>60</v>
      </c>
      <c r="M535" s="39" t="s">
        <v>947</v>
      </c>
      <c r="N535" s="25">
        <f t="shared" si="36"/>
        <v>11</v>
      </c>
      <c r="O535" s="25" t="str">
        <f t="shared" si="37"/>
        <v>sábado</v>
      </c>
      <c r="P535" s="27">
        <f t="shared" si="38"/>
        <v>10</v>
      </c>
      <c r="Q535" s="22" t="str">
        <f t="shared" si="39"/>
        <v>octubre</v>
      </c>
      <c r="T535" t="s">
        <v>972</v>
      </c>
    </row>
    <row r="536" spans="1:20" x14ac:dyDescent="0.25">
      <c r="A536">
        <v>12</v>
      </c>
      <c r="B536" t="s">
        <v>952</v>
      </c>
      <c r="C536" t="s">
        <v>19</v>
      </c>
      <c r="D536" t="s">
        <v>970</v>
      </c>
      <c r="E536">
        <v>440844922</v>
      </c>
      <c r="H536">
        <v>2371</v>
      </c>
      <c r="I536" s="19">
        <v>2310</v>
      </c>
      <c r="J536">
        <v>60</v>
      </c>
      <c r="K536">
        <v>1</v>
      </c>
      <c r="M536" s="39" t="s">
        <v>947</v>
      </c>
      <c r="N536" s="25">
        <f t="shared" si="36"/>
        <v>11</v>
      </c>
      <c r="O536" s="25" t="str">
        <f t="shared" si="37"/>
        <v>sábado</v>
      </c>
      <c r="P536" s="27">
        <f t="shared" si="38"/>
        <v>10</v>
      </c>
      <c r="Q536" s="22" t="str">
        <f t="shared" si="39"/>
        <v>octubre</v>
      </c>
      <c r="T536" t="s">
        <v>972</v>
      </c>
    </row>
    <row r="537" spans="1:20" x14ac:dyDescent="0.25">
      <c r="A537">
        <v>12</v>
      </c>
      <c r="B537" t="s">
        <v>953</v>
      </c>
      <c r="C537" t="s">
        <v>6</v>
      </c>
      <c r="D537" t="s">
        <v>954</v>
      </c>
      <c r="E537">
        <v>440836066</v>
      </c>
      <c r="F537" t="s">
        <v>971</v>
      </c>
      <c r="G537">
        <v>440837397</v>
      </c>
      <c r="H537">
        <v>5870</v>
      </c>
      <c r="I537" s="19">
        <v>3450</v>
      </c>
      <c r="J537">
        <v>120</v>
      </c>
      <c r="K537">
        <v>2300</v>
      </c>
      <c r="M537" s="39" t="s">
        <v>947</v>
      </c>
      <c r="N537" s="25">
        <f t="shared" si="36"/>
        <v>11</v>
      </c>
      <c r="O537" s="25" t="str">
        <f t="shared" si="37"/>
        <v>sábado</v>
      </c>
      <c r="P537" s="27">
        <f t="shared" si="38"/>
        <v>10</v>
      </c>
      <c r="Q537" s="22" t="str">
        <f t="shared" si="39"/>
        <v>octubre</v>
      </c>
      <c r="T537" t="s">
        <v>972</v>
      </c>
    </row>
    <row r="538" spans="1:20" x14ac:dyDescent="0.25">
      <c r="A538">
        <v>11</v>
      </c>
      <c r="B538" t="s">
        <v>401</v>
      </c>
      <c r="C538" t="s">
        <v>19</v>
      </c>
      <c r="D538" t="s">
        <v>872</v>
      </c>
      <c r="E538">
        <v>440823402</v>
      </c>
      <c r="H538">
        <v>3090</v>
      </c>
      <c r="I538" s="19">
        <v>2310</v>
      </c>
      <c r="J538">
        <v>60</v>
      </c>
      <c r="K538">
        <v>720</v>
      </c>
      <c r="M538" s="39" t="s">
        <v>947</v>
      </c>
      <c r="N538" s="25">
        <f t="shared" si="36"/>
        <v>11</v>
      </c>
      <c r="O538" s="25" t="str">
        <f t="shared" si="37"/>
        <v>sábado</v>
      </c>
      <c r="P538" s="27">
        <f t="shared" si="38"/>
        <v>10</v>
      </c>
      <c r="Q538" s="22" t="str">
        <f t="shared" si="39"/>
        <v>octubre</v>
      </c>
      <c r="T538" t="s">
        <v>972</v>
      </c>
    </row>
    <row r="539" spans="1:20" x14ac:dyDescent="0.25">
      <c r="A539">
        <v>11</v>
      </c>
      <c r="B539" t="s">
        <v>955</v>
      </c>
      <c r="C539" t="s">
        <v>19</v>
      </c>
      <c r="D539" t="s">
        <v>230</v>
      </c>
      <c r="E539">
        <v>440826206</v>
      </c>
      <c r="H539">
        <v>4440</v>
      </c>
      <c r="I539" s="19">
        <v>2800</v>
      </c>
      <c r="J539">
        <v>60</v>
      </c>
      <c r="K539">
        <v>1580</v>
      </c>
      <c r="M539" s="39" t="s">
        <v>947</v>
      </c>
      <c r="N539" s="25">
        <f t="shared" si="36"/>
        <v>11</v>
      </c>
      <c r="O539" s="25" t="str">
        <f t="shared" si="37"/>
        <v>sábado</v>
      </c>
      <c r="P539" s="27">
        <f t="shared" si="38"/>
        <v>10</v>
      </c>
      <c r="Q539" s="22" t="str">
        <f t="shared" si="39"/>
        <v>octubre</v>
      </c>
      <c r="T539" t="s">
        <v>972</v>
      </c>
    </row>
    <row r="540" spans="1:20" x14ac:dyDescent="0.25">
      <c r="A540">
        <v>11</v>
      </c>
      <c r="B540" t="s">
        <v>149</v>
      </c>
      <c r="C540" t="s">
        <v>6</v>
      </c>
      <c r="D540" t="s">
        <v>341</v>
      </c>
      <c r="E540">
        <v>440818071</v>
      </c>
      <c r="H540">
        <v>3464</v>
      </c>
      <c r="I540" s="19">
        <v>1604</v>
      </c>
      <c r="J540">
        <v>60</v>
      </c>
      <c r="K540">
        <v>1800</v>
      </c>
      <c r="M540" s="39" t="s">
        <v>947</v>
      </c>
      <c r="N540" s="25">
        <f t="shared" si="36"/>
        <v>11</v>
      </c>
      <c r="O540" s="25" t="str">
        <f t="shared" si="37"/>
        <v>sábado</v>
      </c>
      <c r="P540" s="27">
        <f t="shared" si="38"/>
        <v>10</v>
      </c>
      <c r="Q540" s="22" t="str">
        <f t="shared" si="39"/>
        <v>octubre</v>
      </c>
      <c r="T540" t="s">
        <v>972</v>
      </c>
    </row>
    <row r="541" spans="1:20" x14ac:dyDescent="0.25">
      <c r="A541">
        <v>11</v>
      </c>
      <c r="B541" t="s">
        <v>956</v>
      </c>
      <c r="C541" t="s">
        <v>6</v>
      </c>
      <c r="D541" t="s">
        <v>957</v>
      </c>
      <c r="E541">
        <v>440812804</v>
      </c>
      <c r="H541">
        <v>4640</v>
      </c>
      <c r="I541" s="19">
        <v>3100</v>
      </c>
      <c r="J541">
        <v>60</v>
      </c>
      <c r="K541">
        <v>1480</v>
      </c>
      <c r="M541" s="39" t="s">
        <v>947</v>
      </c>
      <c r="N541" s="25">
        <f t="shared" si="36"/>
        <v>11</v>
      </c>
      <c r="O541" s="25" t="str">
        <f t="shared" si="37"/>
        <v>sábado</v>
      </c>
      <c r="P541" s="27">
        <f t="shared" si="38"/>
        <v>10</v>
      </c>
      <c r="Q541" s="22" t="str">
        <f t="shared" si="39"/>
        <v>octubre</v>
      </c>
    </row>
    <row r="542" spans="1:20" x14ac:dyDescent="0.25">
      <c r="A542">
        <v>11</v>
      </c>
      <c r="B542" t="s">
        <v>483</v>
      </c>
      <c r="C542" t="s">
        <v>6</v>
      </c>
      <c r="D542" t="s">
        <v>869</v>
      </c>
      <c r="E542">
        <v>440809582</v>
      </c>
      <c r="H542">
        <v>2660</v>
      </c>
      <c r="I542" s="19">
        <v>1200</v>
      </c>
      <c r="J542">
        <v>60</v>
      </c>
      <c r="K542">
        <v>1400</v>
      </c>
      <c r="M542" s="39" t="s">
        <v>947</v>
      </c>
      <c r="N542" s="25">
        <f t="shared" si="36"/>
        <v>11</v>
      </c>
      <c r="O542" s="25" t="str">
        <f t="shared" si="37"/>
        <v>sábado</v>
      </c>
      <c r="P542" s="27">
        <f t="shared" si="38"/>
        <v>10</v>
      </c>
      <c r="Q542" s="22" t="str">
        <f t="shared" si="39"/>
        <v>octubre</v>
      </c>
    </row>
    <row r="543" spans="1:20" x14ac:dyDescent="0.25">
      <c r="A543">
        <v>5</v>
      </c>
      <c r="B543" t="s">
        <v>958</v>
      </c>
      <c r="C543" t="s">
        <v>19</v>
      </c>
      <c r="D543" t="s">
        <v>973</v>
      </c>
      <c r="E543">
        <v>440729044</v>
      </c>
      <c r="H543">
        <v>6160</v>
      </c>
      <c r="I543" s="19">
        <v>5100</v>
      </c>
      <c r="J543">
        <v>60</v>
      </c>
      <c r="K543">
        <v>1000</v>
      </c>
      <c r="M543" s="39" t="s">
        <v>947</v>
      </c>
      <c r="N543" s="25">
        <f t="shared" si="36"/>
        <v>11</v>
      </c>
      <c r="O543" s="25" t="str">
        <f t="shared" si="37"/>
        <v>sábado</v>
      </c>
      <c r="P543" s="27">
        <f t="shared" si="38"/>
        <v>10</v>
      </c>
      <c r="Q543" s="22" t="str">
        <f t="shared" si="39"/>
        <v>octubre</v>
      </c>
    </row>
    <row r="544" spans="1:20" x14ac:dyDescent="0.25">
      <c r="A544">
        <v>4</v>
      </c>
      <c r="B544" t="s">
        <v>959</v>
      </c>
      <c r="C544" t="s">
        <v>19</v>
      </c>
      <c r="D544" t="s">
        <v>522</v>
      </c>
      <c r="E544">
        <v>440746623</v>
      </c>
      <c r="H544">
        <v>1960</v>
      </c>
      <c r="I544" s="19">
        <v>1900</v>
      </c>
      <c r="J544">
        <v>60</v>
      </c>
      <c r="M544" s="39" t="s">
        <v>947</v>
      </c>
      <c r="N544" s="25">
        <f t="shared" si="36"/>
        <v>11</v>
      </c>
      <c r="O544" s="25" t="str">
        <f t="shared" si="37"/>
        <v>sábado</v>
      </c>
      <c r="P544" s="27">
        <f t="shared" si="38"/>
        <v>10</v>
      </c>
      <c r="Q544" s="22" t="str">
        <f t="shared" si="39"/>
        <v>octubre</v>
      </c>
    </row>
    <row r="545" spans="1:17" x14ac:dyDescent="0.25">
      <c r="A545">
        <v>4</v>
      </c>
      <c r="B545" t="s">
        <v>960</v>
      </c>
      <c r="C545" t="s">
        <v>6</v>
      </c>
      <c r="D545" t="s">
        <v>534</v>
      </c>
      <c r="E545">
        <v>440746512</v>
      </c>
      <c r="H545">
        <v>2260</v>
      </c>
      <c r="I545" s="19">
        <v>2200</v>
      </c>
      <c r="J545">
        <v>60</v>
      </c>
      <c r="M545" s="39" t="s">
        <v>947</v>
      </c>
      <c r="N545" s="25">
        <f t="shared" si="36"/>
        <v>11</v>
      </c>
      <c r="O545" s="25" t="str">
        <f t="shared" si="37"/>
        <v>sábado</v>
      </c>
      <c r="P545" s="27">
        <f t="shared" si="38"/>
        <v>10</v>
      </c>
      <c r="Q545" s="22" t="str">
        <f t="shared" si="39"/>
        <v>octubre</v>
      </c>
    </row>
    <row r="546" spans="1:17" x14ac:dyDescent="0.25">
      <c r="A546">
        <v>3</v>
      </c>
      <c r="B546" t="s">
        <v>961</v>
      </c>
      <c r="C546" t="s">
        <v>6</v>
      </c>
      <c r="D546" t="s">
        <v>281</v>
      </c>
      <c r="E546">
        <v>440745792</v>
      </c>
      <c r="H546">
        <v>1560</v>
      </c>
      <c r="I546" s="19">
        <v>1200</v>
      </c>
      <c r="J546">
        <v>60</v>
      </c>
      <c r="K546">
        <v>300</v>
      </c>
      <c r="M546" s="39" t="s">
        <v>947</v>
      </c>
      <c r="N546" s="25">
        <f t="shared" si="36"/>
        <v>11</v>
      </c>
      <c r="O546" s="25" t="str">
        <f t="shared" si="37"/>
        <v>sábado</v>
      </c>
      <c r="P546" s="27">
        <f t="shared" si="38"/>
        <v>10</v>
      </c>
      <c r="Q546" s="22" t="str">
        <f t="shared" si="39"/>
        <v>octubre</v>
      </c>
    </row>
    <row r="547" spans="1:17" x14ac:dyDescent="0.25">
      <c r="A547">
        <v>3</v>
      </c>
      <c r="B547" t="s">
        <v>962</v>
      </c>
      <c r="C547" t="s">
        <v>6</v>
      </c>
      <c r="D547" t="s">
        <v>415</v>
      </c>
      <c r="E547">
        <v>440745691</v>
      </c>
      <c r="H547">
        <v>1310</v>
      </c>
      <c r="I547" s="19">
        <v>1250</v>
      </c>
      <c r="J547">
        <v>60</v>
      </c>
      <c r="M547" s="39" t="s">
        <v>947</v>
      </c>
      <c r="N547" s="25">
        <f t="shared" si="36"/>
        <v>11</v>
      </c>
      <c r="O547" s="25" t="str">
        <f t="shared" si="37"/>
        <v>sábado</v>
      </c>
      <c r="P547" s="27">
        <f t="shared" si="38"/>
        <v>10</v>
      </c>
      <c r="Q547" s="22" t="str">
        <f t="shared" si="39"/>
        <v>octubre</v>
      </c>
    </row>
    <row r="548" spans="1:17" x14ac:dyDescent="0.25">
      <c r="A548">
        <v>3</v>
      </c>
      <c r="B548" t="s">
        <v>963</v>
      </c>
      <c r="C548" t="s">
        <v>6</v>
      </c>
      <c r="D548" t="s">
        <v>281</v>
      </c>
      <c r="E548">
        <v>440745628</v>
      </c>
      <c r="H548">
        <v>2600</v>
      </c>
      <c r="I548" s="19">
        <v>1400</v>
      </c>
      <c r="J548">
        <v>60</v>
      </c>
      <c r="K548">
        <v>1140</v>
      </c>
      <c r="M548" s="39" t="s">
        <v>947</v>
      </c>
      <c r="N548" s="25">
        <f t="shared" si="36"/>
        <v>11</v>
      </c>
      <c r="O548" s="25" t="str">
        <f t="shared" si="37"/>
        <v>sábado</v>
      </c>
      <c r="P548" s="27">
        <f t="shared" si="38"/>
        <v>10</v>
      </c>
      <c r="Q548" s="22" t="str">
        <f t="shared" si="39"/>
        <v>octubre</v>
      </c>
    </row>
    <row r="549" spans="1:17" x14ac:dyDescent="0.25">
      <c r="A549">
        <v>3</v>
      </c>
      <c r="B549" t="s">
        <v>964</v>
      </c>
      <c r="C549" t="s">
        <v>19</v>
      </c>
      <c r="D549" t="s">
        <v>178</v>
      </c>
      <c r="E549">
        <v>440745279</v>
      </c>
      <c r="H549">
        <v>2660</v>
      </c>
      <c r="I549" s="19">
        <v>1900</v>
      </c>
      <c r="J549">
        <v>60</v>
      </c>
      <c r="K549">
        <v>700</v>
      </c>
      <c r="M549" s="39" t="s">
        <v>947</v>
      </c>
      <c r="N549" s="25">
        <f t="shared" si="36"/>
        <v>11</v>
      </c>
      <c r="O549" s="25" t="str">
        <f t="shared" si="37"/>
        <v>sábado</v>
      </c>
      <c r="P549" s="27">
        <f t="shared" si="38"/>
        <v>10</v>
      </c>
      <c r="Q549" s="22" t="str">
        <f t="shared" si="39"/>
        <v>octubre</v>
      </c>
    </row>
    <row r="550" spans="1:17" x14ac:dyDescent="0.25">
      <c r="A550">
        <v>2</v>
      </c>
      <c r="B550" t="s">
        <v>965</v>
      </c>
      <c r="C550" t="s">
        <v>6</v>
      </c>
      <c r="D550" t="s">
        <v>195</v>
      </c>
      <c r="E550">
        <v>440744967</v>
      </c>
      <c r="H550">
        <v>3210</v>
      </c>
      <c r="I550" s="19">
        <v>1200</v>
      </c>
      <c r="J550">
        <v>60</v>
      </c>
      <c r="K550">
        <v>1950</v>
      </c>
      <c r="M550" s="39" t="s">
        <v>947</v>
      </c>
      <c r="N550" s="25">
        <f t="shared" si="36"/>
        <v>11</v>
      </c>
      <c r="O550" s="25" t="str">
        <f t="shared" si="37"/>
        <v>sábado</v>
      </c>
      <c r="P550" s="27">
        <f t="shared" si="38"/>
        <v>10</v>
      </c>
      <c r="Q550" s="22" t="str">
        <f t="shared" si="39"/>
        <v>octubre</v>
      </c>
    </row>
    <row r="551" spans="1:17" x14ac:dyDescent="0.25">
      <c r="A551">
        <v>2</v>
      </c>
      <c r="B551" t="s">
        <v>966</v>
      </c>
      <c r="C551" t="s">
        <v>19</v>
      </c>
      <c r="D551" t="s">
        <v>974</v>
      </c>
      <c r="E551">
        <v>440744232</v>
      </c>
      <c r="F551" t="s">
        <v>974</v>
      </c>
      <c r="G551">
        <v>440744313</v>
      </c>
      <c r="H551">
        <v>2220</v>
      </c>
      <c r="I551" s="19">
        <v>2100</v>
      </c>
      <c r="J551">
        <v>120</v>
      </c>
      <c r="M551" s="39" t="s">
        <v>947</v>
      </c>
      <c r="N551" s="25">
        <f t="shared" si="36"/>
        <v>11</v>
      </c>
      <c r="O551" s="25" t="str">
        <f t="shared" si="37"/>
        <v>sábado</v>
      </c>
      <c r="P551" s="27">
        <f t="shared" si="38"/>
        <v>10</v>
      </c>
      <c r="Q551" s="22" t="str">
        <f t="shared" si="39"/>
        <v>octubre</v>
      </c>
    </row>
    <row r="552" spans="1:17" x14ac:dyDescent="0.25">
      <c r="A552">
        <v>2</v>
      </c>
      <c r="B552" t="s">
        <v>180</v>
      </c>
      <c r="C552" t="s">
        <v>6</v>
      </c>
      <c r="D552" t="s">
        <v>281</v>
      </c>
      <c r="E552">
        <v>440743893</v>
      </c>
      <c r="H552">
        <v>2400</v>
      </c>
      <c r="I552" s="19">
        <v>1200</v>
      </c>
      <c r="J552">
        <v>60</v>
      </c>
      <c r="K552">
        <v>1140</v>
      </c>
      <c r="M552" s="39" t="s">
        <v>947</v>
      </c>
      <c r="N552" s="25">
        <f t="shared" si="36"/>
        <v>11</v>
      </c>
      <c r="O552" s="25" t="str">
        <f t="shared" si="37"/>
        <v>sábado</v>
      </c>
      <c r="P552" s="27">
        <f t="shared" si="38"/>
        <v>10</v>
      </c>
      <c r="Q552" s="22" t="str">
        <f t="shared" si="39"/>
        <v>octubre</v>
      </c>
    </row>
    <row r="553" spans="1:17" x14ac:dyDescent="0.25">
      <c r="A553">
        <v>2</v>
      </c>
      <c r="B553" t="s">
        <v>967</v>
      </c>
      <c r="C553" t="s">
        <v>6</v>
      </c>
      <c r="D553" t="s">
        <v>968</v>
      </c>
      <c r="E553">
        <v>440742655</v>
      </c>
      <c r="F553" t="s">
        <v>968</v>
      </c>
      <c r="G553">
        <v>440743003</v>
      </c>
      <c r="H553">
        <v>2900</v>
      </c>
      <c r="I553" s="19">
        <v>2400</v>
      </c>
      <c r="J553">
        <v>120</v>
      </c>
      <c r="K553">
        <v>380</v>
      </c>
      <c r="M553" s="39" t="s">
        <v>947</v>
      </c>
      <c r="N553" s="25">
        <f t="shared" si="36"/>
        <v>11</v>
      </c>
      <c r="O553" s="25" t="str">
        <f t="shared" si="37"/>
        <v>sábado</v>
      </c>
      <c r="P553" s="27">
        <f t="shared" si="38"/>
        <v>10</v>
      </c>
      <c r="Q553" s="22" t="str">
        <f t="shared" si="39"/>
        <v>octubre</v>
      </c>
    </row>
    <row r="554" spans="1:17" x14ac:dyDescent="0.25">
      <c r="A554">
        <v>1</v>
      </c>
      <c r="B554" t="s">
        <v>326</v>
      </c>
      <c r="C554" t="s">
        <v>6</v>
      </c>
      <c r="D554" t="s">
        <v>195</v>
      </c>
      <c r="E554">
        <v>440741992</v>
      </c>
      <c r="F554" t="s">
        <v>195</v>
      </c>
      <c r="G554">
        <v>440741992</v>
      </c>
      <c r="H554">
        <v>2980</v>
      </c>
      <c r="I554" s="19">
        <v>1800</v>
      </c>
      <c r="J554">
        <v>120</v>
      </c>
      <c r="K554">
        <v>1060</v>
      </c>
      <c r="M554" s="39" t="s">
        <v>947</v>
      </c>
      <c r="N554" s="25">
        <f t="shared" si="36"/>
        <v>11</v>
      </c>
      <c r="O554" s="25" t="str">
        <f t="shared" si="37"/>
        <v>sábado</v>
      </c>
      <c r="P554" s="27">
        <f t="shared" si="38"/>
        <v>10</v>
      </c>
      <c r="Q554" s="22" t="str">
        <f t="shared" si="39"/>
        <v>octubre</v>
      </c>
    </row>
    <row r="555" spans="1:17" x14ac:dyDescent="0.25">
      <c r="A555">
        <v>1</v>
      </c>
      <c r="B555" t="s">
        <v>291</v>
      </c>
      <c r="C555" t="s">
        <v>6</v>
      </c>
      <c r="D555" t="s">
        <v>195</v>
      </c>
      <c r="E555">
        <v>440740943</v>
      </c>
      <c r="F555" t="s">
        <v>195</v>
      </c>
      <c r="G555">
        <v>440741149</v>
      </c>
      <c r="H555">
        <v>4700</v>
      </c>
      <c r="I555" s="19">
        <v>1800</v>
      </c>
      <c r="J555">
        <v>120</v>
      </c>
      <c r="K555">
        <v>2780</v>
      </c>
      <c r="M555" s="39" t="s">
        <v>947</v>
      </c>
      <c r="N555" s="25">
        <f t="shared" si="36"/>
        <v>11</v>
      </c>
      <c r="O555" s="25" t="str">
        <f t="shared" si="37"/>
        <v>sábado</v>
      </c>
      <c r="P555" s="27">
        <f t="shared" si="38"/>
        <v>10</v>
      </c>
      <c r="Q555" s="22" t="str">
        <f t="shared" si="39"/>
        <v>octubre</v>
      </c>
    </row>
    <row r="556" spans="1:17" x14ac:dyDescent="0.25">
      <c r="A556">
        <v>12</v>
      </c>
      <c r="B556" t="s">
        <v>1032</v>
      </c>
      <c r="C556" t="s">
        <v>6</v>
      </c>
      <c r="D556" t="s">
        <v>1033</v>
      </c>
      <c r="E556">
        <v>440988584</v>
      </c>
      <c r="F556" t="s">
        <v>1034</v>
      </c>
      <c r="G556">
        <v>440989134</v>
      </c>
      <c r="H556">
        <v>5160</v>
      </c>
      <c r="I556" s="19">
        <v>2500</v>
      </c>
      <c r="J556">
        <v>120</v>
      </c>
      <c r="K556">
        <v>2540</v>
      </c>
      <c r="M556" s="39" t="s">
        <v>1008</v>
      </c>
      <c r="N556" s="25">
        <f t="shared" si="36"/>
        <v>12</v>
      </c>
      <c r="O556" s="25" t="str">
        <f t="shared" si="37"/>
        <v>domingo</v>
      </c>
      <c r="P556" s="27">
        <f t="shared" si="38"/>
        <v>10</v>
      </c>
      <c r="Q556" s="22" t="str">
        <f t="shared" si="39"/>
        <v>octubre</v>
      </c>
    </row>
    <row r="557" spans="1:17" x14ac:dyDescent="0.25">
      <c r="A557">
        <v>12</v>
      </c>
      <c r="B557" t="s">
        <v>1030</v>
      </c>
      <c r="C557" t="s">
        <v>6</v>
      </c>
      <c r="D557" t="s">
        <v>1031</v>
      </c>
      <c r="E557">
        <v>440976536</v>
      </c>
      <c r="H557">
        <v>4390</v>
      </c>
      <c r="I557" s="19">
        <v>2950</v>
      </c>
      <c r="J557">
        <v>60</v>
      </c>
      <c r="K557">
        <v>1380</v>
      </c>
      <c r="M557" s="39" t="s">
        <v>1008</v>
      </c>
      <c r="N557" s="25">
        <f t="shared" si="36"/>
        <v>12</v>
      </c>
      <c r="O557" s="25" t="str">
        <f t="shared" si="37"/>
        <v>domingo</v>
      </c>
      <c r="P557" s="27">
        <f t="shared" si="38"/>
        <v>10</v>
      </c>
      <c r="Q557" s="22" t="str">
        <f t="shared" si="39"/>
        <v>octubre</v>
      </c>
    </row>
    <row r="558" spans="1:17" x14ac:dyDescent="0.25">
      <c r="A558">
        <v>10</v>
      </c>
      <c r="B558" t="s">
        <v>1029</v>
      </c>
      <c r="C558" t="s">
        <v>6</v>
      </c>
      <c r="D558" t="s">
        <v>1035</v>
      </c>
      <c r="E558">
        <v>440959829</v>
      </c>
      <c r="H558">
        <v>3645</v>
      </c>
      <c r="I558" s="19">
        <v>2025</v>
      </c>
      <c r="J558">
        <v>60</v>
      </c>
      <c r="K558">
        <v>1560</v>
      </c>
      <c r="M558" s="39" t="s">
        <v>1008</v>
      </c>
      <c r="N558" s="25">
        <f t="shared" si="36"/>
        <v>12</v>
      </c>
      <c r="O558" s="25" t="str">
        <f t="shared" si="37"/>
        <v>domingo</v>
      </c>
      <c r="P558" s="27">
        <f t="shared" si="38"/>
        <v>10</v>
      </c>
      <c r="Q558" s="22" t="str">
        <f t="shared" si="39"/>
        <v>octubre</v>
      </c>
    </row>
    <row r="559" spans="1:17" x14ac:dyDescent="0.25">
      <c r="A559">
        <v>10</v>
      </c>
      <c r="B559" t="s">
        <v>1028</v>
      </c>
      <c r="C559" t="s">
        <v>6</v>
      </c>
      <c r="D559" t="s">
        <v>1036</v>
      </c>
      <c r="E559">
        <v>440962972</v>
      </c>
      <c r="H559">
        <v>2760</v>
      </c>
      <c r="I559" s="19">
        <v>1700</v>
      </c>
      <c r="J559">
        <v>60</v>
      </c>
      <c r="K559">
        <v>1000</v>
      </c>
      <c r="M559" s="39" t="s">
        <v>1008</v>
      </c>
      <c r="N559" s="25">
        <f t="shared" si="36"/>
        <v>12</v>
      </c>
      <c r="O559" s="25" t="str">
        <f t="shared" si="37"/>
        <v>domingo</v>
      </c>
      <c r="P559" s="27">
        <f t="shared" si="38"/>
        <v>10</v>
      </c>
      <c r="Q559" s="22" t="str">
        <f t="shared" si="39"/>
        <v>octubre</v>
      </c>
    </row>
    <row r="560" spans="1:17" x14ac:dyDescent="0.25">
      <c r="A560">
        <v>10</v>
      </c>
      <c r="B560" t="s">
        <v>1027</v>
      </c>
      <c r="C560" t="s">
        <v>6</v>
      </c>
      <c r="D560" t="s">
        <v>170</v>
      </c>
      <c r="E560">
        <v>440958554</v>
      </c>
      <c r="F560" t="s">
        <v>711</v>
      </c>
      <c r="G560">
        <v>440957699</v>
      </c>
      <c r="H560">
        <v>5140</v>
      </c>
      <c r="I560" s="19">
        <v>2100</v>
      </c>
      <c r="J560">
        <v>120</v>
      </c>
      <c r="K560">
        <v>2920</v>
      </c>
      <c r="M560" s="39" t="s">
        <v>1008</v>
      </c>
      <c r="N560" s="25">
        <f t="shared" si="36"/>
        <v>12</v>
      </c>
      <c r="O560" s="25" t="str">
        <f t="shared" si="37"/>
        <v>domingo</v>
      </c>
      <c r="P560" s="27">
        <f t="shared" si="38"/>
        <v>10</v>
      </c>
      <c r="Q560" s="22" t="str">
        <f t="shared" si="39"/>
        <v>octubre</v>
      </c>
    </row>
    <row r="561" spans="1:19" x14ac:dyDescent="0.25">
      <c r="A561">
        <v>10</v>
      </c>
      <c r="B561" t="s">
        <v>1026</v>
      </c>
      <c r="C561" t="s">
        <v>6</v>
      </c>
      <c r="D561" t="s">
        <v>1036</v>
      </c>
      <c r="E561">
        <v>440951499</v>
      </c>
      <c r="H561">
        <v>3985</v>
      </c>
      <c r="I561" s="19">
        <v>1925</v>
      </c>
      <c r="J561">
        <v>60</v>
      </c>
      <c r="K561">
        <v>2000</v>
      </c>
      <c r="M561" s="39" t="s">
        <v>1008</v>
      </c>
      <c r="N561" s="25">
        <f t="shared" si="36"/>
        <v>12</v>
      </c>
      <c r="O561" s="25" t="str">
        <f t="shared" si="37"/>
        <v>domingo</v>
      </c>
      <c r="P561" s="27">
        <f t="shared" si="38"/>
        <v>10</v>
      </c>
      <c r="Q561" s="22" t="str">
        <f t="shared" si="39"/>
        <v>octubre</v>
      </c>
    </row>
    <row r="562" spans="1:19" x14ac:dyDescent="0.25">
      <c r="A562">
        <v>10</v>
      </c>
      <c r="B562" t="s">
        <v>1025</v>
      </c>
      <c r="C562" t="s">
        <v>6</v>
      </c>
      <c r="D562" t="s">
        <v>443</v>
      </c>
      <c r="E562">
        <v>440945355</v>
      </c>
      <c r="F562" t="s">
        <v>1037</v>
      </c>
      <c r="G562">
        <v>440945439</v>
      </c>
      <c r="H562">
        <v>5570</v>
      </c>
      <c r="I562" s="19">
        <v>3200</v>
      </c>
      <c r="J562">
        <v>120</v>
      </c>
      <c r="K562">
        <v>2250</v>
      </c>
      <c r="M562" s="39" t="s">
        <v>1008</v>
      </c>
      <c r="N562" s="25">
        <f t="shared" si="36"/>
        <v>12</v>
      </c>
      <c r="O562" s="25" t="str">
        <f t="shared" si="37"/>
        <v>domingo</v>
      </c>
      <c r="P562" s="27">
        <f t="shared" si="38"/>
        <v>10</v>
      </c>
      <c r="Q562" s="22" t="str">
        <f t="shared" si="39"/>
        <v>octubre</v>
      </c>
    </row>
    <row r="563" spans="1:19" x14ac:dyDescent="0.25">
      <c r="A563">
        <v>9</v>
      </c>
      <c r="B563" t="s">
        <v>1024</v>
      </c>
      <c r="C563" t="s">
        <v>6</v>
      </c>
      <c r="D563" t="s">
        <v>1038</v>
      </c>
      <c r="E563">
        <v>440942064</v>
      </c>
      <c r="F563" t="s">
        <v>1039</v>
      </c>
      <c r="G563">
        <v>440942068</v>
      </c>
      <c r="H563">
        <v>3690</v>
      </c>
      <c r="I563" s="19">
        <v>1950</v>
      </c>
      <c r="J563">
        <v>120</v>
      </c>
      <c r="K563">
        <v>1620</v>
      </c>
      <c r="M563" s="39" t="s">
        <v>1008</v>
      </c>
      <c r="N563" s="25">
        <f t="shared" si="36"/>
        <v>12</v>
      </c>
      <c r="O563" s="25" t="str">
        <f t="shared" si="37"/>
        <v>domingo</v>
      </c>
      <c r="P563" s="27">
        <f t="shared" si="38"/>
        <v>10</v>
      </c>
      <c r="Q563" s="22" t="str">
        <f t="shared" si="39"/>
        <v>octubre</v>
      </c>
    </row>
    <row r="564" spans="1:19" x14ac:dyDescent="0.25">
      <c r="A564">
        <v>9</v>
      </c>
      <c r="B564" t="s">
        <v>1023</v>
      </c>
      <c r="C564" t="s">
        <v>6</v>
      </c>
      <c r="D564" t="s">
        <v>1040</v>
      </c>
      <c r="E564">
        <v>440939174</v>
      </c>
      <c r="H564">
        <v>1860</v>
      </c>
      <c r="I564" s="19">
        <v>1200</v>
      </c>
      <c r="J564">
        <v>60</v>
      </c>
      <c r="K564">
        <v>600</v>
      </c>
      <c r="M564" s="39" t="s">
        <v>1008</v>
      </c>
      <c r="N564" s="25">
        <f t="shared" si="36"/>
        <v>12</v>
      </c>
      <c r="O564" s="25" t="str">
        <f t="shared" si="37"/>
        <v>domingo</v>
      </c>
      <c r="P564" s="27">
        <f t="shared" si="38"/>
        <v>10</v>
      </c>
      <c r="Q564" s="22" t="str">
        <f t="shared" si="39"/>
        <v>octubre</v>
      </c>
    </row>
    <row r="565" spans="1:19" x14ac:dyDescent="0.25">
      <c r="A565">
        <v>9</v>
      </c>
      <c r="B565" t="s">
        <v>1022</v>
      </c>
      <c r="C565" t="s">
        <v>6</v>
      </c>
      <c r="D565" t="s">
        <v>208</v>
      </c>
      <c r="E565">
        <v>440937292</v>
      </c>
      <c r="H565">
        <v>1680</v>
      </c>
      <c r="I565" s="19">
        <v>1200</v>
      </c>
      <c r="J565">
        <v>60</v>
      </c>
      <c r="K565">
        <v>420</v>
      </c>
      <c r="M565" s="39" t="s">
        <v>1008</v>
      </c>
      <c r="N565" s="25">
        <f t="shared" si="36"/>
        <v>12</v>
      </c>
      <c r="O565" s="25" t="str">
        <f t="shared" si="37"/>
        <v>domingo</v>
      </c>
      <c r="P565" s="27">
        <f t="shared" si="38"/>
        <v>10</v>
      </c>
      <c r="Q565" s="22" t="str">
        <f t="shared" si="39"/>
        <v>octubre</v>
      </c>
    </row>
    <row r="566" spans="1:19" x14ac:dyDescent="0.25">
      <c r="A566">
        <v>9</v>
      </c>
      <c r="B566" t="s">
        <v>1021</v>
      </c>
      <c r="C566" t="s">
        <v>6</v>
      </c>
      <c r="D566" t="s">
        <v>1041</v>
      </c>
      <c r="E566">
        <v>440930395</v>
      </c>
      <c r="H566">
        <v>3520</v>
      </c>
      <c r="I566" s="19">
        <v>2000</v>
      </c>
      <c r="J566">
        <v>60</v>
      </c>
      <c r="K566">
        <v>1460</v>
      </c>
      <c r="M566" s="39" t="s">
        <v>1008</v>
      </c>
      <c r="N566" s="25">
        <f t="shared" si="36"/>
        <v>12</v>
      </c>
      <c r="O566" s="25" t="str">
        <f t="shared" si="37"/>
        <v>domingo</v>
      </c>
      <c r="P566" s="27">
        <f t="shared" si="38"/>
        <v>10</v>
      </c>
      <c r="Q566" s="22" t="str">
        <f t="shared" si="39"/>
        <v>octubre</v>
      </c>
    </row>
    <row r="567" spans="1:19" x14ac:dyDescent="0.25">
      <c r="A567">
        <v>8</v>
      </c>
      <c r="B567" t="s">
        <v>1020</v>
      </c>
      <c r="C567" t="s">
        <v>19</v>
      </c>
      <c r="D567" t="s">
        <v>161</v>
      </c>
      <c r="E567">
        <v>440918779</v>
      </c>
      <c r="F567" t="s">
        <v>161</v>
      </c>
      <c r="G567">
        <v>440923980</v>
      </c>
      <c r="H567">
        <v>6790</v>
      </c>
      <c r="I567" s="19">
        <v>5950</v>
      </c>
      <c r="J567">
        <v>120</v>
      </c>
      <c r="K567">
        <v>720</v>
      </c>
      <c r="M567" s="39" t="s">
        <v>1008</v>
      </c>
      <c r="N567" s="25">
        <f t="shared" si="36"/>
        <v>12</v>
      </c>
      <c r="O567" s="25" t="str">
        <f t="shared" si="37"/>
        <v>domingo</v>
      </c>
      <c r="P567" s="27">
        <f t="shared" si="38"/>
        <v>10</v>
      </c>
      <c r="Q567" s="22" t="str">
        <f t="shared" si="39"/>
        <v>octubre</v>
      </c>
    </row>
    <row r="568" spans="1:19" x14ac:dyDescent="0.25">
      <c r="A568">
        <v>7</v>
      </c>
      <c r="B568" t="s">
        <v>1019</v>
      </c>
      <c r="C568" t="s">
        <v>6</v>
      </c>
      <c r="D568" t="s">
        <v>1042</v>
      </c>
      <c r="E568">
        <v>440919456</v>
      </c>
      <c r="H568">
        <v>1260</v>
      </c>
      <c r="I568" s="19">
        <v>1200</v>
      </c>
      <c r="J568">
        <v>60</v>
      </c>
      <c r="K568">
        <v>0</v>
      </c>
      <c r="M568" s="39" t="s">
        <v>1008</v>
      </c>
      <c r="N568" s="25">
        <f t="shared" si="36"/>
        <v>12</v>
      </c>
      <c r="O568" s="25" t="str">
        <f t="shared" si="37"/>
        <v>domingo</v>
      </c>
      <c r="P568" s="27">
        <f t="shared" si="38"/>
        <v>10</v>
      </c>
      <c r="Q568" s="22" t="str">
        <f t="shared" si="39"/>
        <v>octubre</v>
      </c>
    </row>
    <row r="569" spans="1:19" x14ac:dyDescent="0.25">
      <c r="A569">
        <v>7</v>
      </c>
      <c r="B569" t="s">
        <v>1017</v>
      </c>
      <c r="C569" t="s">
        <v>6</v>
      </c>
      <c r="D569" t="s">
        <v>1018</v>
      </c>
      <c r="E569">
        <v>440909888</v>
      </c>
      <c r="F569" t="s">
        <v>1043</v>
      </c>
      <c r="G569">
        <v>440909755</v>
      </c>
      <c r="H569">
        <v>4760</v>
      </c>
      <c r="I569" s="19">
        <v>2100</v>
      </c>
      <c r="J569">
        <v>120</v>
      </c>
      <c r="K569">
        <v>2540</v>
      </c>
      <c r="M569" s="39" t="s">
        <v>1008</v>
      </c>
      <c r="N569" s="25">
        <f t="shared" si="36"/>
        <v>12</v>
      </c>
      <c r="O569" s="25" t="str">
        <f t="shared" si="37"/>
        <v>domingo</v>
      </c>
      <c r="P569" s="27">
        <f t="shared" si="38"/>
        <v>10</v>
      </c>
      <c r="Q569" s="22" t="str">
        <f t="shared" si="39"/>
        <v>octubre</v>
      </c>
      <c r="R569" t="s">
        <v>1046</v>
      </c>
      <c r="S569">
        <f>68572+10449</f>
        <v>79021</v>
      </c>
    </row>
    <row r="570" spans="1:19" x14ac:dyDescent="0.25">
      <c r="A570">
        <v>7</v>
      </c>
      <c r="B570" t="s">
        <v>1016</v>
      </c>
      <c r="C570" t="s">
        <v>6</v>
      </c>
      <c r="D570" t="s">
        <v>1044</v>
      </c>
      <c r="E570">
        <v>440908226</v>
      </c>
      <c r="H570">
        <v>2380</v>
      </c>
      <c r="I570" s="19">
        <v>1200</v>
      </c>
      <c r="J570">
        <v>60</v>
      </c>
      <c r="K570">
        <v>1120</v>
      </c>
      <c r="M570" s="39" t="s">
        <v>1008</v>
      </c>
      <c r="N570" s="25">
        <f t="shared" si="36"/>
        <v>12</v>
      </c>
      <c r="O570" s="25" t="str">
        <f t="shared" si="37"/>
        <v>domingo</v>
      </c>
      <c r="P570" s="27">
        <f t="shared" si="38"/>
        <v>10</v>
      </c>
      <c r="Q570" s="22" t="str">
        <f t="shared" si="39"/>
        <v>octubre</v>
      </c>
    </row>
    <row r="571" spans="1:19" x14ac:dyDescent="0.25">
      <c r="A571">
        <v>7</v>
      </c>
      <c r="B571" t="s">
        <v>32</v>
      </c>
      <c r="C571" t="s">
        <v>155</v>
      </c>
      <c r="D571" t="s">
        <v>201</v>
      </c>
      <c r="E571">
        <v>440899765</v>
      </c>
      <c r="H571">
        <v>2160</v>
      </c>
      <c r="I571" s="19">
        <v>1750</v>
      </c>
      <c r="J571">
        <v>60</v>
      </c>
      <c r="K571">
        <v>350</v>
      </c>
      <c r="M571" s="39" t="s">
        <v>1008</v>
      </c>
      <c r="N571" s="25">
        <f t="shared" si="36"/>
        <v>12</v>
      </c>
      <c r="O571" s="25" t="str">
        <f t="shared" si="37"/>
        <v>domingo</v>
      </c>
      <c r="P571" s="27">
        <f t="shared" si="38"/>
        <v>10</v>
      </c>
      <c r="Q571" s="22" t="str">
        <f t="shared" si="39"/>
        <v>octubre</v>
      </c>
    </row>
    <row r="572" spans="1:19" x14ac:dyDescent="0.25">
      <c r="A572">
        <v>7</v>
      </c>
      <c r="B572" t="s">
        <v>1015</v>
      </c>
      <c r="C572" t="s">
        <v>19</v>
      </c>
      <c r="D572" t="s">
        <v>24</v>
      </c>
      <c r="E572">
        <v>440899292</v>
      </c>
      <c r="H572">
        <v>2920</v>
      </c>
      <c r="I572" s="19">
        <v>1800</v>
      </c>
      <c r="J572">
        <v>60</v>
      </c>
      <c r="K572">
        <v>1060</v>
      </c>
      <c r="M572" s="39" t="s">
        <v>1008</v>
      </c>
      <c r="N572" s="25">
        <f t="shared" si="36"/>
        <v>12</v>
      </c>
      <c r="O572" s="25" t="str">
        <f t="shared" si="37"/>
        <v>domingo</v>
      </c>
      <c r="P572" s="27">
        <f t="shared" si="38"/>
        <v>10</v>
      </c>
      <c r="Q572" s="22" t="str">
        <f t="shared" si="39"/>
        <v>octubre</v>
      </c>
    </row>
    <row r="573" spans="1:19" x14ac:dyDescent="0.25">
      <c r="A573">
        <v>6</v>
      </c>
      <c r="B573" t="s">
        <v>1014</v>
      </c>
      <c r="C573" t="s">
        <v>6</v>
      </c>
      <c r="D573" t="s">
        <v>796</v>
      </c>
      <c r="E573">
        <v>440894110</v>
      </c>
      <c r="H573">
        <v>2690</v>
      </c>
      <c r="I573" s="19">
        <v>1750</v>
      </c>
      <c r="J573">
        <v>60</v>
      </c>
      <c r="K573">
        <v>880</v>
      </c>
      <c r="M573" s="39" t="s">
        <v>1008</v>
      </c>
      <c r="N573" s="25">
        <f t="shared" si="36"/>
        <v>12</v>
      </c>
      <c r="O573" s="25" t="str">
        <f t="shared" si="37"/>
        <v>domingo</v>
      </c>
      <c r="P573" s="27">
        <f t="shared" si="38"/>
        <v>10</v>
      </c>
      <c r="Q573" s="22" t="str">
        <f t="shared" si="39"/>
        <v>octubre</v>
      </c>
    </row>
    <row r="574" spans="1:19" x14ac:dyDescent="0.25">
      <c r="A574">
        <v>2</v>
      </c>
      <c r="B574" t="s">
        <v>1013</v>
      </c>
      <c r="C574" t="s">
        <v>19</v>
      </c>
      <c r="D574" t="s">
        <v>924</v>
      </c>
      <c r="E574">
        <v>440872171</v>
      </c>
      <c r="H574">
        <v>3560</v>
      </c>
      <c r="I574" s="19">
        <v>2000</v>
      </c>
      <c r="J574">
        <v>60</v>
      </c>
      <c r="K574">
        <v>1500</v>
      </c>
      <c r="M574" s="39" t="s">
        <v>1008</v>
      </c>
      <c r="N574" s="25">
        <f t="shared" si="36"/>
        <v>12</v>
      </c>
      <c r="O574" s="25" t="str">
        <f t="shared" si="37"/>
        <v>domingo</v>
      </c>
      <c r="P574" s="27">
        <f t="shared" si="38"/>
        <v>10</v>
      </c>
      <c r="Q574" s="22" t="str">
        <f t="shared" si="39"/>
        <v>octubre</v>
      </c>
    </row>
    <row r="575" spans="1:19" x14ac:dyDescent="0.25">
      <c r="A575">
        <v>1</v>
      </c>
      <c r="B575" t="s">
        <v>1009</v>
      </c>
      <c r="C575" t="s">
        <v>6</v>
      </c>
      <c r="D575" t="s">
        <v>281</v>
      </c>
      <c r="E575">
        <v>440869054</v>
      </c>
      <c r="H575">
        <v>3160</v>
      </c>
      <c r="I575" s="19">
        <v>1200</v>
      </c>
      <c r="J575">
        <v>60</v>
      </c>
      <c r="K575">
        <v>1900</v>
      </c>
      <c r="M575" s="39" t="s">
        <v>1008</v>
      </c>
      <c r="N575" s="25">
        <f t="shared" si="36"/>
        <v>12</v>
      </c>
      <c r="O575" s="25" t="str">
        <f t="shared" si="37"/>
        <v>domingo</v>
      </c>
      <c r="P575" s="27">
        <f t="shared" si="38"/>
        <v>10</v>
      </c>
      <c r="Q575" s="22" t="str">
        <f t="shared" si="39"/>
        <v>octubre</v>
      </c>
    </row>
    <row r="576" spans="1:19" x14ac:dyDescent="0.25">
      <c r="A576">
        <v>1</v>
      </c>
      <c r="B576" t="s">
        <v>1006</v>
      </c>
      <c r="C576" t="s">
        <v>6</v>
      </c>
      <c r="D576" t="s">
        <v>1007</v>
      </c>
      <c r="E576">
        <v>440867717</v>
      </c>
      <c r="H576">
        <v>1260</v>
      </c>
      <c r="I576" s="19">
        <v>1200</v>
      </c>
      <c r="J576">
        <v>60</v>
      </c>
      <c r="K576">
        <v>0</v>
      </c>
      <c r="M576" s="39" t="s">
        <v>1008</v>
      </c>
      <c r="N576" s="25">
        <f t="shared" si="36"/>
        <v>12</v>
      </c>
      <c r="O576" s="25" t="str">
        <f t="shared" si="37"/>
        <v>domingo</v>
      </c>
      <c r="P576" s="27">
        <f t="shared" si="38"/>
        <v>10</v>
      </c>
      <c r="Q576" s="22" t="str">
        <f t="shared" si="39"/>
        <v>octubre</v>
      </c>
    </row>
    <row r="577" spans="1:19" x14ac:dyDescent="0.25">
      <c r="A577">
        <v>1</v>
      </c>
      <c r="B577" t="s">
        <v>10</v>
      </c>
      <c r="C577" t="s">
        <v>19</v>
      </c>
      <c r="D577" t="s">
        <v>1012</v>
      </c>
      <c r="E577">
        <v>440871823</v>
      </c>
      <c r="H577">
        <v>1910</v>
      </c>
      <c r="I577" s="19">
        <v>1850</v>
      </c>
      <c r="J577">
        <v>60</v>
      </c>
      <c r="K577">
        <v>0</v>
      </c>
      <c r="M577" s="39" t="s">
        <v>1008</v>
      </c>
      <c r="N577" s="25">
        <f t="shared" si="36"/>
        <v>12</v>
      </c>
      <c r="O577" s="25" t="str">
        <f t="shared" si="37"/>
        <v>domingo</v>
      </c>
      <c r="P577" s="27">
        <f t="shared" si="38"/>
        <v>10</v>
      </c>
      <c r="Q577" s="22" t="str">
        <f t="shared" si="39"/>
        <v>octubre</v>
      </c>
    </row>
    <row r="578" spans="1:19" x14ac:dyDescent="0.25">
      <c r="A578">
        <v>1</v>
      </c>
      <c r="B578" t="s">
        <v>1011</v>
      </c>
      <c r="C578" t="s">
        <v>19</v>
      </c>
      <c r="D578" t="s">
        <v>1012</v>
      </c>
      <c r="E578">
        <v>440871303</v>
      </c>
      <c r="H578">
        <v>1760</v>
      </c>
      <c r="I578" s="19">
        <v>1700</v>
      </c>
      <c r="J578">
        <v>60</v>
      </c>
      <c r="K578">
        <v>0</v>
      </c>
      <c r="M578" s="39" t="s">
        <v>1008</v>
      </c>
      <c r="N578" s="25">
        <f t="shared" ref="N578:N641" si="40">DAY(M578)</f>
        <v>12</v>
      </c>
      <c r="O578" s="25" t="str">
        <f t="shared" ref="O578:O641" si="41">TEXT(M578,"DDDD")</f>
        <v>domingo</v>
      </c>
      <c r="P578" s="27">
        <f t="shared" si="38"/>
        <v>10</v>
      </c>
      <c r="Q578" s="22" t="str">
        <f t="shared" si="39"/>
        <v>octubre</v>
      </c>
    </row>
    <row r="579" spans="1:19" x14ac:dyDescent="0.25">
      <c r="A579">
        <v>1</v>
      </c>
      <c r="B579" t="s">
        <v>1010</v>
      </c>
      <c r="C579" t="s">
        <v>6</v>
      </c>
      <c r="D579" t="s">
        <v>711</v>
      </c>
      <c r="E579">
        <v>440870033</v>
      </c>
      <c r="F579" t="s">
        <v>1045</v>
      </c>
      <c r="G579">
        <v>440870301</v>
      </c>
      <c r="H579">
        <v>4160</v>
      </c>
      <c r="I579" s="19">
        <v>2100</v>
      </c>
      <c r="J579">
        <v>120</v>
      </c>
      <c r="K579">
        <v>1940</v>
      </c>
      <c r="M579" s="39" t="s">
        <v>1008</v>
      </c>
      <c r="N579" s="25">
        <f t="shared" si="40"/>
        <v>12</v>
      </c>
      <c r="O579" s="25" t="str">
        <f t="shared" si="41"/>
        <v>domingo</v>
      </c>
      <c r="P579" s="27">
        <f t="shared" si="38"/>
        <v>10</v>
      </c>
      <c r="Q579" s="22" t="str">
        <f t="shared" si="39"/>
        <v>octubre</v>
      </c>
    </row>
    <row r="580" spans="1:19" x14ac:dyDescent="0.25">
      <c r="A580">
        <v>12</v>
      </c>
      <c r="B580" t="s">
        <v>1047</v>
      </c>
      <c r="C580" t="s">
        <v>6</v>
      </c>
      <c r="D580" t="s">
        <v>1057</v>
      </c>
      <c r="E580">
        <v>442644309</v>
      </c>
      <c r="F580" t="s">
        <v>1058</v>
      </c>
      <c r="G580">
        <v>442644540</v>
      </c>
      <c r="H580">
        <v>4160</v>
      </c>
      <c r="I580" s="19">
        <v>1800</v>
      </c>
      <c r="K580">
        <v>2360</v>
      </c>
      <c r="M580" s="39" t="s">
        <v>1048</v>
      </c>
      <c r="N580" s="25">
        <f t="shared" si="40"/>
        <v>27</v>
      </c>
      <c r="O580" s="25" t="str">
        <f t="shared" si="41"/>
        <v>lunes</v>
      </c>
      <c r="P580" s="27">
        <f t="shared" si="38"/>
        <v>10</v>
      </c>
      <c r="Q580" s="22" t="str">
        <f t="shared" si="39"/>
        <v>octubre</v>
      </c>
    </row>
    <row r="581" spans="1:19" x14ac:dyDescent="0.25">
      <c r="A581">
        <v>11</v>
      </c>
      <c r="B581" t="s">
        <v>1049</v>
      </c>
      <c r="C581" t="s">
        <v>6</v>
      </c>
      <c r="D581" t="s">
        <v>1059</v>
      </c>
      <c r="E581">
        <v>442637112</v>
      </c>
      <c r="F581" t="s">
        <v>1059</v>
      </c>
      <c r="G581">
        <v>442637088</v>
      </c>
      <c r="H581">
        <v>4840</v>
      </c>
      <c r="I581" s="19">
        <v>1800</v>
      </c>
      <c r="K581">
        <v>3040</v>
      </c>
      <c r="M581" s="39" t="s">
        <v>1048</v>
      </c>
      <c r="N581" s="25">
        <f t="shared" si="40"/>
        <v>27</v>
      </c>
      <c r="O581" s="25" t="str">
        <f t="shared" si="41"/>
        <v>lunes</v>
      </c>
      <c r="P581" s="27">
        <f t="shared" si="38"/>
        <v>10</v>
      </c>
      <c r="Q581" s="22" t="str">
        <f t="shared" si="39"/>
        <v>octubre</v>
      </c>
    </row>
    <row r="582" spans="1:19" x14ac:dyDescent="0.25">
      <c r="A582">
        <v>10</v>
      </c>
      <c r="B582" t="s">
        <v>1050</v>
      </c>
      <c r="C582" t="s">
        <v>19</v>
      </c>
      <c r="D582" t="s">
        <v>1060</v>
      </c>
      <c r="E582">
        <v>442621404</v>
      </c>
      <c r="H582">
        <v>2300</v>
      </c>
      <c r="I582" s="19">
        <v>1200</v>
      </c>
      <c r="K582">
        <v>1100</v>
      </c>
      <c r="M582" s="39" t="s">
        <v>1048</v>
      </c>
      <c r="N582" s="25">
        <f t="shared" si="40"/>
        <v>27</v>
      </c>
      <c r="O582" s="25" t="str">
        <f t="shared" si="41"/>
        <v>lunes</v>
      </c>
      <c r="P582" s="27">
        <f t="shared" si="38"/>
        <v>10</v>
      </c>
      <c r="Q582" s="22" t="str">
        <f t="shared" si="39"/>
        <v>octubre</v>
      </c>
      <c r="R582">
        <v>442621404</v>
      </c>
      <c r="S582">
        <v>26121</v>
      </c>
    </row>
    <row r="583" spans="1:19" x14ac:dyDescent="0.25">
      <c r="A583">
        <v>10</v>
      </c>
      <c r="B583" t="s">
        <v>1051</v>
      </c>
      <c r="C583" t="s">
        <v>6</v>
      </c>
      <c r="D583" t="s">
        <v>1061</v>
      </c>
      <c r="E583">
        <v>442620311</v>
      </c>
      <c r="F583" t="s">
        <v>1061</v>
      </c>
      <c r="G583">
        <v>442620308</v>
      </c>
      <c r="H583">
        <v>2600</v>
      </c>
      <c r="I583" s="19">
        <v>1800</v>
      </c>
      <c r="K583">
        <v>800</v>
      </c>
      <c r="M583" s="39" t="s">
        <v>1048</v>
      </c>
      <c r="N583" s="25">
        <f t="shared" si="40"/>
        <v>27</v>
      </c>
      <c r="O583" s="25" t="str">
        <f t="shared" si="41"/>
        <v>lunes</v>
      </c>
      <c r="P583" s="27">
        <f t="shared" si="38"/>
        <v>10</v>
      </c>
      <c r="Q583" s="22" t="str">
        <f t="shared" si="39"/>
        <v>octubre</v>
      </c>
    </row>
    <row r="584" spans="1:19" x14ac:dyDescent="0.25">
      <c r="A584">
        <v>10</v>
      </c>
      <c r="B584" t="s">
        <v>1052</v>
      </c>
      <c r="C584" t="s">
        <v>6</v>
      </c>
      <c r="D584" t="s">
        <v>1062</v>
      </c>
      <c r="E584">
        <v>442616067</v>
      </c>
      <c r="H584">
        <v>1900</v>
      </c>
      <c r="M584" s="39" t="s">
        <v>1048</v>
      </c>
      <c r="N584" s="25">
        <f t="shared" si="40"/>
        <v>27</v>
      </c>
      <c r="O584" s="25" t="str">
        <f t="shared" si="41"/>
        <v>lunes</v>
      </c>
      <c r="P584" s="27">
        <f t="shared" si="38"/>
        <v>10</v>
      </c>
      <c r="Q584" s="22" t="str">
        <f t="shared" si="39"/>
        <v>octubre</v>
      </c>
      <c r="R584">
        <v>442616067</v>
      </c>
      <c r="S584">
        <v>25280</v>
      </c>
    </row>
    <row r="585" spans="1:19" x14ac:dyDescent="0.25">
      <c r="A585">
        <v>10</v>
      </c>
      <c r="B585" t="s">
        <v>1053</v>
      </c>
      <c r="C585" t="s">
        <v>19</v>
      </c>
      <c r="D585" t="s">
        <v>1063</v>
      </c>
      <c r="E585">
        <v>442614213</v>
      </c>
      <c r="F585" t="s">
        <v>1063</v>
      </c>
      <c r="G585">
        <v>442614456</v>
      </c>
      <c r="H585">
        <v>4650</v>
      </c>
      <c r="I585" s="19">
        <v>2100</v>
      </c>
      <c r="K585">
        <v>2550</v>
      </c>
      <c r="M585" s="39" t="s">
        <v>1048</v>
      </c>
      <c r="N585" s="25">
        <f t="shared" si="40"/>
        <v>27</v>
      </c>
      <c r="O585" s="25" t="str">
        <f t="shared" si="41"/>
        <v>lunes</v>
      </c>
      <c r="P585" s="27">
        <f t="shared" si="38"/>
        <v>10</v>
      </c>
      <c r="Q585" s="22" t="str">
        <f t="shared" si="39"/>
        <v>octubre</v>
      </c>
    </row>
    <row r="586" spans="1:19" x14ac:dyDescent="0.25">
      <c r="A586">
        <v>10</v>
      </c>
      <c r="B586" t="s">
        <v>1054</v>
      </c>
      <c r="C586" t="s">
        <v>6</v>
      </c>
      <c r="D586" t="s">
        <v>1064</v>
      </c>
      <c r="E586">
        <v>442612925</v>
      </c>
      <c r="H586">
        <v>1200</v>
      </c>
      <c r="I586" s="19">
        <v>1200</v>
      </c>
      <c r="M586" s="39" t="s">
        <v>1048</v>
      </c>
      <c r="N586" s="25">
        <f t="shared" si="40"/>
        <v>27</v>
      </c>
      <c r="O586" s="25" t="str">
        <f t="shared" si="41"/>
        <v>lunes</v>
      </c>
      <c r="P586" s="27">
        <f t="shared" si="38"/>
        <v>10</v>
      </c>
      <c r="Q586" s="22" t="str">
        <f t="shared" si="39"/>
        <v>octubre</v>
      </c>
    </row>
    <row r="587" spans="1:19" x14ac:dyDescent="0.25">
      <c r="A587">
        <v>9</v>
      </c>
      <c r="B587" t="s">
        <v>1055</v>
      </c>
      <c r="C587" t="s">
        <v>19</v>
      </c>
      <c r="D587" t="s">
        <v>973</v>
      </c>
      <c r="E587">
        <v>442606417</v>
      </c>
      <c r="F587" t="s">
        <v>1065</v>
      </c>
      <c r="G587">
        <v>442607872</v>
      </c>
      <c r="H587">
        <v>5350</v>
      </c>
      <c r="I587" s="19">
        <v>5250</v>
      </c>
      <c r="K587">
        <v>100</v>
      </c>
      <c r="M587" s="39" t="s">
        <v>1048</v>
      </c>
      <c r="N587" s="25">
        <f t="shared" si="40"/>
        <v>27</v>
      </c>
      <c r="O587" s="25" t="str">
        <f t="shared" si="41"/>
        <v>lunes</v>
      </c>
      <c r="P587" s="27">
        <f t="shared" si="38"/>
        <v>10</v>
      </c>
      <c r="Q587" s="22" t="str">
        <f t="shared" si="39"/>
        <v>octubre</v>
      </c>
    </row>
    <row r="588" spans="1:19" x14ac:dyDescent="0.25">
      <c r="A588">
        <v>9</v>
      </c>
      <c r="B588" t="s">
        <v>1056</v>
      </c>
      <c r="C588" t="s">
        <v>19</v>
      </c>
      <c r="D588" t="s">
        <v>584</v>
      </c>
      <c r="E588">
        <v>442604620</v>
      </c>
      <c r="H588">
        <v>2200</v>
      </c>
      <c r="I588" s="19">
        <v>1200</v>
      </c>
      <c r="K588">
        <v>1000</v>
      </c>
      <c r="M588" s="39" t="s">
        <v>1048</v>
      </c>
      <c r="N588" s="25">
        <f t="shared" si="40"/>
        <v>27</v>
      </c>
      <c r="O588" s="25" t="str">
        <f t="shared" si="41"/>
        <v>lunes</v>
      </c>
      <c r="P588" s="27">
        <f t="shared" si="38"/>
        <v>10</v>
      </c>
      <c r="Q588" s="22" t="str">
        <f t="shared" si="39"/>
        <v>octubre</v>
      </c>
    </row>
    <row r="589" spans="1:19" x14ac:dyDescent="0.25">
      <c r="A589">
        <v>11</v>
      </c>
      <c r="B589" t="s">
        <v>878</v>
      </c>
      <c r="C589" t="s">
        <v>19</v>
      </c>
      <c r="D589" t="s">
        <v>1075</v>
      </c>
      <c r="E589">
        <v>442727873</v>
      </c>
      <c r="H589">
        <v>1201</v>
      </c>
      <c r="I589" s="19">
        <v>1200</v>
      </c>
      <c r="K589">
        <v>1</v>
      </c>
      <c r="M589" s="39" t="s">
        <v>1066</v>
      </c>
      <c r="N589" s="25">
        <f t="shared" si="40"/>
        <v>28</v>
      </c>
      <c r="O589" s="25" t="str">
        <f t="shared" si="41"/>
        <v>martes</v>
      </c>
      <c r="P589" s="27">
        <f t="shared" ref="P589:P652" si="42">MONTH(M589)</f>
        <v>10</v>
      </c>
      <c r="Q589" s="22" t="str">
        <f t="shared" ref="Q589:Q652" si="43">TEXT(M589,"MMMM")</f>
        <v>octubre</v>
      </c>
    </row>
    <row r="590" spans="1:19" x14ac:dyDescent="0.25">
      <c r="A590">
        <v>11</v>
      </c>
      <c r="B590" t="s">
        <v>905</v>
      </c>
      <c r="C590" t="s">
        <v>6</v>
      </c>
      <c r="D590" t="s">
        <v>1035</v>
      </c>
      <c r="E590">
        <v>442722370</v>
      </c>
      <c r="H590">
        <v>2960</v>
      </c>
      <c r="I590" s="19">
        <v>1200</v>
      </c>
      <c r="K590">
        <v>1760</v>
      </c>
      <c r="M590" s="39" t="s">
        <v>1066</v>
      </c>
      <c r="N590" s="25">
        <f t="shared" si="40"/>
        <v>28</v>
      </c>
      <c r="O590" s="25" t="str">
        <f t="shared" si="41"/>
        <v>martes</v>
      </c>
      <c r="P590" s="27">
        <f t="shared" si="42"/>
        <v>10</v>
      </c>
      <c r="Q590" s="22" t="str">
        <f t="shared" si="43"/>
        <v>octubre</v>
      </c>
    </row>
    <row r="591" spans="1:19" x14ac:dyDescent="0.25">
      <c r="A591">
        <v>11</v>
      </c>
      <c r="B591" t="s">
        <v>267</v>
      </c>
      <c r="C591" t="s">
        <v>19</v>
      </c>
      <c r="D591" t="s">
        <v>1076</v>
      </c>
      <c r="E591">
        <v>442717083</v>
      </c>
      <c r="H591">
        <v>1201</v>
      </c>
      <c r="I591" s="19">
        <v>1200</v>
      </c>
      <c r="K591">
        <v>1</v>
      </c>
      <c r="M591" s="39" t="s">
        <v>1066</v>
      </c>
      <c r="N591" s="25">
        <f t="shared" si="40"/>
        <v>28</v>
      </c>
      <c r="O591" s="25" t="str">
        <f t="shared" si="41"/>
        <v>martes</v>
      </c>
      <c r="P591" s="27">
        <f t="shared" si="42"/>
        <v>10</v>
      </c>
      <c r="Q591" s="22" t="str">
        <f t="shared" si="43"/>
        <v>octubre</v>
      </c>
    </row>
    <row r="592" spans="1:19" x14ac:dyDescent="0.25">
      <c r="A592">
        <v>11</v>
      </c>
      <c r="B592" t="s">
        <v>345</v>
      </c>
      <c r="C592" t="s">
        <v>6</v>
      </c>
      <c r="D592" t="s">
        <v>170</v>
      </c>
      <c r="E592">
        <v>442715463</v>
      </c>
      <c r="H592">
        <v>2000</v>
      </c>
      <c r="I592" s="19">
        <v>1200</v>
      </c>
      <c r="K592">
        <v>800</v>
      </c>
      <c r="M592" s="39" t="s">
        <v>1066</v>
      </c>
      <c r="N592" s="25">
        <f t="shared" si="40"/>
        <v>28</v>
      </c>
      <c r="O592" s="25" t="str">
        <f t="shared" si="41"/>
        <v>martes</v>
      </c>
      <c r="P592" s="27">
        <f t="shared" si="42"/>
        <v>10</v>
      </c>
      <c r="Q592" s="22" t="str">
        <f t="shared" si="43"/>
        <v>octubre</v>
      </c>
    </row>
    <row r="593" spans="1:19" x14ac:dyDescent="0.25">
      <c r="A593">
        <v>11</v>
      </c>
      <c r="B593" t="s">
        <v>537</v>
      </c>
      <c r="C593" t="s">
        <v>19</v>
      </c>
      <c r="D593" t="s">
        <v>1076</v>
      </c>
      <c r="E593">
        <v>442714101</v>
      </c>
      <c r="H593">
        <v>2201</v>
      </c>
      <c r="I593" s="19">
        <v>1201</v>
      </c>
      <c r="K593">
        <v>1000</v>
      </c>
      <c r="M593" s="39" t="s">
        <v>1066</v>
      </c>
      <c r="N593" s="25">
        <f t="shared" si="40"/>
        <v>28</v>
      </c>
      <c r="O593" s="25" t="str">
        <f t="shared" si="41"/>
        <v>martes</v>
      </c>
      <c r="P593" s="27">
        <f t="shared" si="42"/>
        <v>10</v>
      </c>
      <c r="Q593" s="22" t="str">
        <f t="shared" si="43"/>
        <v>octubre</v>
      </c>
    </row>
    <row r="594" spans="1:19" x14ac:dyDescent="0.25">
      <c r="A594">
        <v>10</v>
      </c>
      <c r="B594" t="s">
        <v>1067</v>
      </c>
      <c r="C594" t="s">
        <v>6</v>
      </c>
      <c r="D594" t="s">
        <v>1068</v>
      </c>
      <c r="E594">
        <v>442707332</v>
      </c>
      <c r="F594" t="s">
        <v>1077</v>
      </c>
      <c r="G594">
        <v>442707185</v>
      </c>
      <c r="H594">
        <v>4000</v>
      </c>
      <c r="I594" s="19">
        <v>2100</v>
      </c>
      <c r="K594">
        <v>1900</v>
      </c>
      <c r="M594" s="39" t="s">
        <v>1066</v>
      </c>
      <c r="N594" s="25">
        <f t="shared" si="40"/>
        <v>28</v>
      </c>
      <c r="O594" s="25" t="str">
        <f t="shared" si="41"/>
        <v>martes</v>
      </c>
      <c r="P594" s="27">
        <f t="shared" si="42"/>
        <v>10</v>
      </c>
      <c r="Q594" s="22" t="str">
        <f t="shared" si="43"/>
        <v>octubre</v>
      </c>
    </row>
    <row r="595" spans="1:19" x14ac:dyDescent="0.25">
      <c r="A595">
        <v>10</v>
      </c>
      <c r="B595" t="s">
        <v>1069</v>
      </c>
      <c r="C595" t="s">
        <v>155</v>
      </c>
      <c r="D595" t="s">
        <v>174</v>
      </c>
      <c r="E595">
        <v>442705338</v>
      </c>
      <c r="H595">
        <v>1550</v>
      </c>
      <c r="I595" s="19">
        <v>1200</v>
      </c>
      <c r="K595">
        <v>350</v>
      </c>
      <c r="M595" s="39" t="s">
        <v>1066</v>
      </c>
      <c r="N595" s="25">
        <f t="shared" si="40"/>
        <v>28</v>
      </c>
      <c r="O595" s="25" t="str">
        <f t="shared" si="41"/>
        <v>martes</v>
      </c>
      <c r="P595" s="27">
        <f t="shared" si="42"/>
        <v>10</v>
      </c>
      <c r="Q595" s="22" t="str">
        <f t="shared" si="43"/>
        <v>octubre</v>
      </c>
    </row>
    <row r="596" spans="1:19" x14ac:dyDescent="0.25">
      <c r="A596">
        <v>10</v>
      </c>
      <c r="B596" t="s">
        <v>409</v>
      </c>
      <c r="C596" t="s">
        <v>155</v>
      </c>
      <c r="D596" t="s">
        <v>201</v>
      </c>
      <c r="E596">
        <v>442703135</v>
      </c>
      <c r="H596">
        <v>1700</v>
      </c>
      <c r="I596" s="19">
        <v>1200</v>
      </c>
      <c r="K596">
        <v>500</v>
      </c>
      <c r="M596" s="39" t="s">
        <v>1066</v>
      </c>
      <c r="N596" s="25">
        <f t="shared" si="40"/>
        <v>28</v>
      </c>
      <c r="O596" s="25" t="str">
        <f t="shared" si="41"/>
        <v>martes</v>
      </c>
      <c r="P596" s="27">
        <f t="shared" si="42"/>
        <v>10</v>
      </c>
      <c r="Q596" s="22" t="str">
        <f t="shared" si="43"/>
        <v>octubre</v>
      </c>
    </row>
    <row r="597" spans="1:19" x14ac:dyDescent="0.25">
      <c r="A597">
        <v>9</v>
      </c>
      <c r="B597" t="s">
        <v>1070</v>
      </c>
      <c r="C597" t="s">
        <v>6</v>
      </c>
      <c r="D597" t="s">
        <v>1078</v>
      </c>
      <c r="E597">
        <v>442701084</v>
      </c>
      <c r="F597" t="s">
        <v>1079</v>
      </c>
      <c r="G597">
        <v>442701617</v>
      </c>
      <c r="H597">
        <v>4260</v>
      </c>
      <c r="I597" s="19">
        <v>2100</v>
      </c>
      <c r="K597">
        <v>2160</v>
      </c>
      <c r="M597" s="39" t="s">
        <v>1066</v>
      </c>
      <c r="N597" s="25">
        <f t="shared" si="40"/>
        <v>28</v>
      </c>
      <c r="O597" s="25" t="str">
        <f t="shared" si="41"/>
        <v>martes</v>
      </c>
      <c r="P597" s="27">
        <f t="shared" si="42"/>
        <v>10</v>
      </c>
      <c r="Q597" s="22" t="str">
        <f t="shared" si="43"/>
        <v>octubre</v>
      </c>
    </row>
    <row r="598" spans="1:19" x14ac:dyDescent="0.25">
      <c r="A598">
        <v>9</v>
      </c>
      <c r="B598" t="s">
        <v>1071</v>
      </c>
      <c r="C598" t="s">
        <v>19</v>
      </c>
      <c r="D598" t="s">
        <v>1080</v>
      </c>
      <c r="E598">
        <v>442699896</v>
      </c>
      <c r="H598">
        <v>2700</v>
      </c>
      <c r="I598" s="19">
        <v>1200</v>
      </c>
      <c r="K598">
        <v>1500</v>
      </c>
      <c r="M598" s="39" t="s">
        <v>1066</v>
      </c>
      <c r="N598" s="25">
        <f t="shared" si="40"/>
        <v>28</v>
      </c>
      <c r="O598" s="25" t="str">
        <f t="shared" si="41"/>
        <v>martes</v>
      </c>
      <c r="P598" s="27">
        <f t="shared" si="42"/>
        <v>10</v>
      </c>
      <c r="Q598" s="22" t="str">
        <f t="shared" si="43"/>
        <v>octubre</v>
      </c>
    </row>
    <row r="599" spans="1:19" x14ac:dyDescent="0.25">
      <c r="A599">
        <v>9</v>
      </c>
      <c r="B599" t="s">
        <v>1072</v>
      </c>
      <c r="C599" t="s">
        <v>6</v>
      </c>
      <c r="D599" t="s">
        <v>1073</v>
      </c>
      <c r="E599">
        <v>442698852</v>
      </c>
      <c r="H599">
        <v>2620</v>
      </c>
      <c r="I599" s="19">
        <v>1200</v>
      </c>
      <c r="K599">
        <v>1420</v>
      </c>
      <c r="M599" s="39" t="s">
        <v>1066</v>
      </c>
      <c r="N599" s="25">
        <f t="shared" si="40"/>
        <v>28</v>
      </c>
      <c r="O599" s="25" t="str">
        <f t="shared" si="41"/>
        <v>martes</v>
      </c>
      <c r="P599" s="27">
        <f t="shared" si="42"/>
        <v>10</v>
      </c>
      <c r="Q599" s="22" t="str">
        <f t="shared" si="43"/>
        <v>octubre</v>
      </c>
    </row>
    <row r="600" spans="1:19" x14ac:dyDescent="0.25">
      <c r="A600">
        <v>9</v>
      </c>
      <c r="B600" t="s">
        <v>1074</v>
      </c>
      <c r="C600" t="s">
        <v>19</v>
      </c>
      <c r="D600" t="s">
        <v>973</v>
      </c>
      <c r="E600">
        <v>442695508</v>
      </c>
      <c r="F600" t="s">
        <v>973</v>
      </c>
      <c r="G600">
        <v>442695851</v>
      </c>
      <c r="H600">
        <v>4850</v>
      </c>
      <c r="I600" s="19">
        <v>3250</v>
      </c>
      <c r="K600">
        <v>1600</v>
      </c>
      <c r="M600" s="39" t="s">
        <v>1066</v>
      </c>
      <c r="N600" s="25">
        <f t="shared" si="40"/>
        <v>28</v>
      </c>
      <c r="O600" s="25" t="str">
        <f t="shared" si="41"/>
        <v>martes</v>
      </c>
      <c r="P600" s="27">
        <f t="shared" si="42"/>
        <v>10</v>
      </c>
      <c r="Q600" s="22" t="str">
        <f t="shared" si="43"/>
        <v>octubre</v>
      </c>
    </row>
    <row r="601" spans="1:19" x14ac:dyDescent="0.25">
      <c r="A601">
        <v>12</v>
      </c>
      <c r="B601" t="s">
        <v>300</v>
      </c>
      <c r="C601" t="s">
        <v>19</v>
      </c>
      <c r="D601" t="s">
        <v>1095</v>
      </c>
      <c r="E601">
        <v>442843398</v>
      </c>
      <c r="H601">
        <v>1850</v>
      </c>
      <c r="I601" s="19">
        <v>1450</v>
      </c>
      <c r="K601">
        <v>400</v>
      </c>
      <c r="M601" s="39" t="s">
        <v>1082</v>
      </c>
      <c r="N601" s="25">
        <f t="shared" si="40"/>
        <v>29</v>
      </c>
      <c r="O601" s="25" t="str">
        <f t="shared" si="41"/>
        <v>miércoles</v>
      </c>
      <c r="P601" s="27">
        <f t="shared" si="42"/>
        <v>10</v>
      </c>
      <c r="Q601" s="22" t="str">
        <f t="shared" si="43"/>
        <v>octubre</v>
      </c>
    </row>
    <row r="602" spans="1:19" x14ac:dyDescent="0.25">
      <c r="A602">
        <v>12</v>
      </c>
      <c r="B602" t="s">
        <v>1096</v>
      </c>
      <c r="C602" t="s">
        <v>6</v>
      </c>
      <c r="D602" t="s">
        <v>1097</v>
      </c>
      <c r="E602">
        <v>442843732</v>
      </c>
      <c r="F602" t="s">
        <v>1099</v>
      </c>
      <c r="G602">
        <v>442844392</v>
      </c>
      <c r="H602">
        <v>2840</v>
      </c>
      <c r="I602" s="19">
        <v>2100</v>
      </c>
      <c r="K602">
        <v>740</v>
      </c>
      <c r="M602" s="39" t="s">
        <v>1082</v>
      </c>
      <c r="N602" s="25">
        <f t="shared" si="40"/>
        <v>29</v>
      </c>
      <c r="O602" s="25" t="str">
        <f t="shared" si="41"/>
        <v>miércoles</v>
      </c>
      <c r="P602" s="27">
        <f t="shared" si="42"/>
        <v>10</v>
      </c>
      <c r="Q602" s="22" t="str">
        <f t="shared" si="43"/>
        <v>octubre</v>
      </c>
      <c r="R602">
        <v>442844392</v>
      </c>
      <c r="S602">
        <v>34652</v>
      </c>
    </row>
    <row r="603" spans="1:19" x14ac:dyDescent="0.25">
      <c r="A603">
        <v>12</v>
      </c>
      <c r="B603" t="s">
        <v>535</v>
      </c>
      <c r="C603" t="s">
        <v>6</v>
      </c>
      <c r="D603" t="s">
        <v>1098</v>
      </c>
      <c r="E603">
        <v>442849140</v>
      </c>
      <c r="H603">
        <v>1880</v>
      </c>
      <c r="I603" s="19">
        <v>1200</v>
      </c>
      <c r="K603">
        <v>680</v>
      </c>
      <c r="M603" s="39" t="s">
        <v>1082</v>
      </c>
      <c r="N603" s="25">
        <f t="shared" si="40"/>
        <v>29</v>
      </c>
      <c r="O603" s="25" t="str">
        <f t="shared" si="41"/>
        <v>miércoles</v>
      </c>
      <c r="P603" s="27">
        <f t="shared" si="42"/>
        <v>10</v>
      </c>
      <c r="Q603" s="22" t="str">
        <f t="shared" si="43"/>
        <v>octubre</v>
      </c>
    </row>
    <row r="604" spans="1:19" x14ac:dyDescent="0.25">
      <c r="A604">
        <v>11</v>
      </c>
      <c r="B604" t="s">
        <v>1090</v>
      </c>
      <c r="C604" t="s">
        <v>19</v>
      </c>
      <c r="D604" t="s">
        <v>1091</v>
      </c>
      <c r="E604">
        <v>442807176</v>
      </c>
      <c r="H604">
        <v>1640</v>
      </c>
      <c r="I604" s="19">
        <v>1200</v>
      </c>
      <c r="K604">
        <v>440</v>
      </c>
      <c r="M604" s="39" t="s">
        <v>1082</v>
      </c>
      <c r="N604" s="25">
        <f t="shared" si="40"/>
        <v>29</v>
      </c>
      <c r="O604" s="25" t="str">
        <f t="shared" si="41"/>
        <v>miércoles</v>
      </c>
      <c r="P604" s="27">
        <f t="shared" si="42"/>
        <v>10</v>
      </c>
      <c r="Q604" s="22" t="str">
        <f t="shared" si="43"/>
        <v>octubre</v>
      </c>
    </row>
    <row r="605" spans="1:19" x14ac:dyDescent="0.25">
      <c r="A605">
        <v>11</v>
      </c>
      <c r="B605" t="s">
        <v>1092</v>
      </c>
      <c r="C605" t="s">
        <v>6</v>
      </c>
      <c r="D605" t="s">
        <v>1100</v>
      </c>
      <c r="E605">
        <v>442825660</v>
      </c>
      <c r="F605" t="s">
        <v>1039</v>
      </c>
      <c r="G605">
        <v>442826040</v>
      </c>
      <c r="H605">
        <v>3900</v>
      </c>
      <c r="I605" s="19">
        <v>2100</v>
      </c>
      <c r="K605">
        <v>1800</v>
      </c>
      <c r="M605" s="39" t="s">
        <v>1082</v>
      </c>
      <c r="N605" s="25">
        <f t="shared" si="40"/>
        <v>29</v>
      </c>
      <c r="O605" s="25" t="str">
        <f t="shared" si="41"/>
        <v>miércoles</v>
      </c>
      <c r="P605" s="27">
        <f t="shared" si="42"/>
        <v>10</v>
      </c>
      <c r="Q605" s="22" t="str">
        <f t="shared" si="43"/>
        <v>octubre</v>
      </c>
    </row>
    <row r="606" spans="1:19" x14ac:dyDescent="0.25">
      <c r="A606">
        <v>11</v>
      </c>
      <c r="B606" t="s">
        <v>1093</v>
      </c>
      <c r="C606" t="s">
        <v>6</v>
      </c>
      <c r="D606" t="s">
        <v>1094</v>
      </c>
      <c r="E606">
        <v>442835218</v>
      </c>
      <c r="H606">
        <v>1300</v>
      </c>
      <c r="I606" s="19">
        <v>1200</v>
      </c>
      <c r="K606">
        <v>100</v>
      </c>
      <c r="M606" s="39" t="s">
        <v>1082</v>
      </c>
      <c r="N606" s="25">
        <f t="shared" si="40"/>
        <v>29</v>
      </c>
      <c r="O606" s="25" t="str">
        <f t="shared" si="41"/>
        <v>miércoles</v>
      </c>
      <c r="P606" s="27">
        <f t="shared" si="42"/>
        <v>10</v>
      </c>
      <c r="Q606" s="22" t="str">
        <f t="shared" si="43"/>
        <v>octubre</v>
      </c>
    </row>
    <row r="607" spans="1:19" x14ac:dyDescent="0.25">
      <c r="A607">
        <v>10</v>
      </c>
      <c r="B607" t="s">
        <v>1088</v>
      </c>
      <c r="C607" t="s">
        <v>19</v>
      </c>
      <c r="D607" t="s">
        <v>1089</v>
      </c>
      <c r="E607">
        <v>442798258</v>
      </c>
      <c r="F607" t="s">
        <v>130</v>
      </c>
      <c r="G607">
        <v>442799500</v>
      </c>
      <c r="H607">
        <v>4500</v>
      </c>
      <c r="I607" s="19">
        <v>2600</v>
      </c>
      <c r="K607">
        <v>1900</v>
      </c>
      <c r="M607" s="39" t="s">
        <v>1082</v>
      </c>
      <c r="N607" s="25">
        <f t="shared" si="40"/>
        <v>29</v>
      </c>
      <c r="O607" s="25" t="str">
        <f t="shared" si="41"/>
        <v>miércoles</v>
      </c>
      <c r="P607" s="27">
        <f t="shared" si="42"/>
        <v>10</v>
      </c>
      <c r="Q607" s="22" t="str">
        <f t="shared" si="43"/>
        <v>octubre</v>
      </c>
    </row>
    <row r="608" spans="1:19" x14ac:dyDescent="0.25">
      <c r="A608">
        <v>7</v>
      </c>
      <c r="B608" t="s">
        <v>886</v>
      </c>
      <c r="C608" t="s">
        <v>6</v>
      </c>
      <c r="D608" t="s">
        <v>1081</v>
      </c>
      <c r="E608">
        <v>442766588</v>
      </c>
      <c r="H608">
        <v>1400</v>
      </c>
      <c r="I608" s="19">
        <v>1200</v>
      </c>
      <c r="K608">
        <v>200</v>
      </c>
      <c r="M608" s="39" t="s">
        <v>1082</v>
      </c>
      <c r="N608" s="25">
        <f t="shared" si="40"/>
        <v>29</v>
      </c>
      <c r="O608" s="25" t="str">
        <f t="shared" si="41"/>
        <v>miércoles</v>
      </c>
      <c r="P608" s="27">
        <f t="shared" si="42"/>
        <v>10</v>
      </c>
      <c r="Q608" s="22" t="str">
        <f t="shared" si="43"/>
        <v>octubre</v>
      </c>
    </row>
    <row r="609" spans="1:19" x14ac:dyDescent="0.25">
      <c r="A609">
        <v>7</v>
      </c>
      <c r="B609" t="s">
        <v>1083</v>
      </c>
      <c r="C609" t="s">
        <v>155</v>
      </c>
      <c r="D609" t="s">
        <v>1101</v>
      </c>
      <c r="E609">
        <v>442769138</v>
      </c>
      <c r="H609">
        <v>1585</v>
      </c>
      <c r="I609" s="19">
        <v>1200</v>
      </c>
      <c r="K609">
        <v>385</v>
      </c>
      <c r="M609" s="39" t="s">
        <v>1082</v>
      </c>
      <c r="N609" s="25">
        <f t="shared" si="40"/>
        <v>29</v>
      </c>
      <c r="O609" s="25" t="str">
        <f t="shared" si="41"/>
        <v>miércoles</v>
      </c>
      <c r="P609" s="27">
        <f t="shared" si="42"/>
        <v>10</v>
      </c>
      <c r="Q609" s="22" t="str">
        <f t="shared" si="43"/>
        <v>octubre</v>
      </c>
    </row>
    <row r="610" spans="1:19" x14ac:dyDescent="0.25">
      <c r="A610">
        <v>7</v>
      </c>
      <c r="B610" t="s">
        <v>1084</v>
      </c>
      <c r="C610" t="s">
        <v>6</v>
      </c>
      <c r="D610" t="s">
        <v>1085</v>
      </c>
      <c r="E610">
        <v>442773487</v>
      </c>
      <c r="H610">
        <v>1460</v>
      </c>
      <c r="I610" s="19">
        <v>1200</v>
      </c>
      <c r="K610">
        <v>260</v>
      </c>
      <c r="M610" s="39" t="s">
        <v>1082</v>
      </c>
      <c r="N610" s="25">
        <f t="shared" si="40"/>
        <v>29</v>
      </c>
      <c r="O610" s="25" t="str">
        <f t="shared" si="41"/>
        <v>miércoles</v>
      </c>
      <c r="P610" s="27">
        <f t="shared" si="42"/>
        <v>10</v>
      </c>
      <c r="Q610" s="22" t="str">
        <f t="shared" si="43"/>
        <v>octubre</v>
      </c>
    </row>
    <row r="611" spans="1:19" x14ac:dyDescent="0.25">
      <c r="A611">
        <v>7</v>
      </c>
      <c r="B611" t="s">
        <v>1086</v>
      </c>
      <c r="C611" t="s">
        <v>6</v>
      </c>
      <c r="D611" t="s">
        <v>1087</v>
      </c>
      <c r="E611">
        <v>442776432</v>
      </c>
      <c r="F611" t="s">
        <v>1102</v>
      </c>
      <c r="G611">
        <v>442776345</v>
      </c>
      <c r="H611">
        <v>3280</v>
      </c>
      <c r="I611" s="19">
        <v>1800</v>
      </c>
      <c r="K611">
        <v>1480</v>
      </c>
      <c r="M611" s="39" t="s">
        <v>1082</v>
      </c>
      <c r="N611" s="25">
        <f t="shared" si="40"/>
        <v>29</v>
      </c>
      <c r="O611" s="25" t="str">
        <f t="shared" si="41"/>
        <v>miércoles</v>
      </c>
      <c r="P611" s="27">
        <f t="shared" si="42"/>
        <v>10</v>
      </c>
      <c r="Q611" s="22" t="str">
        <f t="shared" si="43"/>
        <v>octubre</v>
      </c>
    </row>
    <row r="612" spans="1:19" x14ac:dyDescent="0.25">
      <c r="A612">
        <v>10</v>
      </c>
      <c r="B612" t="s">
        <v>1103</v>
      </c>
      <c r="C612" t="s">
        <v>19</v>
      </c>
      <c r="D612" t="s">
        <v>1114</v>
      </c>
      <c r="E612">
        <v>442904328</v>
      </c>
      <c r="H612">
        <v>4200</v>
      </c>
      <c r="I612" s="19">
        <v>3700</v>
      </c>
      <c r="K612">
        <v>500</v>
      </c>
      <c r="M612" s="39" t="s">
        <v>1104</v>
      </c>
      <c r="N612" s="25">
        <f t="shared" si="40"/>
        <v>30</v>
      </c>
      <c r="O612" s="25" t="str">
        <f t="shared" si="41"/>
        <v>jueves</v>
      </c>
      <c r="P612" s="27">
        <f t="shared" si="42"/>
        <v>10</v>
      </c>
      <c r="Q612" s="22" t="str">
        <f t="shared" si="43"/>
        <v>octubre</v>
      </c>
    </row>
    <row r="613" spans="1:19" x14ac:dyDescent="0.25">
      <c r="A613">
        <v>10</v>
      </c>
      <c r="B613" t="s">
        <v>1105</v>
      </c>
      <c r="C613" t="s">
        <v>19</v>
      </c>
      <c r="D613" t="s">
        <v>1114</v>
      </c>
      <c r="E613">
        <v>442899426</v>
      </c>
      <c r="F613" t="s">
        <v>1115</v>
      </c>
      <c r="G613">
        <v>442895060</v>
      </c>
      <c r="H613">
        <v>7070</v>
      </c>
      <c r="I613" s="19">
        <v>3650</v>
      </c>
      <c r="K613">
        <v>3420</v>
      </c>
      <c r="M613" s="39" t="s">
        <v>1104</v>
      </c>
      <c r="N613" s="25">
        <f t="shared" si="40"/>
        <v>30</v>
      </c>
      <c r="O613" s="25" t="str">
        <f t="shared" si="41"/>
        <v>jueves</v>
      </c>
      <c r="P613" s="27">
        <f t="shared" si="42"/>
        <v>10</v>
      </c>
      <c r="Q613" s="22" t="str">
        <f t="shared" si="43"/>
        <v>octubre</v>
      </c>
    </row>
    <row r="614" spans="1:19" x14ac:dyDescent="0.25">
      <c r="A614">
        <v>9</v>
      </c>
      <c r="B614" t="s">
        <v>1106</v>
      </c>
      <c r="C614" t="s">
        <v>19</v>
      </c>
      <c r="D614" t="s">
        <v>1116</v>
      </c>
      <c r="E614">
        <v>442898236</v>
      </c>
      <c r="H614">
        <v>1200</v>
      </c>
      <c r="I614" s="19">
        <v>1200</v>
      </c>
      <c r="M614" s="39" t="s">
        <v>1104</v>
      </c>
      <c r="N614" s="25">
        <f t="shared" si="40"/>
        <v>30</v>
      </c>
      <c r="O614" s="25" t="str">
        <f t="shared" si="41"/>
        <v>jueves</v>
      </c>
      <c r="P614" s="27">
        <f t="shared" si="42"/>
        <v>10</v>
      </c>
      <c r="Q614" s="22" t="str">
        <f t="shared" si="43"/>
        <v>octubre</v>
      </c>
    </row>
    <row r="615" spans="1:19" x14ac:dyDescent="0.25">
      <c r="A615">
        <v>9</v>
      </c>
      <c r="B615" t="s">
        <v>1107</v>
      </c>
      <c r="C615" t="s">
        <v>6</v>
      </c>
      <c r="D615" t="s">
        <v>1108</v>
      </c>
      <c r="E615">
        <v>442896333</v>
      </c>
      <c r="H615">
        <v>2640</v>
      </c>
      <c r="I615" s="19">
        <v>1200</v>
      </c>
      <c r="K615">
        <v>1440</v>
      </c>
      <c r="M615" s="39" t="s">
        <v>1104</v>
      </c>
      <c r="N615" s="25">
        <f t="shared" si="40"/>
        <v>30</v>
      </c>
      <c r="O615" s="25" t="str">
        <f t="shared" si="41"/>
        <v>jueves</v>
      </c>
      <c r="P615" s="27">
        <f t="shared" si="42"/>
        <v>10</v>
      </c>
      <c r="Q615" s="22" t="str">
        <f t="shared" si="43"/>
        <v>octubre</v>
      </c>
    </row>
    <row r="616" spans="1:19" x14ac:dyDescent="0.25">
      <c r="A616">
        <v>9</v>
      </c>
      <c r="B616" t="s">
        <v>1109</v>
      </c>
      <c r="C616" t="s">
        <v>6</v>
      </c>
      <c r="D616" t="s">
        <v>1110</v>
      </c>
      <c r="E616">
        <v>442894135</v>
      </c>
      <c r="F616" t="s">
        <v>1117</v>
      </c>
      <c r="G616">
        <v>442894228</v>
      </c>
      <c r="H616">
        <v>4045</v>
      </c>
      <c r="I616" s="19">
        <v>2100</v>
      </c>
      <c r="K616">
        <v>1945</v>
      </c>
      <c r="M616" s="39" t="s">
        <v>1104</v>
      </c>
      <c r="N616" s="25">
        <f t="shared" si="40"/>
        <v>30</v>
      </c>
      <c r="O616" s="25" t="str">
        <f t="shared" si="41"/>
        <v>jueves</v>
      </c>
      <c r="P616" s="27">
        <f t="shared" si="42"/>
        <v>10</v>
      </c>
      <c r="Q616" s="22" t="str">
        <f t="shared" si="43"/>
        <v>octubre</v>
      </c>
      <c r="R616">
        <v>442894135</v>
      </c>
      <c r="S616">
        <v>4025</v>
      </c>
    </row>
    <row r="617" spans="1:19" x14ac:dyDescent="0.25">
      <c r="A617">
        <v>9</v>
      </c>
      <c r="B617" t="s">
        <v>1111</v>
      </c>
      <c r="C617" t="s">
        <v>155</v>
      </c>
      <c r="D617" t="s">
        <v>1118</v>
      </c>
      <c r="E617">
        <v>442893024</v>
      </c>
      <c r="H617">
        <v>1445</v>
      </c>
      <c r="I617" s="19">
        <v>1200</v>
      </c>
      <c r="K617">
        <v>245</v>
      </c>
      <c r="M617" s="39" t="s">
        <v>1104</v>
      </c>
      <c r="N617" s="25">
        <f t="shared" si="40"/>
        <v>30</v>
      </c>
      <c r="O617" s="25" t="str">
        <f t="shared" si="41"/>
        <v>jueves</v>
      </c>
      <c r="P617" s="27">
        <f t="shared" si="42"/>
        <v>10</v>
      </c>
      <c r="Q617" s="22" t="str">
        <f t="shared" si="43"/>
        <v>octubre</v>
      </c>
    </row>
    <row r="618" spans="1:19" x14ac:dyDescent="0.25">
      <c r="A618">
        <v>1</v>
      </c>
      <c r="B618" t="s">
        <v>1112</v>
      </c>
      <c r="C618" t="s">
        <v>6</v>
      </c>
      <c r="D618" t="s">
        <v>1113</v>
      </c>
      <c r="E618">
        <v>442852272</v>
      </c>
      <c r="H618">
        <v>2360</v>
      </c>
      <c r="I618" s="19">
        <v>1200</v>
      </c>
      <c r="K618">
        <v>1160</v>
      </c>
      <c r="M618" s="39" t="s">
        <v>1104</v>
      </c>
      <c r="N618" s="25">
        <f t="shared" si="40"/>
        <v>30</v>
      </c>
      <c r="O618" s="25" t="str">
        <f t="shared" si="41"/>
        <v>jueves</v>
      </c>
      <c r="P618" s="27">
        <f t="shared" si="42"/>
        <v>10</v>
      </c>
      <c r="Q618" s="22" t="str">
        <f t="shared" si="43"/>
        <v>octubre</v>
      </c>
    </row>
    <row r="619" spans="1:19" x14ac:dyDescent="0.25">
      <c r="A619">
        <v>11</v>
      </c>
      <c r="B619" t="s">
        <v>1119</v>
      </c>
      <c r="C619" t="s">
        <v>6</v>
      </c>
      <c r="D619" t="s">
        <v>243</v>
      </c>
      <c r="E619">
        <v>444316215</v>
      </c>
      <c r="H619">
        <v>2540</v>
      </c>
      <c r="I619" s="19">
        <v>1200</v>
      </c>
      <c r="K619">
        <v>1340</v>
      </c>
      <c r="M619" s="39" t="s">
        <v>1120</v>
      </c>
      <c r="N619" s="25">
        <f t="shared" si="40"/>
        <v>10</v>
      </c>
      <c r="O619" s="25" t="str">
        <f t="shared" si="41"/>
        <v>lunes</v>
      </c>
      <c r="P619" s="27">
        <f t="shared" si="42"/>
        <v>11</v>
      </c>
      <c r="Q619" s="22" t="str">
        <f t="shared" si="43"/>
        <v>noviembre</v>
      </c>
    </row>
    <row r="620" spans="1:19" x14ac:dyDescent="0.25">
      <c r="A620">
        <v>11</v>
      </c>
      <c r="B620" t="s">
        <v>1121</v>
      </c>
      <c r="C620" t="s">
        <v>6</v>
      </c>
      <c r="D620" t="s">
        <v>1133</v>
      </c>
      <c r="E620">
        <v>444314210</v>
      </c>
      <c r="H620">
        <v>1660</v>
      </c>
      <c r="I620" s="19">
        <v>1200</v>
      </c>
      <c r="K620">
        <v>460</v>
      </c>
      <c r="M620" s="39" t="s">
        <v>1120</v>
      </c>
      <c r="N620" s="25">
        <f t="shared" si="40"/>
        <v>10</v>
      </c>
      <c r="O620" s="25" t="str">
        <f t="shared" si="41"/>
        <v>lunes</v>
      </c>
      <c r="P620" s="27">
        <f t="shared" si="42"/>
        <v>11</v>
      </c>
      <c r="Q620" s="22" t="str">
        <f t="shared" si="43"/>
        <v>noviembre</v>
      </c>
    </row>
    <row r="621" spans="1:19" x14ac:dyDescent="0.25">
      <c r="A621">
        <v>11</v>
      </c>
      <c r="B621" t="s">
        <v>1122</v>
      </c>
      <c r="C621" t="s">
        <v>6</v>
      </c>
      <c r="D621" t="s">
        <v>1123</v>
      </c>
      <c r="E621">
        <v>444310488</v>
      </c>
      <c r="H621">
        <v>2020</v>
      </c>
      <c r="I621" s="19">
        <v>1200</v>
      </c>
      <c r="K621">
        <v>820</v>
      </c>
      <c r="M621" s="39" t="s">
        <v>1120</v>
      </c>
      <c r="N621" s="25">
        <f t="shared" si="40"/>
        <v>10</v>
      </c>
      <c r="O621" s="25" t="str">
        <f t="shared" si="41"/>
        <v>lunes</v>
      </c>
      <c r="P621" s="27">
        <f t="shared" si="42"/>
        <v>11</v>
      </c>
      <c r="Q621" s="22" t="str">
        <f t="shared" si="43"/>
        <v>noviembre</v>
      </c>
    </row>
    <row r="622" spans="1:19" x14ac:dyDescent="0.25">
      <c r="A622">
        <v>11</v>
      </c>
      <c r="B622" t="s">
        <v>1124</v>
      </c>
      <c r="C622" t="s">
        <v>6</v>
      </c>
      <c r="D622" t="s">
        <v>1134</v>
      </c>
      <c r="E622">
        <v>444301496</v>
      </c>
      <c r="H622">
        <v>3310</v>
      </c>
      <c r="I622" s="19">
        <v>1450</v>
      </c>
      <c r="K622">
        <v>1860</v>
      </c>
      <c r="M622" s="39" t="s">
        <v>1120</v>
      </c>
      <c r="N622" s="25">
        <f t="shared" si="40"/>
        <v>10</v>
      </c>
      <c r="O622" s="25" t="str">
        <f t="shared" si="41"/>
        <v>lunes</v>
      </c>
      <c r="P622" s="27">
        <f t="shared" si="42"/>
        <v>11</v>
      </c>
      <c r="Q622" s="22" t="str">
        <f t="shared" si="43"/>
        <v>noviembre</v>
      </c>
    </row>
    <row r="623" spans="1:19" x14ac:dyDescent="0.25">
      <c r="A623">
        <v>11</v>
      </c>
      <c r="B623" t="s">
        <v>1125</v>
      </c>
      <c r="C623" t="s">
        <v>6</v>
      </c>
      <c r="D623" t="s">
        <v>1135</v>
      </c>
      <c r="E623">
        <v>444294167</v>
      </c>
      <c r="H623">
        <v>3830</v>
      </c>
      <c r="I623" s="19">
        <v>1250</v>
      </c>
      <c r="K623">
        <v>2580</v>
      </c>
      <c r="M623" s="39" t="s">
        <v>1120</v>
      </c>
      <c r="N623" s="25">
        <f t="shared" si="40"/>
        <v>10</v>
      </c>
      <c r="O623" s="25" t="str">
        <f t="shared" si="41"/>
        <v>lunes</v>
      </c>
      <c r="P623" s="27">
        <f t="shared" si="42"/>
        <v>11</v>
      </c>
      <c r="Q623" s="22" t="str">
        <f t="shared" si="43"/>
        <v>noviembre</v>
      </c>
    </row>
    <row r="624" spans="1:19" x14ac:dyDescent="0.25">
      <c r="A624">
        <v>11</v>
      </c>
      <c r="B624" t="s">
        <v>1126</v>
      </c>
      <c r="C624" t="s">
        <v>6</v>
      </c>
      <c r="D624" t="s">
        <v>1136</v>
      </c>
      <c r="E624">
        <v>444288902</v>
      </c>
      <c r="H624">
        <v>2740</v>
      </c>
      <c r="I624" s="19">
        <v>1200</v>
      </c>
      <c r="K624">
        <v>1540</v>
      </c>
      <c r="M624" s="39" t="s">
        <v>1120</v>
      </c>
      <c r="N624" s="25">
        <f t="shared" si="40"/>
        <v>10</v>
      </c>
      <c r="O624" s="25" t="str">
        <f t="shared" si="41"/>
        <v>lunes</v>
      </c>
      <c r="P624" s="27">
        <f t="shared" si="42"/>
        <v>11</v>
      </c>
      <c r="Q624" s="22" t="str">
        <f t="shared" si="43"/>
        <v>noviembre</v>
      </c>
    </row>
    <row r="625" spans="1:19" x14ac:dyDescent="0.25">
      <c r="A625">
        <v>4</v>
      </c>
      <c r="B625" t="s">
        <v>1127</v>
      </c>
      <c r="C625" t="s">
        <v>6</v>
      </c>
      <c r="D625" t="s">
        <v>281</v>
      </c>
      <c r="E625">
        <v>444222494</v>
      </c>
      <c r="H625">
        <v>2860</v>
      </c>
      <c r="I625" s="19">
        <v>1200</v>
      </c>
      <c r="K625">
        <v>1660</v>
      </c>
      <c r="M625" s="39" t="s">
        <v>1120</v>
      </c>
      <c r="N625" s="25">
        <f t="shared" si="40"/>
        <v>10</v>
      </c>
      <c r="O625" s="25" t="str">
        <f t="shared" si="41"/>
        <v>lunes</v>
      </c>
      <c r="P625" s="27">
        <f t="shared" si="42"/>
        <v>11</v>
      </c>
      <c r="Q625" s="22" t="str">
        <f t="shared" si="43"/>
        <v>noviembre</v>
      </c>
    </row>
    <row r="626" spans="1:19" x14ac:dyDescent="0.25">
      <c r="A626">
        <v>1</v>
      </c>
      <c r="B626" t="s">
        <v>1128</v>
      </c>
      <c r="C626" t="s">
        <v>19</v>
      </c>
      <c r="D626" t="s">
        <v>1137</v>
      </c>
      <c r="E626">
        <v>444221629</v>
      </c>
      <c r="H626">
        <v>2060</v>
      </c>
      <c r="I626" s="19">
        <v>1600</v>
      </c>
      <c r="K626">
        <v>400</v>
      </c>
      <c r="M626" s="39" t="s">
        <v>1120</v>
      </c>
      <c r="N626" s="25">
        <f t="shared" si="40"/>
        <v>10</v>
      </c>
      <c r="O626" s="25" t="str">
        <f t="shared" si="41"/>
        <v>lunes</v>
      </c>
      <c r="P626" s="27">
        <f t="shared" si="42"/>
        <v>11</v>
      </c>
      <c r="Q626" s="22" t="str">
        <f t="shared" si="43"/>
        <v>noviembre</v>
      </c>
    </row>
    <row r="627" spans="1:19" x14ac:dyDescent="0.25">
      <c r="A627">
        <v>1</v>
      </c>
      <c r="B627" t="s">
        <v>1129</v>
      </c>
      <c r="C627" t="s">
        <v>6</v>
      </c>
      <c r="D627" t="s">
        <v>1138</v>
      </c>
      <c r="E627">
        <v>444221111</v>
      </c>
      <c r="H627">
        <v>2000</v>
      </c>
      <c r="I627" s="19">
        <v>1200</v>
      </c>
      <c r="K627">
        <v>740</v>
      </c>
      <c r="M627" s="39" t="s">
        <v>1120</v>
      </c>
      <c r="N627" s="25">
        <f t="shared" si="40"/>
        <v>10</v>
      </c>
      <c r="O627" s="25" t="str">
        <f t="shared" si="41"/>
        <v>lunes</v>
      </c>
      <c r="P627" s="27">
        <f t="shared" si="42"/>
        <v>11</v>
      </c>
      <c r="Q627" s="22" t="str">
        <f t="shared" si="43"/>
        <v>noviembre</v>
      </c>
    </row>
    <row r="628" spans="1:19" x14ac:dyDescent="0.25">
      <c r="A628">
        <v>1</v>
      </c>
      <c r="B628" t="s">
        <v>1130</v>
      </c>
      <c r="C628" t="s">
        <v>6</v>
      </c>
      <c r="D628" t="s">
        <v>694</v>
      </c>
      <c r="E628">
        <v>444220621</v>
      </c>
      <c r="H628">
        <v>2680</v>
      </c>
      <c r="I628" s="19">
        <v>1200</v>
      </c>
      <c r="K628">
        <v>1420</v>
      </c>
      <c r="M628" s="39" t="s">
        <v>1120</v>
      </c>
      <c r="N628" s="25">
        <f t="shared" si="40"/>
        <v>10</v>
      </c>
      <c r="O628" s="25" t="str">
        <f t="shared" si="41"/>
        <v>lunes</v>
      </c>
      <c r="P628" s="27">
        <f t="shared" si="42"/>
        <v>11</v>
      </c>
      <c r="Q628" s="22" t="str">
        <f t="shared" si="43"/>
        <v>noviembre</v>
      </c>
    </row>
    <row r="629" spans="1:19" x14ac:dyDescent="0.25">
      <c r="A629">
        <v>1</v>
      </c>
      <c r="B629" t="s">
        <v>1131</v>
      </c>
      <c r="C629" t="s">
        <v>6</v>
      </c>
      <c r="D629" t="s">
        <v>281</v>
      </c>
      <c r="E629">
        <v>444218430</v>
      </c>
      <c r="H629">
        <v>2260</v>
      </c>
      <c r="I629" s="19">
        <v>1200</v>
      </c>
      <c r="K629">
        <v>1000</v>
      </c>
      <c r="M629" s="39" t="s">
        <v>1120</v>
      </c>
      <c r="N629" s="25">
        <f t="shared" si="40"/>
        <v>10</v>
      </c>
      <c r="O629" s="25" t="str">
        <f t="shared" si="41"/>
        <v>lunes</v>
      </c>
      <c r="P629" s="27">
        <f t="shared" si="42"/>
        <v>11</v>
      </c>
      <c r="Q629" s="22" t="str">
        <f t="shared" si="43"/>
        <v>noviembre</v>
      </c>
    </row>
    <row r="630" spans="1:19" x14ac:dyDescent="0.25">
      <c r="A630">
        <v>1</v>
      </c>
      <c r="B630" t="s">
        <v>1132</v>
      </c>
      <c r="C630" t="s">
        <v>6</v>
      </c>
      <c r="D630" t="s">
        <v>184</v>
      </c>
      <c r="E630">
        <v>444217471</v>
      </c>
      <c r="H630">
        <v>2520</v>
      </c>
      <c r="I630" s="19">
        <v>1200</v>
      </c>
      <c r="K630">
        <v>1260</v>
      </c>
      <c r="M630" s="39" t="s">
        <v>1120</v>
      </c>
      <c r="N630" s="25">
        <f t="shared" si="40"/>
        <v>10</v>
      </c>
      <c r="O630" s="25" t="str">
        <f t="shared" si="41"/>
        <v>lunes</v>
      </c>
      <c r="P630" s="27">
        <f t="shared" si="42"/>
        <v>11</v>
      </c>
      <c r="Q630" s="22" t="str">
        <f t="shared" si="43"/>
        <v>noviembre</v>
      </c>
    </row>
    <row r="631" spans="1:19" x14ac:dyDescent="0.25">
      <c r="A631">
        <v>8</v>
      </c>
      <c r="B631" t="s">
        <v>1139</v>
      </c>
      <c r="C631" t="s">
        <v>19</v>
      </c>
      <c r="D631" t="s">
        <v>1155</v>
      </c>
      <c r="E631">
        <v>444347764</v>
      </c>
      <c r="H631">
        <v>2170</v>
      </c>
      <c r="I631" s="19">
        <v>1450</v>
      </c>
      <c r="K631">
        <v>720</v>
      </c>
      <c r="M631" s="39" t="s">
        <v>1140</v>
      </c>
      <c r="N631" s="25">
        <f t="shared" si="40"/>
        <v>11</v>
      </c>
      <c r="O631" s="25" t="str">
        <f t="shared" si="41"/>
        <v>martes</v>
      </c>
      <c r="P631" s="27">
        <f t="shared" si="42"/>
        <v>11</v>
      </c>
      <c r="Q631" s="22" t="str">
        <f t="shared" si="43"/>
        <v>noviembre</v>
      </c>
    </row>
    <row r="632" spans="1:19" x14ac:dyDescent="0.25">
      <c r="A632">
        <v>7</v>
      </c>
      <c r="B632" t="s">
        <v>1141</v>
      </c>
      <c r="C632" t="s">
        <v>6</v>
      </c>
      <c r="D632" t="s">
        <v>1156</v>
      </c>
      <c r="E632">
        <v>444344065</v>
      </c>
      <c r="H632">
        <v>2240</v>
      </c>
      <c r="I632" s="19">
        <v>1200</v>
      </c>
      <c r="K632">
        <v>1040</v>
      </c>
      <c r="M632" s="39" t="s">
        <v>1140</v>
      </c>
      <c r="N632" s="25">
        <f t="shared" si="40"/>
        <v>11</v>
      </c>
      <c r="O632" s="25" t="str">
        <f t="shared" si="41"/>
        <v>martes</v>
      </c>
      <c r="P632" s="27">
        <f t="shared" si="42"/>
        <v>11</v>
      </c>
      <c r="Q632" s="22" t="str">
        <f t="shared" si="43"/>
        <v>noviembre</v>
      </c>
    </row>
    <row r="633" spans="1:19" x14ac:dyDescent="0.25">
      <c r="A633">
        <v>7</v>
      </c>
      <c r="B633" t="s">
        <v>1142</v>
      </c>
      <c r="C633" t="s">
        <v>6</v>
      </c>
      <c r="D633" t="s">
        <v>1157</v>
      </c>
      <c r="E633">
        <v>444341524</v>
      </c>
      <c r="H633">
        <v>2340</v>
      </c>
      <c r="I633" s="19">
        <v>1200</v>
      </c>
      <c r="K633">
        <v>1140</v>
      </c>
      <c r="M633" s="39" t="s">
        <v>1140</v>
      </c>
      <c r="N633" s="25">
        <f t="shared" si="40"/>
        <v>11</v>
      </c>
      <c r="O633" s="25" t="str">
        <f t="shared" si="41"/>
        <v>martes</v>
      </c>
      <c r="P633" s="27">
        <f t="shared" si="42"/>
        <v>11</v>
      </c>
      <c r="Q633" s="22" t="str">
        <f t="shared" si="43"/>
        <v>noviembre</v>
      </c>
    </row>
    <row r="634" spans="1:19" x14ac:dyDescent="0.25">
      <c r="A634">
        <v>7</v>
      </c>
      <c r="B634" t="s">
        <v>1143</v>
      </c>
      <c r="C634" t="s">
        <v>6</v>
      </c>
      <c r="D634" t="s">
        <v>1158</v>
      </c>
      <c r="E634">
        <v>444339348</v>
      </c>
      <c r="H634">
        <v>1200</v>
      </c>
      <c r="I634" s="19">
        <v>1200</v>
      </c>
      <c r="M634" s="39" t="s">
        <v>1140</v>
      </c>
      <c r="N634" s="25">
        <f t="shared" si="40"/>
        <v>11</v>
      </c>
      <c r="O634" s="25" t="str">
        <f t="shared" si="41"/>
        <v>martes</v>
      </c>
      <c r="P634" s="27">
        <f t="shared" si="42"/>
        <v>11</v>
      </c>
      <c r="Q634" s="22" t="str">
        <f t="shared" si="43"/>
        <v>noviembre</v>
      </c>
    </row>
    <row r="635" spans="1:19" x14ac:dyDescent="0.25">
      <c r="A635">
        <v>7</v>
      </c>
      <c r="B635" t="s">
        <v>1144</v>
      </c>
      <c r="C635" t="s">
        <v>6</v>
      </c>
      <c r="D635" t="s">
        <v>1159</v>
      </c>
      <c r="E635">
        <v>444335287</v>
      </c>
      <c r="H635">
        <v>2400</v>
      </c>
      <c r="I635" s="19">
        <v>1200</v>
      </c>
      <c r="K635">
        <v>1200</v>
      </c>
      <c r="M635" s="39" t="s">
        <v>1140</v>
      </c>
      <c r="N635" s="25">
        <f t="shared" si="40"/>
        <v>11</v>
      </c>
      <c r="O635" s="25" t="str">
        <f t="shared" si="41"/>
        <v>martes</v>
      </c>
      <c r="P635" s="27">
        <f t="shared" si="42"/>
        <v>11</v>
      </c>
      <c r="Q635" s="22" t="str">
        <f t="shared" si="43"/>
        <v>noviembre</v>
      </c>
    </row>
    <row r="636" spans="1:19" x14ac:dyDescent="0.25">
      <c r="A636">
        <v>7</v>
      </c>
      <c r="B636" t="s">
        <v>103</v>
      </c>
      <c r="C636" t="s">
        <v>6</v>
      </c>
      <c r="D636" t="s">
        <v>1160</v>
      </c>
      <c r="E636">
        <v>444332998</v>
      </c>
      <c r="H636">
        <v>2400</v>
      </c>
      <c r="I636" s="19">
        <v>1200</v>
      </c>
      <c r="K636">
        <v>1200</v>
      </c>
      <c r="M636" s="39" t="s">
        <v>1140</v>
      </c>
      <c r="N636" s="25">
        <f t="shared" si="40"/>
        <v>11</v>
      </c>
      <c r="O636" s="25" t="str">
        <f t="shared" si="41"/>
        <v>martes</v>
      </c>
      <c r="P636" s="27">
        <f t="shared" si="42"/>
        <v>11</v>
      </c>
      <c r="Q636" s="22" t="str">
        <f t="shared" si="43"/>
        <v>noviembre</v>
      </c>
    </row>
    <row r="637" spans="1:19" x14ac:dyDescent="0.25">
      <c r="A637">
        <v>6</v>
      </c>
      <c r="B637" t="s">
        <v>1145</v>
      </c>
      <c r="C637" t="s">
        <v>6</v>
      </c>
      <c r="D637" t="s">
        <v>1161</v>
      </c>
      <c r="E637">
        <v>444329766</v>
      </c>
      <c r="F637" t="s">
        <v>683</v>
      </c>
      <c r="G637">
        <v>444329804</v>
      </c>
      <c r="H637">
        <v>2100</v>
      </c>
      <c r="I637" s="19">
        <v>2100</v>
      </c>
      <c r="M637" s="39" t="s">
        <v>1140</v>
      </c>
      <c r="N637" s="25">
        <f t="shared" si="40"/>
        <v>11</v>
      </c>
      <c r="O637" s="25" t="str">
        <f t="shared" si="41"/>
        <v>martes</v>
      </c>
      <c r="P637" s="27">
        <f t="shared" si="42"/>
        <v>11</v>
      </c>
      <c r="Q637" s="22" t="str">
        <f t="shared" si="43"/>
        <v>noviembre</v>
      </c>
      <c r="R637">
        <v>444329766</v>
      </c>
      <c r="S637">
        <v>10206</v>
      </c>
    </row>
    <row r="638" spans="1:19" x14ac:dyDescent="0.25">
      <c r="A638">
        <v>6</v>
      </c>
      <c r="B638" t="s">
        <v>1146</v>
      </c>
      <c r="C638" t="s">
        <v>6</v>
      </c>
      <c r="D638" t="s">
        <v>1162</v>
      </c>
      <c r="E638">
        <v>444327467</v>
      </c>
      <c r="H638">
        <v>2240</v>
      </c>
      <c r="I638" s="19">
        <v>1200</v>
      </c>
      <c r="K638">
        <v>1040</v>
      </c>
      <c r="M638" s="39" t="s">
        <v>1140</v>
      </c>
      <c r="N638" s="25">
        <f t="shared" si="40"/>
        <v>11</v>
      </c>
      <c r="O638" s="25" t="str">
        <f t="shared" si="41"/>
        <v>martes</v>
      </c>
      <c r="P638" s="27">
        <f t="shared" si="42"/>
        <v>11</v>
      </c>
      <c r="Q638" s="22" t="str">
        <f t="shared" si="43"/>
        <v>noviembre</v>
      </c>
    </row>
    <row r="639" spans="1:19" x14ac:dyDescent="0.25">
      <c r="A639">
        <v>6</v>
      </c>
      <c r="B639" t="s">
        <v>1147</v>
      </c>
      <c r="C639" t="s">
        <v>6</v>
      </c>
      <c r="D639" t="s">
        <v>1163</v>
      </c>
      <c r="E639">
        <v>444326337</v>
      </c>
      <c r="H639">
        <v>1400</v>
      </c>
      <c r="I639" s="19">
        <v>1400</v>
      </c>
      <c r="M639" s="39" t="s">
        <v>1140</v>
      </c>
      <c r="N639" s="25">
        <f t="shared" si="40"/>
        <v>11</v>
      </c>
      <c r="O639" s="25" t="str">
        <f t="shared" si="41"/>
        <v>martes</v>
      </c>
      <c r="P639" s="27">
        <f t="shared" si="42"/>
        <v>11</v>
      </c>
      <c r="Q639" s="22" t="str">
        <f t="shared" si="43"/>
        <v>noviembre</v>
      </c>
      <c r="R639">
        <v>444326337</v>
      </c>
      <c r="S639">
        <v>30968</v>
      </c>
    </row>
    <row r="640" spans="1:19" x14ac:dyDescent="0.25">
      <c r="A640">
        <v>5</v>
      </c>
      <c r="B640" t="s">
        <v>1148</v>
      </c>
      <c r="C640" t="s">
        <v>6</v>
      </c>
      <c r="D640" t="s">
        <v>1164</v>
      </c>
      <c r="E640">
        <v>444325238</v>
      </c>
      <c r="H640">
        <v>1201</v>
      </c>
      <c r="I640" s="19">
        <v>1200</v>
      </c>
      <c r="K640">
        <v>1</v>
      </c>
      <c r="M640" s="39" t="s">
        <v>1140</v>
      </c>
      <c r="N640" s="25">
        <f t="shared" si="40"/>
        <v>11</v>
      </c>
      <c r="O640" s="25" t="str">
        <f t="shared" si="41"/>
        <v>martes</v>
      </c>
      <c r="P640" s="27">
        <f t="shared" si="42"/>
        <v>11</v>
      </c>
      <c r="Q640" s="22" t="str">
        <f t="shared" si="43"/>
        <v>noviembre</v>
      </c>
      <c r="R640">
        <v>444325238</v>
      </c>
      <c r="S640">
        <v>10873</v>
      </c>
    </row>
    <row r="641" spans="1:17" x14ac:dyDescent="0.25">
      <c r="A641">
        <v>5</v>
      </c>
      <c r="B641" t="s">
        <v>1149</v>
      </c>
      <c r="C641" t="s">
        <v>6</v>
      </c>
      <c r="D641" t="s">
        <v>1150</v>
      </c>
      <c r="E641">
        <v>444324774</v>
      </c>
      <c r="H641">
        <v>1800</v>
      </c>
      <c r="I641" s="19">
        <v>1200</v>
      </c>
      <c r="K641">
        <v>600</v>
      </c>
      <c r="M641" s="39" t="s">
        <v>1140</v>
      </c>
      <c r="N641" s="25">
        <f t="shared" si="40"/>
        <v>11</v>
      </c>
      <c r="O641" s="25" t="str">
        <f t="shared" si="41"/>
        <v>martes</v>
      </c>
      <c r="P641" s="27">
        <f t="shared" si="42"/>
        <v>11</v>
      </c>
      <c r="Q641" s="22" t="str">
        <f t="shared" si="43"/>
        <v>noviembre</v>
      </c>
    </row>
    <row r="642" spans="1:17" x14ac:dyDescent="0.25">
      <c r="A642">
        <v>5</v>
      </c>
      <c r="B642" t="s">
        <v>1151</v>
      </c>
      <c r="C642" t="s">
        <v>6</v>
      </c>
      <c r="D642" t="s">
        <v>1165</v>
      </c>
      <c r="E642">
        <v>444324064</v>
      </c>
      <c r="H642">
        <v>3040</v>
      </c>
      <c r="I642" s="19">
        <v>1200</v>
      </c>
      <c r="K642">
        <v>1840</v>
      </c>
      <c r="M642" s="39" t="s">
        <v>1140</v>
      </c>
      <c r="N642" s="25">
        <f t="shared" ref="N642:N705" si="44">DAY(M642)</f>
        <v>11</v>
      </c>
      <c r="O642" s="25" t="str">
        <f t="shared" ref="O642:O705" si="45">TEXT(M642,"DDDD")</f>
        <v>martes</v>
      </c>
      <c r="P642" s="27">
        <f t="shared" si="42"/>
        <v>11</v>
      </c>
      <c r="Q642" s="22" t="str">
        <f t="shared" si="43"/>
        <v>noviembre</v>
      </c>
    </row>
    <row r="643" spans="1:17" x14ac:dyDescent="0.25">
      <c r="A643">
        <v>5</v>
      </c>
      <c r="B643" t="s">
        <v>1152</v>
      </c>
      <c r="C643" t="s">
        <v>6</v>
      </c>
      <c r="D643" t="s">
        <v>1166</v>
      </c>
      <c r="E643">
        <v>444326673</v>
      </c>
      <c r="H643">
        <v>2600</v>
      </c>
      <c r="I643" s="19">
        <v>1200</v>
      </c>
      <c r="K643">
        <v>1400</v>
      </c>
      <c r="M643" s="39" t="s">
        <v>1140</v>
      </c>
      <c r="N643" s="25">
        <f t="shared" si="44"/>
        <v>11</v>
      </c>
      <c r="O643" s="25" t="str">
        <f t="shared" si="45"/>
        <v>martes</v>
      </c>
      <c r="P643" s="27">
        <f t="shared" si="42"/>
        <v>11</v>
      </c>
      <c r="Q643" s="22" t="str">
        <f t="shared" si="43"/>
        <v>noviembre</v>
      </c>
    </row>
    <row r="644" spans="1:17" x14ac:dyDescent="0.25">
      <c r="A644">
        <v>4</v>
      </c>
      <c r="B644" t="s">
        <v>1153</v>
      </c>
      <c r="C644" t="s">
        <v>6</v>
      </c>
      <c r="D644" t="s">
        <v>1167</v>
      </c>
      <c r="E644">
        <v>444323347</v>
      </c>
      <c r="H644">
        <v>1850</v>
      </c>
      <c r="I644" s="19">
        <v>1350</v>
      </c>
      <c r="K644">
        <v>500</v>
      </c>
      <c r="M644" s="39" t="s">
        <v>1140</v>
      </c>
      <c r="N644" s="25">
        <f t="shared" si="44"/>
        <v>11</v>
      </c>
      <c r="O644" s="25" t="str">
        <f t="shared" si="45"/>
        <v>martes</v>
      </c>
      <c r="P644" s="27">
        <f t="shared" si="42"/>
        <v>11</v>
      </c>
      <c r="Q644" s="22" t="str">
        <f t="shared" si="43"/>
        <v>noviembre</v>
      </c>
    </row>
    <row r="645" spans="1:17" x14ac:dyDescent="0.25">
      <c r="A645">
        <v>4</v>
      </c>
      <c r="B645" t="s">
        <v>1154</v>
      </c>
      <c r="C645" t="s">
        <v>19</v>
      </c>
      <c r="D645" t="s">
        <v>1168</v>
      </c>
      <c r="E645">
        <v>444323201</v>
      </c>
      <c r="H645">
        <v>2580</v>
      </c>
      <c r="I645" s="19">
        <v>1500</v>
      </c>
      <c r="K645">
        <v>1080</v>
      </c>
      <c r="M645" s="39" t="s">
        <v>1140</v>
      </c>
      <c r="N645" s="25">
        <f t="shared" si="44"/>
        <v>11</v>
      </c>
      <c r="O645" s="25" t="str">
        <f t="shared" si="45"/>
        <v>martes</v>
      </c>
      <c r="P645" s="27">
        <f t="shared" si="42"/>
        <v>11</v>
      </c>
      <c r="Q645" s="22" t="str">
        <f t="shared" si="43"/>
        <v>noviembre</v>
      </c>
    </row>
    <row r="646" spans="1:17" x14ac:dyDescent="0.25">
      <c r="A646">
        <v>11</v>
      </c>
      <c r="B646" t="s">
        <v>1237</v>
      </c>
      <c r="C646" t="s">
        <v>19</v>
      </c>
      <c r="D646" t="s">
        <v>891</v>
      </c>
      <c r="E646">
        <v>444498370</v>
      </c>
      <c r="F646" t="s">
        <v>891</v>
      </c>
      <c r="G646">
        <v>444500505</v>
      </c>
      <c r="H646">
        <v>3940</v>
      </c>
      <c r="I646">
        <v>2700</v>
      </c>
      <c r="J646">
        <v>0</v>
      </c>
      <c r="K646">
        <v>1240</v>
      </c>
      <c r="M646" s="39" t="s">
        <v>1238</v>
      </c>
      <c r="N646" s="25">
        <f t="shared" si="44"/>
        <v>12</v>
      </c>
      <c r="O646" s="25" t="str">
        <f t="shared" si="45"/>
        <v>miércoles</v>
      </c>
      <c r="P646" s="27">
        <f t="shared" si="42"/>
        <v>11</v>
      </c>
      <c r="Q646" s="22" t="str">
        <f t="shared" si="43"/>
        <v>noviembre</v>
      </c>
    </row>
    <row r="647" spans="1:17" x14ac:dyDescent="0.25">
      <c r="A647">
        <v>10</v>
      </c>
      <c r="B647" t="s">
        <v>1197</v>
      </c>
      <c r="C647" t="s">
        <v>19</v>
      </c>
      <c r="D647" t="s">
        <v>891</v>
      </c>
      <c r="E647">
        <v>444489802</v>
      </c>
      <c r="F647" t="s">
        <v>891</v>
      </c>
      <c r="G647">
        <v>444493135</v>
      </c>
      <c r="H647">
        <v>4660</v>
      </c>
      <c r="I647">
        <v>2800</v>
      </c>
      <c r="J647">
        <v>0</v>
      </c>
      <c r="K647">
        <v>1860</v>
      </c>
      <c r="M647" s="39" t="s">
        <v>1238</v>
      </c>
      <c r="N647" s="25">
        <f t="shared" si="44"/>
        <v>12</v>
      </c>
      <c r="O647" s="25" t="str">
        <f t="shared" si="45"/>
        <v>miércoles</v>
      </c>
      <c r="P647" s="27">
        <f t="shared" si="42"/>
        <v>11</v>
      </c>
      <c r="Q647" s="22" t="str">
        <f t="shared" si="43"/>
        <v>noviembre</v>
      </c>
    </row>
    <row r="648" spans="1:17" x14ac:dyDescent="0.25">
      <c r="A648">
        <v>9</v>
      </c>
      <c r="B648" t="s">
        <v>1239</v>
      </c>
      <c r="C648" t="s">
        <v>19</v>
      </c>
      <c r="D648" t="s">
        <v>354</v>
      </c>
      <c r="E648">
        <v>444481967</v>
      </c>
      <c r="H648">
        <v>2840</v>
      </c>
      <c r="I648">
        <v>1200</v>
      </c>
      <c r="J648">
        <v>0</v>
      </c>
      <c r="K648">
        <v>1640</v>
      </c>
      <c r="M648" s="39" t="s">
        <v>1238</v>
      </c>
      <c r="N648" s="25">
        <f t="shared" si="44"/>
        <v>12</v>
      </c>
      <c r="O648" s="25" t="str">
        <f t="shared" si="45"/>
        <v>miércoles</v>
      </c>
      <c r="P648" s="27">
        <f t="shared" si="42"/>
        <v>11</v>
      </c>
      <c r="Q648" s="22" t="str">
        <f t="shared" si="43"/>
        <v>noviembre</v>
      </c>
    </row>
    <row r="649" spans="1:17" x14ac:dyDescent="0.25">
      <c r="A649">
        <v>9</v>
      </c>
      <c r="B649" t="s">
        <v>1240</v>
      </c>
      <c r="C649" t="s">
        <v>19</v>
      </c>
      <c r="D649" t="s">
        <v>1241</v>
      </c>
      <c r="E649">
        <v>444477425</v>
      </c>
      <c r="H649">
        <v>3380</v>
      </c>
      <c r="I649">
        <v>1300</v>
      </c>
      <c r="J649">
        <v>0</v>
      </c>
      <c r="K649">
        <v>2080</v>
      </c>
      <c r="M649" s="39" t="s">
        <v>1238</v>
      </c>
      <c r="N649" s="25">
        <f t="shared" si="44"/>
        <v>12</v>
      </c>
      <c r="O649" s="25" t="str">
        <f t="shared" si="45"/>
        <v>miércoles</v>
      </c>
      <c r="P649" s="27">
        <f t="shared" si="42"/>
        <v>11</v>
      </c>
      <c r="Q649" s="22" t="str">
        <f t="shared" si="43"/>
        <v>noviembre</v>
      </c>
    </row>
    <row r="650" spans="1:17" x14ac:dyDescent="0.25">
      <c r="A650">
        <v>8</v>
      </c>
      <c r="B650" t="s">
        <v>1242</v>
      </c>
      <c r="C650" t="s">
        <v>155</v>
      </c>
      <c r="D650" t="s">
        <v>174</v>
      </c>
      <c r="E650">
        <v>444475089</v>
      </c>
      <c r="H650">
        <v>1550</v>
      </c>
      <c r="I650">
        <v>1200</v>
      </c>
      <c r="J650">
        <v>0</v>
      </c>
      <c r="K650">
        <v>350</v>
      </c>
      <c r="M650" s="39" t="s">
        <v>1238</v>
      </c>
      <c r="N650" s="25">
        <f t="shared" si="44"/>
        <v>12</v>
      </c>
      <c r="O650" s="25" t="str">
        <f t="shared" si="45"/>
        <v>miércoles</v>
      </c>
      <c r="P650" s="27">
        <f t="shared" si="42"/>
        <v>11</v>
      </c>
      <c r="Q650" s="22" t="str">
        <f t="shared" si="43"/>
        <v>noviembre</v>
      </c>
    </row>
    <row r="651" spans="1:17" x14ac:dyDescent="0.25">
      <c r="A651">
        <v>8</v>
      </c>
      <c r="B651" t="s">
        <v>1243</v>
      </c>
      <c r="C651" t="s">
        <v>19</v>
      </c>
      <c r="D651" t="s">
        <v>230</v>
      </c>
      <c r="E651">
        <v>444468892</v>
      </c>
      <c r="H651">
        <v>1200</v>
      </c>
      <c r="I651">
        <v>1200</v>
      </c>
      <c r="J651">
        <v>0</v>
      </c>
      <c r="K651">
        <v>0</v>
      </c>
      <c r="M651" s="39" t="s">
        <v>1238</v>
      </c>
      <c r="N651" s="25">
        <f t="shared" si="44"/>
        <v>12</v>
      </c>
      <c r="O651" s="25" t="str">
        <f t="shared" si="45"/>
        <v>miércoles</v>
      </c>
      <c r="P651" s="27">
        <f t="shared" si="42"/>
        <v>11</v>
      </c>
      <c r="Q651" s="22" t="str">
        <f t="shared" si="43"/>
        <v>noviembre</v>
      </c>
    </row>
    <row r="652" spans="1:17" x14ac:dyDescent="0.25">
      <c r="A652">
        <v>7</v>
      </c>
      <c r="B652" t="s">
        <v>1244</v>
      </c>
      <c r="C652" t="s">
        <v>19</v>
      </c>
      <c r="D652" t="s">
        <v>973</v>
      </c>
      <c r="E652">
        <v>444463998</v>
      </c>
      <c r="F652" t="s">
        <v>973</v>
      </c>
      <c r="G652">
        <v>444459011</v>
      </c>
      <c r="H652">
        <v>2620</v>
      </c>
      <c r="I652">
        <v>1800</v>
      </c>
      <c r="J652">
        <v>0</v>
      </c>
      <c r="K652">
        <v>820</v>
      </c>
      <c r="M652" s="39" t="s">
        <v>1238</v>
      </c>
      <c r="N652" s="25">
        <f t="shared" si="44"/>
        <v>12</v>
      </c>
      <c r="O652" s="25" t="str">
        <f t="shared" si="45"/>
        <v>miércoles</v>
      </c>
      <c r="P652" s="27">
        <f t="shared" si="42"/>
        <v>11</v>
      </c>
      <c r="Q652" s="22" t="str">
        <f t="shared" si="43"/>
        <v>noviembre</v>
      </c>
    </row>
    <row r="653" spans="1:17" x14ac:dyDescent="0.25">
      <c r="A653">
        <v>7</v>
      </c>
      <c r="B653" t="s">
        <v>59</v>
      </c>
      <c r="C653" t="s">
        <v>19</v>
      </c>
      <c r="D653" t="s">
        <v>1245</v>
      </c>
      <c r="E653">
        <v>444461948</v>
      </c>
      <c r="H653">
        <v>1200</v>
      </c>
      <c r="I653">
        <v>1200</v>
      </c>
      <c r="J653">
        <v>0</v>
      </c>
      <c r="K653">
        <v>0</v>
      </c>
      <c r="M653" s="39" t="s">
        <v>1238</v>
      </c>
      <c r="N653" s="25">
        <f t="shared" si="44"/>
        <v>12</v>
      </c>
      <c r="O653" s="25" t="str">
        <f t="shared" si="45"/>
        <v>miércoles</v>
      </c>
      <c r="P653" s="27">
        <f t="shared" ref="P653:P716" si="46">MONTH(M653)</f>
        <v>11</v>
      </c>
      <c r="Q653" s="22" t="str">
        <f t="shared" ref="Q653:Q716" si="47">TEXT(M653,"MMMM")</f>
        <v>noviembre</v>
      </c>
    </row>
    <row r="654" spans="1:17" x14ac:dyDescent="0.25">
      <c r="A654">
        <v>12</v>
      </c>
      <c r="B654" t="s">
        <v>1276</v>
      </c>
      <c r="C654" t="s">
        <v>6</v>
      </c>
      <c r="D654" t="s">
        <v>1277</v>
      </c>
      <c r="E654">
        <v>444627356</v>
      </c>
      <c r="F654" t="s">
        <v>870</v>
      </c>
      <c r="G654">
        <v>444627455</v>
      </c>
      <c r="H654">
        <v>2840</v>
      </c>
      <c r="I654">
        <v>2100</v>
      </c>
      <c r="J654">
        <v>0</v>
      </c>
      <c r="K654">
        <v>740</v>
      </c>
      <c r="M654" s="39" t="s">
        <v>1278</v>
      </c>
      <c r="N654" s="25">
        <f t="shared" si="44"/>
        <v>13</v>
      </c>
      <c r="O654" s="25" t="str">
        <f t="shared" si="45"/>
        <v>jueves</v>
      </c>
      <c r="P654" s="27">
        <f t="shared" si="46"/>
        <v>11</v>
      </c>
      <c r="Q654" s="22" t="str">
        <f t="shared" si="47"/>
        <v>noviembre</v>
      </c>
    </row>
    <row r="655" spans="1:17" x14ac:dyDescent="0.25">
      <c r="A655">
        <v>12</v>
      </c>
      <c r="B655" t="s">
        <v>1250</v>
      </c>
      <c r="C655" t="s">
        <v>6</v>
      </c>
      <c r="D655" t="s">
        <v>184</v>
      </c>
      <c r="E655">
        <v>444620954</v>
      </c>
      <c r="F655" t="s">
        <v>184</v>
      </c>
      <c r="G655">
        <v>444622306</v>
      </c>
      <c r="H655">
        <v>1800</v>
      </c>
      <c r="I655">
        <v>1800</v>
      </c>
      <c r="J655">
        <v>0</v>
      </c>
      <c r="K655">
        <v>0</v>
      </c>
      <c r="M655" s="39" t="s">
        <v>1278</v>
      </c>
      <c r="N655" s="25">
        <f t="shared" si="44"/>
        <v>13</v>
      </c>
      <c r="O655" s="25" t="str">
        <f t="shared" si="45"/>
        <v>jueves</v>
      </c>
      <c r="P655" s="27">
        <f t="shared" si="46"/>
        <v>11</v>
      </c>
      <c r="Q655" s="22" t="str">
        <f t="shared" si="47"/>
        <v>noviembre</v>
      </c>
    </row>
    <row r="656" spans="1:17" x14ac:dyDescent="0.25">
      <c r="A656">
        <v>12</v>
      </c>
      <c r="B656" t="s">
        <v>1279</v>
      </c>
      <c r="C656" t="s">
        <v>6</v>
      </c>
      <c r="D656" t="s">
        <v>1280</v>
      </c>
      <c r="E656">
        <v>444615926</v>
      </c>
      <c r="H656">
        <v>1600</v>
      </c>
      <c r="I656">
        <v>1600</v>
      </c>
      <c r="J656">
        <v>0</v>
      </c>
      <c r="K656">
        <v>0</v>
      </c>
      <c r="M656" s="39" t="s">
        <v>1278</v>
      </c>
      <c r="N656" s="25">
        <f t="shared" si="44"/>
        <v>13</v>
      </c>
      <c r="O656" s="25" t="str">
        <f t="shared" si="45"/>
        <v>jueves</v>
      </c>
      <c r="P656" s="27">
        <f t="shared" si="46"/>
        <v>11</v>
      </c>
      <c r="Q656" s="22" t="str">
        <f t="shared" si="47"/>
        <v>noviembre</v>
      </c>
    </row>
    <row r="657" spans="1:19" x14ac:dyDescent="0.25">
      <c r="A657">
        <v>11</v>
      </c>
      <c r="B657" t="s">
        <v>1198</v>
      </c>
      <c r="C657" t="s">
        <v>6</v>
      </c>
      <c r="D657" t="s">
        <v>545</v>
      </c>
      <c r="E657">
        <v>444609818</v>
      </c>
      <c r="H657">
        <v>1700</v>
      </c>
      <c r="I657">
        <v>1200</v>
      </c>
      <c r="J657">
        <v>0</v>
      </c>
      <c r="K657">
        <v>500</v>
      </c>
      <c r="M657" s="39" t="s">
        <v>1278</v>
      </c>
      <c r="N657" s="25">
        <f t="shared" si="44"/>
        <v>13</v>
      </c>
      <c r="O657" s="25" t="str">
        <f t="shared" si="45"/>
        <v>jueves</v>
      </c>
      <c r="P657" s="27">
        <f t="shared" si="46"/>
        <v>11</v>
      </c>
      <c r="Q657" s="22" t="str">
        <f t="shared" si="47"/>
        <v>noviembre</v>
      </c>
    </row>
    <row r="658" spans="1:19" x14ac:dyDescent="0.25">
      <c r="A658">
        <v>11</v>
      </c>
      <c r="B658" t="s">
        <v>1281</v>
      </c>
      <c r="C658" t="s">
        <v>6</v>
      </c>
      <c r="D658" t="s">
        <v>166</v>
      </c>
      <c r="E658">
        <v>444600529</v>
      </c>
      <c r="H658">
        <v>2300</v>
      </c>
      <c r="I658">
        <v>1200</v>
      </c>
      <c r="J658">
        <v>0</v>
      </c>
      <c r="K658">
        <v>1100</v>
      </c>
      <c r="M658" s="39" t="s">
        <v>1278</v>
      </c>
      <c r="N658" s="25">
        <f t="shared" si="44"/>
        <v>13</v>
      </c>
      <c r="O658" s="25" t="str">
        <f t="shared" si="45"/>
        <v>jueves</v>
      </c>
      <c r="P658" s="27">
        <f t="shared" si="46"/>
        <v>11</v>
      </c>
      <c r="Q658" s="22" t="str">
        <f t="shared" si="47"/>
        <v>noviembre</v>
      </c>
    </row>
    <row r="659" spans="1:19" x14ac:dyDescent="0.25">
      <c r="A659">
        <v>11</v>
      </c>
      <c r="B659" t="s">
        <v>1282</v>
      </c>
      <c r="C659" t="s">
        <v>6</v>
      </c>
      <c r="D659" t="s">
        <v>1283</v>
      </c>
      <c r="E659">
        <v>444590619</v>
      </c>
      <c r="H659">
        <v>3770</v>
      </c>
      <c r="I659">
        <v>1200</v>
      </c>
      <c r="J659">
        <v>0</v>
      </c>
      <c r="K659">
        <v>2570</v>
      </c>
      <c r="M659" s="39" t="s">
        <v>1278</v>
      </c>
      <c r="N659" s="25">
        <f t="shared" si="44"/>
        <v>13</v>
      </c>
      <c r="O659" s="25" t="str">
        <f t="shared" si="45"/>
        <v>jueves</v>
      </c>
      <c r="P659" s="27">
        <f t="shared" si="46"/>
        <v>11</v>
      </c>
      <c r="Q659" s="22" t="str">
        <f t="shared" si="47"/>
        <v>noviembre</v>
      </c>
    </row>
    <row r="660" spans="1:19" x14ac:dyDescent="0.25">
      <c r="A660">
        <v>11</v>
      </c>
      <c r="B660" t="s">
        <v>1284</v>
      </c>
      <c r="C660" t="s">
        <v>6</v>
      </c>
      <c r="D660" t="s">
        <v>317</v>
      </c>
      <c r="E660">
        <v>444589958</v>
      </c>
      <c r="H660">
        <v>2860</v>
      </c>
      <c r="I660">
        <v>1200</v>
      </c>
      <c r="J660">
        <v>0</v>
      </c>
      <c r="K660">
        <v>1660</v>
      </c>
      <c r="M660" s="39" t="s">
        <v>1278</v>
      </c>
      <c r="N660" s="25">
        <f t="shared" si="44"/>
        <v>13</v>
      </c>
      <c r="O660" s="25" t="str">
        <f t="shared" si="45"/>
        <v>jueves</v>
      </c>
      <c r="P660" s="27">
        <f t="shared" si="46"/>
        <v>11</v>
      </c>
      <c r="Q660" s="22" t="str">
        <f t="shared" si="47"/>
        <v>noviembre</v>
      </c>
    </row>
    <row r="661" spans="1:19" x14ac:dyDescent="0.25">
      <c r="A661">
        <v>10</v>
      </c>
      <c r="B661" t="s">
        <v>1285</v>
      </c>
      <c r="C661" t="s">
        <v>19</v>
      </c>
      <c r="D661" t="s">
        <v>1286</v>
      </c>
      <c r="E661">
        <v>444585112</v>
      </c>
      <c r="H661">
        <v>3260</v>
      </c>
      <c r="I661">
        <v>1800</v>
      </c>
      <c r="J661">
        <v>0</v>
      </c>
      <c r="K661">
        <v>1460</v>
      </c>
      <c r="M661" s="39" t="s">
        <v>1278</v>
      </c>
      <c r="N661" s="25">
        <f t="shared" si="44"/>
        <v>13</v>
      </c>
      <c r="O661" s="25" t="str">
        <f t="shared" si="45"/>
        <v>jueves</v>
      </c>
      <c r="P661" s="27">
        <f t="shared" si="46"/>
        <v>11</v>
      </c>
      <c r="Q661" s="22" t="str">
        <f t="shared" si="47"/>
        <v>noviembre</v>
      </c>
      <c r="R661" t="s">
        <v>1286</v>
      </c>
      <c r="S661">
        <v>30891.5</v>
      </c>
    </row>
    <row r="662" spans="1:19" x14ac:dyDescent="0.25">
      <c r="A662">
        <v>8</v>
      </c>
      <c r="B662" t="s">
        <v>1287</v>
      </c>
      <c r="C662" t="s">
        <v>19</v>
      </c>
      <c r="D662" t="s">
        <v>1288</v>
      </c>
      <c r="E662">
        <v>444565805</v>
      </c>
      <c r="H662">
        <v>2990</v>
      </c>
      <c r="I662">
        <v>1950</v>
      </c>
      <c r="J662">
        <v>0</v>
      </c>
      <c r="K662">
        <v>1040</v>
      </c>
      <c r="M662" s="39" t="s">
        <v>1278</v>
      </c>
      <c r="N662" s="25">
        <f t="shared" si="44"/>
        <v>13</v>
      </c>
      <c r="O662" s="25" t="str">
        <f t="shared" si="45"/>
        <v>jueves</v>
      </c>
      <c r="P662" s="27">
        <f t="shared" si="46"/>
        <v>11</v>
      </c>
      <c r="Q662" s="22" t="str">
        <f t="shared" si="47"/>
        <v>noviembre</v>
      </c>
    </row>
    <row r="663" spans="1:19" x14ac:dyDescent="0.25">
      <c r="A663">
        <v>8</v>
      </c>
      <c r="B663" t="s">
        <v>1289</v>
      </c>
      <c r="C663" t="s">
        <v>6</v>
      </c>
      <c r="D663" t="s">
        <v>1290</v>
      </c>
      <c r="E663">
        <v>444561253</v>
      </c>
      <c r="H663">
        <v>2940</v>
      </c>
      <c r="I663">
        <v>1200</v>
      </c>
      <c r="J663">
        <v>0</v>
      </c>
      <c r="K663">
        <v>1740</v>
      </c>
      <c r="M663" s="39" t="s">
        <v>1278</v>
      </c>
      <c r="N663" s="25">
        <f t="shared" si="44"/>
        <v>13</v>
      </c>
      <c r="O663" s="25" t="str">
        <f t="shared" si="45"/>
        <v>jueves</v>
      </c>
      <c r="P663" s="27">
        <f t="shared" si="46"/>
        <v>11</v>
      </c>
      <c r="Q663" s="22" t="str">
        <f t="shared" si="47"/>
        <v>noviembre</v>
      </c>
    </row>
    <row r="664" spans="1:19" x14ac:dyDescent="0.25">
      <c r="A664">
        <v>8</v>
      </c>
      <c r="B664" t="s">
        <v>1291</v>
      </c>
      <c r="C664" t="s">
        <v>6</v>
      </c>
      <c r="D664" t="s">
        <v>1265</v>
      </c>
      <c r="E664">
        <v>444557047</v>
      </c>
      <c r="H664">
        <v>2380</v>
      </c>
      <c r="I664">
        <v>1200</v>
      </c>
      <c r="J664">
        <v>0</v>
      </c>
      <c r="K664">
        <v>1180</v>
      </c>
      <c r="M664" s="39" t="s">
        <v>1278</v>
      </c>
      <c r="N664" s="25">
        <f t="shared" si="44"/>
        <v>13</v>
      </c>
      <c r="O664" s="25" t="str">
        <f t="shared" si="45"/>
        <v>jueves</v>
      </c>
      <c r="P664" s="27">
        <f t="shared" si="46"/>
        <v>11</v>
      </c>
      <c r="Q664" s="22" t="str">
        <f t="shared" si="47"/>
        <v>noviembre</v>
      </c>
    </row>
    <row r="665" spans="1:19" x14ac:dyDescent="0.25">
      <c r="A665">
        <v>8</v>
      </c>
      <c r="B665" t="s">
        <v>1292</v>
      </c>
      <c r="C665" t="s">
        <v>6</v>
      </c>
      <c r="D665" t="s">
        <v>1293</v>
      </c>
      <c r="E665">
        <v>444552901</v>
      </c>
      <c r="H665">
        <v>3000</v>
      </c>
      <c r="I665">
        <v>1200</v>
      </c>
      <c r="J665">
        <v>0</v>
      </c>
      <c r="K665">
        <v>1800</v>
      </c>
      <c r="M665" s="39" t="s">
        <v>1278</v>
      </c>
      <c r="N665" s="25">
        <f t="shared" si="44"/>
        <v>13</v>
      </c>
      <c r="O665" s="25" t="str">
        <f t="shared" si="45"/>
        <v>jueves</v>
      </c>
      <c r="P665" s="27">
        <f t="shared" si="46"/>
        <v>11</v>
      </c>
      <c r="Q665" s="22" t="str">
        <f t="shared" si="47"/>
        <v>noviembre</v>
      </c>
    </row>
    <row r="666" spans="1:19" x14ac:dyDescent="0.25">
      <c r="A666">
        <v>8</v>
      </c>
      <c r="B666" t="s">
        <v>1294</v>
      </c>
      <c r="C666" t="s">
        <v>6</v>
      </c>
      <c r="D666" t="s">
        <v>1268</v>
      </c>
      <c r="E666">
        <v>444548670</v>
      </c>
      <c r="H666">
        <v>2880</v>
      </c>
      <c r="I666">
        <v>1600</v>
      </c>
      <c r="J666">
        <v>0</v>
      </c>
      <c r="K666">
        <v>1280</v>
      </c>
      <c r="M666" s="39" t="s">
        <v>1278</v>
      </c>
      <c r="N666" s="25">
        <f t="shared" si="44"/>
        <v>13</v>
      </c>
      <c r="O666" s="25" t="str">
        <f t="shared" si="45"/>
        <v>jueves</v>
      </c>
      <c r="P666" s="27">
        <f t="shared" si="46"/>
        <v>11</v>
      </c>
      <c r="Q666" s="22" t="str">
        <f t="shared" si="47"/>
        <v>noviembre</v>
      </c>
    </row>
    <row r="667" spans="1:19" x14ac:dyDescent="0.25">
      <c r="A667">
        <v>7</v>
      </c>
      <c r="B667" t="s">
        <v>1295</v>
      </c>
      <c r="C667" t="s">
        <v>6</v>
      </c>
      <c r="D667" t="s">
        <v>1157</v>
      </c>
      <c r="E667">
        <v>444546464</v>
      </c>
      <c r="H667">
        <v>2660</v>
      </c>
      <c r="I667">
        <v>1200</v>
      </c>
      <c r="J667">
        <v>0</v>
      </c>
      <c r="K667">
        <v>1460</v>
      </c>
      <c r="M667" s="39" t="s">
        <v>1278</v>
      </c>
      <c r="N667" s="25">
        <f t="shared" si="44"/>
        <v>13</v>
      </c>
      <c r="O667" s="25" t="str">
        <f t="shared" si="45"/>
        <v>jueves</v>
      </c>
      <c r="P667" s="27">
        <f t="shared" si="46"/>
        <v>11</v>
      </c>
      <c r="Q667" s="22" t="str">
        <f t="shared" si="47"/>
        <v>noviembre</v>
      </c>
      <c r="R667" t="s">
        <v>1157</v>
      </c>
      <c r="S667">
        <v>15212</v>
      </c>
    </row>
    <row r="668" spans="1:19" x14ac:dyDescent="0.25">
      <c r="A668">
        <v>7</v>
      </c>
      <c r="B668" t="s">
        <v>1296</v>
      </c>
      <c r="C668" t="s">
        <v>6</v>
      </c>
      <c r="D668" t="s">
        <v>1297</v>
      </c>
      <c r="E668">
        <v>444544876</v>
      </c>
      <c r="H668">
        <v>2680</v>
      </c>
      <c r="I668">
        <v>1200</v>
      </c>
      <c r="J668">
        <v>0</v>
      </c>
      <c r="K668">
        <v>1480</v>
      </c>
      <c r="M668" s="39" t="s">
        <v>1278</v>
      </c>
      <c r="N668" s="25">
        <f t="shared" si="44"/>
        <v>13</v>
      </c>
      <c r="O668" s="25" t="str">
        <f t="shared" si="45"/>
        <v>jueves</v>
      </c>
      <c r="P668" s="27">
        <f t="shared" si="46"/>
        <v>11</v>
      </c>
      <c r="Q668" s="22" t="str">
        <f t="shared" si="47"/>
        <v>noviembre</v>
      </c>
    </row>
    <row r="669" spans="1:19" x14ac:dyDescent="0.25">
      <c r="A669">
        <v>7</v>
      </c>
      <c r="B669" t="s">
        <v>1298</v>
      </c>
      <c r="C669" t="s">
        <v>6</v>
      </c>
      <c r="D669" t="s">
        <v>1299</v>
      </c>
      <c r="E669">
        <v>444543203</v>
      </c>
      <c r="H669">
        <v>2300</v>
      </c>
      <c r="I669">
        <v>1200</v>
      </c>
      <c r="J669">
        <v>0</v>
      </c>
      <c r="K669">
        <v>1100</v>
      </c>
      <c r="M669" s="39" t="s">
        <v>1278</v>
      </c>
      <c r="N669" s="25">
        <f t="shared" si="44"/>
        <v>13</v>
      </c>
      <c r="O669" s="25" t="str">
        <f t="shared" si="45"/>
        <v>jueves</v>
      </c>
      <c r="P669" s="27">
        <f t="shared" si="46"/>
        <v>11</v>
      </c>
      <c r="Q669" s="22" t="str">
        <f t="shared" si="47"/>
        <v>noviembre</v>
      </c>
    </row>
    <row r="670" spans="1:19" x14ac:dyDescent="0.25">
      <c r="A670">
        <v>6</v>
      </c>
      <c r="B670" t="s">
        <v>1300</v>
      </c>
      <c r="C670" t="s">
        <v>6</v>
      </c>
      <c r="D670" t="s">
        <v>1265</v>
      </c>
      <c r="E670">
        <v>444539004</v>
      </c>
      <c r="H670">
        <v>1200</v>
      </c>
      <c r="I670">
        <v>1200</v>
      </c>
      <c r="J670">
        <v>0</v>
      </c>
      <c r="K670">
        <v>0</v>
      </c>
      <c r="M670" s="39" t="s">
        <v>1278</v>
      </c>
      <c r="N670" s="25">
        <f t="shared" si="44"/>
        <v>13</v>
      </c>
      <c r="O670" s="25" t="str">
        <f t="shared" si="45"/>
        <v>jueves</v>
      </c>
      <c r="P670" s="27">
        <f t="shared" si="46"/>
        <v>11</v>
      </c>
      <c r="Q670" s="22" t="str">
        <f t="shared" si="47"/>
        <v>noviembre</v>
      </c>
    </row>
    <row r="671" spans="1:19" x14ac:dyDescent="0.25">
      <c r="A671">
        <v>5</v>
      </c>
      <c r="B671" t="s">
        <v>86</v>
      </c>
      <c r="C671" t="s">
        <v>19</v>
      </c>
      <c r="D671" t="s">
        <v>891</v>
      </c>
      <c r="E671">
        <v>444533209</v>
      </c>
      <c r="H671">
        <v>2300</v>
      </c>
      <c r="I671">
        <v>2300</v>
      </c>
      <c r="J671">
        <v>0</v>
      </c>
      <c r="K671">
        <v>0</v>
      </c>
      <c r="M671" s="39" t="s">
        <v>1278</v>
      </c>
      <c r="N671" s="25">
        <f t="shared" si="44"/>
        <v>13</v>
      </c>
      <c r="O671" s="25" t="str">
        <f t="shared" si="45"/>
        <v>jueves</v>
      </c>
      <c r="P671" s="27">
        <f t="shared" si="46"/>
        <v>11</v>
      </c>
      <c r="Q671" s="22" t="str">
        <f t="shared" si="47"/>
        <v>noviembre</v>
      </c>
    </row>
    <row r="672" spans="1:19" x14ac:dyDescent="0.25">
      <c r="A672">
        <v>5</v>
      </c>
      <c r="B672" t="s">
        <v>1301</v>
      </c>
      <c r="C672" t="s">
        <v>19</v>
      </c>
      <c r="D672" t="s">
        <v>1302</v>
      </c>
      <c r="E672">
        <v>444530915</v>
      </c>
      <c r="F672" t="s">
        <v>1302</v>
      </c>
      <c r="G672">
        <v>444531012</v>
      </c>
      <c r="H672">
        <v>3710</v>
      </c>
      <c r="I672">
        <v>1800</v>
      </c>
      <c r="J672">
        <v>0</v>
      </c>
      <c r="K672">
        <v>1910</v>
      </c>
      <c r="M672" s="39" t="s">
        <v>1278</v>
      </c>
      <c r="N672" s="25">
        <f t="shared" si="44"/>
        <v>13</v>
      </c>
      <c r="O672" s="25" t="str">
        <f t="shared" si="45"/>
        <v>jueves</v>
      </c>
      <c r="P672" s="27">
        <f t="shared" si="46"/>
        <v>11</v>
      </c>
      <c r="Q672" s="22" t="str">
        <f t="shared" si="47"/>
        <v>noviembre</v>
      </c>
    </row>
    <row r="673" spans="1:19" x14ac:dyDescent="0.25">
      <c r="A673">
        <v>4</v>
      </c>
      <c r="B673" t="s">
        <v>1303</v>
      </c>
      <c r="C673" t="s">
        <v>6</v>
      </c>
      <c r="D673" t="s">
        <v>655</v>
      </c>
      <c r="E673">
        <v>444531601</v>
      </c>
      <c r="H673">
        <v>2500</v>
      </c>
      <c r="I673">
        <v>1200</v>
      </c>
      <c r="J673">
        <v>0</v>
      </c>
      <c r="K673">
        <v>1300</v>
      </c>
      <c r="M673" s="39" t="s">
        <v>1278</v>
      </c>
      <c r="N673" s="25">
        <f t="shared" si="44"/>
        <v>13</v>
      </c>
      <c r="O673" s="25" t="str">
        <f t="shared" si="45"/>
        <v>jueves</v>
      </c>
      <c r="P673" s="27">
        <f t="shared" si="46"/>
        <v>11</v>
      </c>
      <c r="Q673" s="22" t="str">
        <f t="shared" si="47"/>
        <v>noviembre</v>
      </c>
    </row>
    <row r="674" spans="1:19" x14ac:dyDescent="0.25">
      <c r="A674">
        <v>4</v>
      </c>
      <c r="B674" t="s">
        <v>1304</v>
      </c>
      <c r="C674" t="s">
        <v>19</v>
      </c>
      <c r="D674" t="s">
        <v>206</v>
      </c>
      <c r="E674">
        <v>444531249</v>
      </c>
      <c r="H674">
        <v>1900</v>
      </c>
      <c r="I674">
        <v>1900</v>
      </c>
      <c r="J674">
        <v>0</v>
      </c>
      <c r="K674">
        <v>0</v>
      </c>
      <c r="M674" s="39" t="s">
        <v>1278</v>
      </c>
      <c r="N674" s="25">
        <f t="shared" si="44"/>
        <v>13</v>
      </c>
      <c r="O674" s="25" t="str">
        <f t="shared" si="45"/>
        <v>jueves</v>
      </c>
      <c r="P674" s="27">
        <f t="shared" si="46"/>
        <v>11</v>
      </c>
      <c r="Q674" s="22" t="str">
        <f t="shared" si="47"/>
        <v>noviembre</v>
      </c>
    </row>
    <row r="675" spans="1:19" x14ac:dyDescent="0.25">
      <c r="A675">
        <v>4</v>
      </c>
      <c r="B675" t="s">
        <v>1169</v>
      </c>
      <c r="C675" t="s">
        <v>19</v>
      </c>
      <c r="D675" t="s">
        <v>206</v>
      </c>
      <c r="E675">
        <v>445065400</v>
      </c>
      <c r="H675">
        <v>1450</v>
      </c>
      <c r="I675">
        <v>1450</v>
      </c>
      <c r="J675">
        <v>0</v>
      </c>
      <c r="K675">
        <v>0</v>
      </c>
      <c r="M675" s="39">
        <v>45978</v>
      </c>
      <c r="N675" s="25">
        <f t="shared" si="44"/>
        <v>17</v>
      </c>
      <c r="O675" s="25" t="str">
        <f t="shared" si="45"/>
        <v>lunes</v>
      </c>
      <c r="P675" s="27">
        <f t="shared" si="46"/>
        <v>11</v>
      </c>
      <c r="Q675" s="22" t="str">
        <f t="shared" si="47"/>
        <v>noviembre</v>
      </c>
    </row>
    <row r="676" spans="1:19" x14ac:dyDescent="0.25">
      <c r="A676">
        <v>5</v>
      </c>
      <c r="B676" t="s">
        <v>1170</v>
      </c>
      <c r="C676" t="s">
        <v>19</v>
      </c>
      <c r="D676" t="s">
        <v>1171</v>
      </c>
      <c r="E676">
        <v>445065174</v>
      </c>
      <c r="H676">
        <v>2600</v>
      </c>
      <c r="I676">
        <v>2600</v>
      </c>
      <c r="J676">
        <v>0</v>
      </c>
      <c r="K676">
        <v>0</v>
      </c>
      <c r="M676" s="39">
        <v>45978</v>
      </c>
      <c r="N676" s="25">
        <f t="shared" si="44"/>
        <v>17</v>
      </c>
      <c r="O676" s="25" t="str">
        <f t="shared" si="45"/>
        <v>lunes</v>
      </c>
      <c r="P676" s="27">
        <f t="shared" si="46"/>
        <v>11</v>
      </c>
      <c r="Q676" s="22" t="str">
        <f t="shared" si="47"/>
        <v>noviembre</v>
      </c>
    </row>
    <row r="677" spans="1:19" x14ac:dyDescent="0.25">
      <c r="A677">
        <v>5</v>
      </c>
      <c r="B677" t="s">
        <v>1172</v>
      </c>
      <c r="C677" t="s">
        <v>6</v>
      </c>
      <c r="D677" t="s">
        <v>1173</v>
      </c>
      <c r="E677">
        <v>445066434</v>
      </c>
      <c r="H677">
        <v>1480</v>
      </c>
      <c r="I677">
        <v>1200</v>
      </c>
      <c r="J677">
        <v>0</v>
      </c>
      <c r="K677">
        <v>280</v>
      </c>
      <c r="M677" s="39">
        <v>45978</v>
      </c>
      <c r="N677" s="25">
        <f t="shared" si="44"/>
        <v>17</v>
      </c>
      <c r="O677" s="25" t="str">
        <f t="shared" si="45"/>
        <v>lunes</v>
      </c>
      <c r="P677" s="27">
        <f t="shared" si="46"/>
        <v>11</v>
      </c>
      <c r="Q677" s="22" t="str">
        <f t="shared" si="47"/>
        <v>noviembre</v>
      </c>
    </row>
    <row r="678" spans="1:19" x14ac:dyDescent="0.25">
      <c r="A678">
        <v>5</v>
      </c>
      <c r="B678" t="s">
        <v>1174</v>
      </c>
      <c r="C678" t="s">
        <v>6</v>
      </c>
      <c r="D678" t="s">
        <v>1175</v>
      </c>
      <c r="E678">
        <v>445066775</v>
      </c>
      <c r="H678">
        <v>1660</v>
      </c>
      <c r="I678">
        <v>1200</v>
      </c>
      <c r="J678">
        <v>0</v>
      </c>
      <c r="K678">
        <v>460</v>
      </c>
      <c r="M678" s="39">
        <v>45978</v>
      </c>
      <c r="N678" s="25">
        <f t="shared" si="44"/>
        <v>17</v>
      </c>
      <c r="O678" s="25" t="str">
        <f t="shared" si="45"/>
        <v>lunes</v>
      </c>
      <c r="P678" s="27">
        <f t="shared" si="46"/>
        <v>11</v>
      </c>
      <c r="Q678" s="22" t="str">
        <f t="shared" si="47"/>
        <v>noviembre</v>
      </c>
      <c r="S678">
        <v>7890</v>
      </c>
    </row>
    <row r="679" spans="1:19" x14ac:dyDescent="0.25">
      <c r="A679">
        <v>5</v>
      </c>
      <c r="B679" t="s">
        <v>1176</v>
      </c>
      <c r="C679" t="s">
        <v>6</v>
      </c>
      <c r="D679" t="s">
        <v>1173</v>
      </c>
      <c r="E679">
        <v>445067403</v>
      </c>
      <c r="H679">
        <v>2240</v>
      </c>
      <c r="I679">
        <v>1200</v>
      </c>
      <c r="J679">
        <v>0</v>
      </c>
      <c r="K679">
        <v>1040</v>
      </c>
      <c r="M679" s="39">
        <v>45978</v>
      </c>
      <c r="N679" s="25">
        <f t="shared" si="44"/>
        <v>17</v>
      </c>
      <c r="O679" s="25" t="str">
        <f t="shared" si="45"/>
        <v>lunes</v>
      </c>
      <c r="P679" s="27">
        <f t="shared" si="46"/>
        <v>11</v>
      </c>
      <c r="Q679" s="22" t="str">
        <f t="shared" si="47"/>
        <v>noviembre</v>
      </c>
      <c r="S679">
        <v>10662</v>
      </c>
    </row>
    <row r="680" spans="1:19" x14ac:dyDescent="0.25">
      <c r="A680">
        <v>5</v>
      </c>
      <c r="B680" t="s">
        <v>1177</v>
      </c>
      <c r="C680" t="s">
        <v>6</v>
      </c>
      <c r="D680" t="s">
        <v>534</v>
      </c>
      <c r="E680">
        <v>445067900</v>
      </c>
      <c r="H680">
        <v>1500</v>
      </c>
      <c r="I680">
        <v>1200</v>
      </c>
      <c r="J680">
        <v>0</v>
      </c>
      <c r="K680">
        <v>300</v>
      </c>
      <c r="M680" s="39">
        <v>45978</v>
      </c>
      <c r="N680" s="25">
        <f t="shared" si="44"/>
        <v>17</v>
      </c>
      <c r="O680" s="25" t="str">
        <f t="shared" si="45"/>
        <v>lunes</v>
      </c>
      <c r="P680" s="27">
        <f t="shared" si="46"/>
        <v>11</v>
      </c>
      <c r="Q680" s="22" t="str">
        <f t="shared" si="47"/>
        <v>noviembre</v>
      </c>
    </row>
    <row r="681" spans="1:19" x14ac:dyDescent="0.25">
      <c r="A681">
        <v>6</v>
      </c>
      <c r="B681" t="s">
        <v>1178</v>
      </c>
      <c r="C681" t="s">
        <v>155</v>
      </c>
      <c r="D681" t="s">
        <v>201</v>
      </c>
      <c r="E681">
        <v>445067961</v>
      </c>
      <c r="H681">
        <v>1770</v>
      </c>
      <c r="I681">
        <v>1350</v>
      </c>
      <c r="J681">
        <v>0</v>
      </c>
      <c r="K681">
        <v>420</v>
      </c>
      <c r="M681" s="39">
        <v>45978</v>
      </c>
      <c r="N681" s="25">
        <f t="shared" si="44"/>
        <v>17</v>
      </c>
      <c r="O681" s="25" t="str">
        <f t="shared" si="45"/>
        <v>lunes</v>
      </c>
      <c r="P681" s="27">
        <f t="shared" si="46"/>
        <v>11</v>
      </c>
      <c r="Q681" s="22" t="str">
        <f t="shared" si="47"/>
        <v>noviembre</v>
      </c>
    </row>
    <row r="682" spans="1:19" x14ac:dyDescent="0.25">
      <c r="A682">
        <v>6</v>
      </c>
      <c r="B682" t="s">
        <v>1179</v>
      </c>
      <c r="C682" t="s">
        <v>6</v>
      </c>
      <c r="D682" t="s">
        <v>1180</v>
      </c>
      <c r="E682">
        <v>445070572</v>
      </c>
      <c r="H682">
        <v>1200</v>
      </c>
      <c r="I682">
        <v>1200</v>
      </c>
      <c r="J682">
        <v>0</v>
      </c>
      <c r="K682">
        <v>0</v>
      </c>
      <c r="M682" s="39">
        <v>45978</v>
      </c>
      <c r="N682" s="25">
        <f t="shared" si="44"/>
        <v>17</v>
      </c>
      <c r="O682" s="25" t="str">
        <f t="shared" si="45"/>
        <v>lunes</v>
      </c>
      <c r="P682" s="27">
        <f t="shared" si="46"/>
        <v>11</v>
      </c>
      <c r="Q682" s="22" t="str">
        <f t="shared" si="47"/>
        <v>noviembre</v>
      </c>
    </row>
    <row r="683" spans="1:19" x14ac:dyDescent="0.25">
      <c r="A683">
        <v>6</v>
      </c>
      <c r="B683" t="s">
        <v>1181</v>
      </c>
      <c r="C683" t="s">
        <v>19</v>
      </c>
      <c r="D683" t="s">
        <v>973</v>
      </c>
      <c r="E683">
        <v>445071802</v>
      </c>
      <c r="H683">
        <v>3090</v>
      </c>
      <c r="I683">
        <v>2050</v>
      </c>
      <c r="J683">
        <v>0</v>
      </c>
      <c r="K683">
        <v>1040</v>
      </c>
      <c r="M683" s="39">
        <v>45978</v>
      </c>
      <c r="N683" s="25">
        <f t="shared" si="44"/>
        <v>17</v>
      </c>
      <c r="O683" s="25" t="str">
        <f t="shared" si="45"/>
        <v>lunes</v>
      </c>
      <c r="P683" s="27">
        <f t="shared" si="46"/>
        <v>11</v>
      </c>
      <c r="Q683" s="22" t="str">
        <f t="shared" si="47"/>
        <v>noviembre</v>
      </c>
    </row>
    <row r="684" spans="1:19" x14ac:dyDescent="0.25">
      <c r="A684">
        <v>7</v>
      </c>
      <c r="B684" t="s">
        <v>1182</v>
      </c>
      <c r="C684" t="s">
        <v>6</v>
      </c>
      <c r="D684" t="s">
        <v>1183</v>
      </c>
      <c r="E684">
        <v>445074055</v>
      </c>
      <c r="H684">
        <v>1520</v>
      </c>
      <c r="I684">
        <v>1200</v>
      </c>
      <c r="J684">
        <v>0</v>
      </c>
      <c r="K684">
        <v>320</v>
      </c>
      <c r="M684" s="39">
        <v>45978</v>
      </c>
      <c r="N684" s="25">
        <f t="shared" si="44"/>
        <v>17</v>
      </c>
      <c r="O684" s="25" t="str">
        <f t="shared" si="45"/>
        <v>lunes</v>
      </c>
      <c r="P684" s="27">
        <f t="shared" si="46"/>
        <v>11</v>
      </c>
      <c r="Q684" s="22" t="str">
        <f t="shared" si="47"/>
        <v>noviembre</v>
      </c>
      <c r="R684">
        <v>445074055</v>
      </c>
      <c r="S684">
        <v>5600</v>
      </c>
    </row>
    <row r="685" spans="1:19" x14ac:dyDescent="0.25">
      <c r="A685">
        <v>7</v>
      </c>
      <c r="B685" t="s">
        <v>1184</v>
      </c>
      <c r="C685" t="s">
        <v>6</v>
      </c>
      <c r="D685" t="s">
        <v>1185</v>
      </c>
      <c r="E685">
        <v>445075258</v>
      </c>
      <c r="F685" t="s">
        <v>1186</v>
      </c>
      <c r="G685">
        <v>445075448</v>
      </c>
      <c r="H685">
        <v>4940</v>
      </c>
      <c r="I685">
        <v>2100</v>
      </c>
      <c r="J685">
        <v>0</v>
      </c>
      <c r="K685">
        <v>2840</v>
      </c>
      <c r="M685" s="39">
        <v>45978</v>
      </c>
      <c r="N685" s="25">
        <f t="shared" si="44"/>
        <v>17</v>
      </c>
      <c r="O685" s="25" t="str">
        <f t="shared" si="45"/>
        <v>lunes</v>
      </c>
      <c r="P685" s="27">
        <f t="shared" si="46"/>
        <v>11</v>
      </c>
      <c r="Q685" s="22" t="str">
        <f t="shared" si="47"/>
        <v>noviembre</v>
      </c>
      <c r="R685">
        <v>445075258</v>
      </c>
      <c r="S685">
        <v>12322</v>
      </c>
    </row>
    <row r="686" spans="1:19" x14ac:dyDescent="0.25">
      <c r="A686">
        <v>7</v>
      </c>
      <c r="B686" t="s">
        <v>1187</v>
      </c>
      <c r="C686" t="s">
        <v>6</v>
      </c>
      <c r="D686" t="s">
        <v>771</v>
      </c>
      <c r="E686">
        <v>445078167</v>
      </c>
      <c r="H686">
        <v>2920</v>
      </c>
      <c r="I686">
        <v>1200</v>
      </c>
      <c r="J686">
        <v>0</v>
      </c>
      <c r="K686">
        <v>1720</v>
      </c>
      <c r="M686" s="39">
        <v>45978</v>
      </c>
      <c r="N686" s="25">
        <f t="shared" si="44"/>
        <v>17</v>
      </c>
      <c r="O686" s="25" t="str">
        <f t="shared" si="45"/>
        <v>lunes</v>
      </c>
      <c r="P686" s="27">
        <f t="shared" si="46"/>
        <v>11</v>
      </c>
      <c r="Q686" s="22" t="str">
        <f t="shared" si="47"/>
        <v>noviembre</v>
      </c>
    </row>
    <row r="687" spans="1:19" x14ac:dyDescent="0.25">
      <c r="A687">
        <v>7</v>
      </c>
      <c r="B687" t="s">
        <v>1188</v>
      </c>
      <c r="C687" t="s">
        <v>6</v>
      </c>
      <c r="D687" t="s">
        <v>1189</v>
      </c>
      <c r="E687">
        <v>445082464</v>
      </c>
      <c r="H687">
        <v>1200</v>
      </c>
      <c r="I687">
        <v>1200</v>
      </c>
      <c r="J687">
        <v>0</v>
      </c>
      <c r="K687">
        <v>0</v>
      </c>
      <c r="M687" s="39">
        <v>45978</v>
      </c>
      <c r="N687" s="25">
        <f t="shared" si="44"/>
        <v>17</v>
      </c>
      <c r="O687" s="25" t="str">
        <f t="shared" si="45"/>
        <v>lunes</v>
      </c>
      <c r="P687" s="27">
        <f t="shared" si="46"/>
        <v>11</v>
      </c>
      <c r="Q687" s="22" t="str">
        <f t="shared" si="47"/>
        <v>noviembre</v>
      </c>
    </row>
    <row r="688" spans="1:19" x14ac:dyDescent="0.25">
      <c r="A688">
        <v>7</v>
      </c>
      <c r="B688" t="s">
        <v>1190</v>
      </c>
      <c r="C688" t="s">
        <v>6</v>
      </c>
      <c r="D688" t="s">
        <v>1191</v>
      </c>
      <c r="E688">
        <v>445084902</v>
      </c>
      <c r="H688">
        <v>2880</v>
      </c>
      <c r="I688">
        <v>1200</v>
      </c>
      <c r="J688">
        <v>0</v>
      </c>
      <c r="K688">
        <v>1680</v>
      </c>
      <c r="M688" s="39">
        <v>45978</v>
      </c>
      <c r="N688" s="25">
        <f t="shared" si="44"/>
        <v>17</v>
      </c>
      <c r="O688" s="25" t="str">
        <f t="shared" si="45"/>
        <v>lunes</v>
      </c>
      <c r="P688" s="27">
        <f t="shared" si="46"/>
        <v>11</v>
      </c>
      <c r="Q688" s="22" t="str">
        <f t="shared" si="47"/>
        <v>noviembre</v>
      </c>
    </row>
    <row r="689" spans="1:19" x14ac:dyDescent="0.25">
      <c r="A689">
        <v>11</v>
      </c>
      <c r="B689" t="s">
        <v>1193</v>
      </c>
      <c r="C689" t="s">
        <v>6</v>
      </c>
      <c r="D689" t="s">
        <v>1194</v>
      </c>
      <c r="E689">
        <v>445217297</v>
      </c>
      <c r="H689">
        <v>2200</v>
      </c>
      <c r="I689">
        <v>1200</v>
      </c>
      <c r="J689">
        <v>0</v>
      </c>
      <c r="K689">
        <v>1000</v>
      </c>
      <c r="M689" s="39">
        <v>45979</v>
      </c>
      <c r="N689" s="25">
        <f t="shared" si="44"/>
        <v>18</v>
      </c>
      <c r="O689" s="25" t="str">
        <f t="shared" si="45"/>
        <v>martes</v>
      </c>
      <c r="P689" s="27">
        <f t="shared" si="46"/>
        <v>11</v>
      </c>
      <c r="Q689" s="22" t="str">
        <f t="shared" si="47"/>
        <v>noviembre</v>
      </c>
    </row>
    <row r="690" spans="1:19" x14ac:dyDescent="0.25">
      <c r="A690">
        <v>11</v>
      </c>
      <c r="B690" t="s">
        <v>1195</v>
      </c>
      <c r="C690" t="s">
        <v>6</v>
      </c>
      <c r="D690" t="s">
        <v>1196</v>
      </c>
      <c r="E690">
        <v>445223612</v>
      </c>
      <c r="H690">
        <v>2760</v>
      </c>
      <c r="I690">
        <v>1200</v>
      </c>
      <c r="J690">
        <v>0</v>
      </c>
      <c r="K690">
        <v>1560</v>
      </c>
      <c r="M690" s="39">
        <v>45979</v>
      </c>
      <c r="N690" s="25">
        <f t="shared" si="44"/>
        <v>18</v>
      </c>
      <c r="O690" s="25" t="str">
        <f t="shared" si="45"/>
        <v>martes</v>
      </c>
      <c r="P690" s="27">
        <f t="shared" si="46"/>
        <v>11</v>
      </c>
      <c r="Q690" s="22" t="str">
        <f t="shared" si="47"/>
        <v>noviembre</v>
      </c>
    </row>
    <row r="691" spans="1:19" x14ac:dyDescent="0.25">
      <c r="A691">
        <v>11</v>
      </c>
      <c r="B691" t="s">
        <v>1197</v>
      </c>
      <c r="C691" t="s">
        <v>6</v>
      </c>
      <c r="D691" t="s">
        <v>418</v>
      </c>
      <c r="E691">
        <v>445223030</v>
      </c>
      <c r="H691">
        <v>1950</v>
      </c>
      <c r="I691">
        <v>1200</v>
      </c>
      <c r="J691">
        <v>0</v>
      </c>
      <c r="K691">
        <v>750</v>
      </c>
      <c r="M691" s="39">
        <v>45979</v>
      </c>
      <c r="N691" s="25">
        <f t="shared" si="44"/>
        <v>18</v>
      </c>
      <c r="O691" s="25" t="str">
        <f t="shared" si="45"/>
        <v>martes</v>
      </c>
      <c r="P691" s="27">
        <f t="shared" si="46"/>
        <v>11</v>
      </c>
      <c r="Q691" s="22" t="str">
        <f t="shared" si="47"/>
        <v>noviembre</v>
      </c>
    </row>
    <row r="692" spans="1:19" x14ac:dyDescent="0.25">
      <c r="A692">
        <v>11</v>
      </c>
      <c r="B692" t="s">
        <v>1198</v>
      </c>
      <c r="C692" t="s">
        <v>6</v>
      </c>
      <c r="D692" t="s">
        <v>241</v>
      </c>
      <c r="E692">
        <v>445229089</v>
      </c>
      <c r="F692" t="s">
        <v>241</v>
      </c>
      <c r="G692">
        <v>445229583</v>
      </c>
      <c r="H692">
        <v>4640</v>
      </c>
      <c r="I692">
        <v>1800</v>
      </c>
      <c r="J692">
        <v>0</v>
      </c>
      <c r="K692">
        <v>2840</v>
      </c>
      <c r="M692" s="39">
        <v>45979</v>
      </c>
      <c r="N692" s="25">
        <f t="shared" si="44"/>
        <v>18</v>
      </c>
      <c r="O692" s="25" t="str">
        <f t="shared" si="45"/>
        <v>martes</v>
      </c>
      <c r="P692" s="27">
        <f t="shared" si="46"/>
        <v>11</v>
      </c>
      <c r="Q692" s="22" t="str">
        <f t="shared" si="47"/>
        <v>noviembre</v>
      </c>
    </row>
    <row r="693" spans="1:19" x14ac:dyDescent="0.25">
      <c r="A693">
        <v>12</v>
      </c>
      <c r="B693" t="s">
        <v>1199</v>
      </c>
      <c r="C693" t="s">
        <v>6</v>
      </c>
      <c r="D693" t="s">
        <v>1200</v>
      </c>
      <c r="E693">
        <v>445235007</v>
      </c>
      <c r="F693" t="s">
        <v>1201</v>
      </c>
      <c r="G693">
        <v>445235188</v>
      </c>
      <c r="H693">
        <v>3000</v>
      </c>
      <c r="I693">
        <v>2600</v>
      </c>
      <c r="J693">
        <v>0</v>
      </c>
      <c r="K693">
        <v>400</v>
      </c>
      <c r="M693" s="39">
        <v>45979</v>
      </c>
      <c r="N693" s="25">
        <f t="shared" si="44"/>
        <v>18</v>
      </c>
      <c r="O693" s="25" t="str">
        <f t="shared" si="45"/>
        <v>martes</v>
      </c>
      <c r="P693" s="27">
        <f t="shared" si="46"/>
        <v>11</v>
      </c>
      <c r="Q693" s="22" t="str">
        <f t="shared" si="47"/>
        <v>noviembre</v>
      </c>
    </row>
    <row r="694" spans="1:19" x14ac:dyDescent="0.25">
      <c r="A694">
        <v>8</v>
      </c>
      <c r="B694" t="s">
        <v>1210</v>
      </c>
      <c r="C694" t="s">
        <v>6</v>
      </c>
      <c r="D694" t="s">
        <v>1211</v>
      </c>
      <c r="H694">
        <v>1900</v>
      </c>
      <c r="I694">
        <v>1200</v>
      </c>
      <c r="J694">
        <v>0</v>
      </c>
      <c r="K694">
        <v>700</v>
      </c>
      <c r="M694" s="39" t="s">
        <v>1212</v>
      </c>
      <c r="N694" s="25">
        <f t="shared" si="44"/>
        <v>19</v>
      </c>
      <c r="O694" s="25" t="str">
        <f t="shared" si="45"/>
        <v>miércoles</v>
      </c>
      <c r="P694" s="27">
        <f t="shared" si="46"/>
        <v>11</v>
      </c>
      <c r="Q694" s="22" t="str">
        <f t="shared" si="47"/>
        <v>noviembre</v>
      </c>
    </row>
    <row r="695" spans="1:19" x14ac:dyDescent="0.25">
      <c r="A695">
        <v>8</v>
      </c>
      <c r="B695" t="s">
        <v>1213</v>
      </c>
      <c r="C695" t="s">
        <v>6</v>
      </c>
      <c r="D695" t="s">
        <v>1214</v>
      </c>
      <c r="E695">
        <v>445265366</v>
      </c>
      <c r="H695">
        <v>1200</v>
      </c>
      <c r="I695">
        <v>1200</v>
      </c>
      <c r="J695">
        <v>0</v>
      </c>
      <c r="K695">
        <v>0</v>
      </c>
      <c r="M695" s="39" t="s">
        <v>1212</v>
      </c>
      <c r="N695" s="25">
        <f t="shared" si="44"/>
        <v>19</v>
      </c>
      <c r="O695" s="25" t="str">
        <f t="shared" si="45"/>
        <v>miércoles</v>
      </c>
      <c r="P695" s="27">
        <f t="shared" si="46"/>
        <v>11</v>
      </c>
      <c r="Q695" s="22" t="str">
        <f t="shared" si="47"/>
        <v>noviembre</v>
      </c>
    </row>
    <row r="696" spans="1:19" x14ac:dyDescent="0.25">
      <c r="A696">
        <v>8</v>
      </c>
      <c r="B696" t="s">
        <v>1215</v>
      </c>
      <c r="C696" t="s">
        <v>6</v>
      </c>
      <c r="D696" t="s">
        <v>255</v>
      </c>
      <c r="E696">
        <v>445282040</v>
      </c>
      <c r="H696">
        <v>1200</v>
      </c>
      <c r="I696">
        <v>1200</v>
      </c>
      <c r="J696">
        <v>0</v>
      </c>
      <c r="K696">
        <v>0</v>
      </c>
      <c r="M696" s="39" t="s">
        <v>1212</v>
      </c>
      <c r="N696" s="25">
        <f t="shared" si="44"/>
        <v>19</v>
      </c>
      <c r="O696" s="25" t="str">
        <f t="shared" si="45"/>
        <v>miércoles</v>
      </c>
      <c r="P696" s="27">
        <f t="shared" si="46"/>
        <v>11</v>
      </c>
      <c r="Q696" s="22" t="str">
        <f t="shared" si="47"/>
        <v>noviembre</v>
      </c>
    </row>
    <row r="697" spans="1:19" x14ac:dyDescent="0.25">
      <c r="A697">
        <v>8</v>
      </c>
      <c r="B697" t="s">
        <v>1216</v>
      </c>
      <c r="C697" t="s">
        <v>155</v>
      </c>
      <c r="D697" t="s">
        <v>1217</v>
      </c>
      <c r="E697">
        <v>445285303</v>
      </c>
      <c r="H697">
        <v>1620</v>
      </c>
      <c r="I697">
        <v>1200</v>
      </c>
      <c r="J697">
        <v>0</v>
      </c>
      <c r="K697">
        <v>420</v>
      </c>
      <c r="M697" s="39" t="s">
        <v>1212</v>
      </c>
      <c r="N697" s="25">
        <f t="shared" si="44"/>
        <v>19</v>
      </c>
      <c r="O697" s="25" t="str">
        <f t="shared" si="45"/>
        <v>miércoles</v>
      </c>
      <c r="P697" s="27">
        <f t="shared" si="46"/>
        <v>11</v>
      </c>
      <c r="Q697" s="22" t="str">
        <f t="shared" si="47"/>
        <v>noviembre</v>
      </c>
    </row>
    <row r="698" spans="1:19" x14ac:dyDescent="0.25">
      <c r="A698">
        <v>8</v>
      </c>
      <c r="B698" t="s">
        <v>1218</v>
      </c>
      <c r="C698" t="s">
        <v>6</v>
      </c>
      <c r="D698" t="s">
        <v>543</v>
      </c>
      <c r="E698">
        <v>445287965</v>
      </c>
      <c r="F698" t="s">
        <v>1043</v>
      </c>
      <c r="G698">
        <v>445287734</v>
      </c>
      <c r="H698">
        <v>3060</v>
      </c>
      <c r="I698">
        <v>2100</v>
      </c>
      <c r="J698">
        <v>0</v>
      </c>
      <c r="K698">
        <v>960</v>
      </c>
      <c r="M698" s="39" t="s">
        <v>1212</v>
      </c>
      <c r="N698" s="25">
        <f t="shared" si="44"/>
        <v>19</v>
      </c>
      <c r="O698" s="25" t="str">
        <f t="shared" si="45"/>
        <v>miércoles</v>
      </c>
      <c r="P698" s="27">
        <f t="shared" si="46"/>
        <v>11</v>
      </c>
      <c r="Q698" s="22" t="str">
        <f t="shared" si="47"/>
        <v>noviembre</v>
      </c>
      <c r="R698">
        <v>445287965</v>
      </c>
      <c r="S698">
        <v>12730</v>
      </c>
    </row>
    <row r="699" spans="1:19" x14ac:dyDescent="0.25">
      <c r="A699">
        <v>9</v>
      </c>
      <c r="B699" t="s">
        <v>1219</v>
      </c>
      <c r="C699" t="s">
        <v>6</v>
      </c>
      <c r="D699" t="s">
        <v>1220</v>
      </c>
      <c r="E699">
        <v>445293386</v>
      </c>
      <c r="H699">
        <v>2500</v>
      </c>
      <c r="I699">
        <v>1200</v>
      </c>
      <c r="J699">
        <v>0</v>
      </c>
      <c r="K699">
        <v>1300</v>
      </c>
      <c r="M699" s="39" t="s">
        <v>1212</v>
      </c>
      <c r="N699" s="25">
        <f t="shared" si="44"/>
        <v>19</v>
      </c>
      <c r="O699" s="25" t="str">
        <f t="shared" si="45"/>
        <v>miércoles</v>
      </c>
      <c r="P699" s="27">
        <f t="shared" si="46"/>
        <v>11</v>
      </c>
      <c r="Q699" s="22" t="str">
        <f t="shared" si="47"/>
        <v>noviembre</v>
      </c>
    </row>
    <row r="700" spans="1:19" x14ac:dyDescent="0.25">
      <c r="A700">
        <v>11</v>
      </c>
      <c r="B700" t="s">
        <v>1202</v>
      </c>
      <c r="C700" t="s">
        <v>6</v>
      </c>
      <c r="D700" t="s">
        <v>1203</v>
      </c>
      <c r="E700">
        <v>445330144</v>
      </c>
      <c r="H700">
        <v>2140</v>
      </c>
      <c r="I700">
        <v>1200</v>
      </c>
      <c r="J700">
        <v>0</v>
      </c>
      <c r="K700">
        <v>940</v>
      </c>
      <c r="M700" s="39">
        <v>45980</v>
      </c>
      <c r="N700" s="25">
        <f t="shared" si="44"/>
        <v>19</v>
      </c>
      <c r="O700" s="25" t="str">
        <f t="shared" si="45"/>
        <v>miércoles</v>
      </c>
      <c r="P700" s="27">
        <f t="shared" si="46"/>
        <v>11</v>
      </c>
      <c r="Q700" s="22" t="str">
        <f t="shared" si="47"/>
        <v>noviembre</v>
      </c>
    </row>
    <row r="701" spans="1:19" x14ac:dyDescent="0.25">
      <c r="A701">
        <v>12</v>
      </c>
      <c r="B701" t="s">
        <v>1204</v>
      </c>
      <c r="C701" t="s">
        <v>6</v>
      </c>
      <c r="D701" t="s">
        <v>1205</v>
      </c>
      <c r="E701">
        <v>445340845</v>
      </c>
      <c r="H701">
        <v>2780</v>
      </c>
      <c r="I701">
        <v>1200</v>
      </c>
      <c r="J701">
        <v>0</v>
      </c>
      <c r="K701">
        <v>1580</v>
      </c>
      <c r="M701" s="39">
        <v>45980</v>
      </c>
      <c r="N701" s="25">
        <f t="shared" si="44"/>
        <v>19</v>
      </c>
      <c r="O701" s="25" t="str">
        <f t="shared" si="45"/>
        <v>miércoles</v>
      </c>
      <c r="P701" s="27">
        <f t="shared" si="46"/>
        <v>11</v>
      </c>
      <c r="Q701" s="22" t="str">
        <f t="shared" si="47"/>
        <v>noviembre</v>
      </c>
    </row>
    <row r="702" spans="1:19" x14ac:dyDescent="0.25">
      <c r="A702">
        <v>12</v>
      </c>
      <c r="B702" t="s">
        <v>1206</v>
      </c>
      <c r="C702" t="s">
        <v>6</v>
      </c>
      <c r="D702" t="s">
        <v>1207</v>
      </c>
      <c r="E702">
        <v>445346433</v>
      </c>
      <c r="H702">
        <v>2350</v>
      </c>
      <c r="I702">
        <v>1950</v>
      </c>
      <c r="J702">
        <v>0</v>
      </c>
      <c r="K702">
        <v>400</v>
      </c>
      <c r="M702" s="39">
        <v>45980</v>
      </c>
      <c r="N702" s="25">
        <f t="shared" si="44"/>
        <v>19</v>
      </c>
      <c r="O702" s="25" t="str">
        <f t="shared" si="45"/>
        <v>miércoles</v>
      </c>
      <c r="P702" s="27">
        <f t="shared" si="46"/>
        <v>11</v>
      </c>
      <c r="Q702" s="22" t="str">
        <f t="shared" si="47"/>
        <v>noviembre</v>
      </c>
    </row>
    <row r="703" spans="1:19" x14ac:dyDescent="0.25">
      <c r="A703">
        <v>12</v>
      </c>
      <c r="B703" t="s">
        <v>1208</v>
      </c>
      <c r="C703" t="s">
        <v>6</v>
      </c>
      <c r="D703" t="s">
        <v>1209</v>
      </c>
      <c r="E703">
        <v>445350571</v>
      </c>
      <c r="F703" t="s">
        <v>172</v>
      </c>
      <c r="G703">
        <v>445350808</v>
      </c>
      <c r="H703">
        <v>3070</v>
      </c>
      <c r="I703">
        <v>2750</v>
      </c>
      <c r="J703">
        <v>0</v>
      </c>
      <c r="K703">
        <v>320</v>
      </c>
      <c r="M703" s="39">
        <v>45980</v>
      </c>
      <c r="N703" s="25">
        <f t="shared" si="44"/>
        <v>19</v>
      </c>
      <c r="O703" s="25" t="str">
        <f t="shared" si="45"/>
        <v>miércoles</v>
      </c>
      <c r="P703" s="27">
        <f t="shared" si="46"/>
        <v>11</v>
      </c>
      <c r="Q703" s="22" t="str">
        <f t="shared" si="47"/>
        <v>noviembre</v>
      </c>
    </row>
    <row r="704" spans="1:19" x14ac:dyDescent="0.25">
      <c r="A704">
        <v>6</v>
      </c>
      <c r="B704" t="s">
        <v>1221</v>
      </c>
      <c r="C704" t="s">
        <v>155</v>
      </c>
      <c r="D704" t="s">
        <v>174</v>
      </c>
      <c r="E704">
        <v>445261332</v>
      </c>
      <c r="H704">
        <v>6200</v>
      </c>
      <c r="I704">
        <v>1200</v>
      </c>
      <c r="J704">
        <v>0</v>
      </c>
      <c r="K704">
        <v>5000</v>
      </c>
      <c r="M704" s="39">
        <v>45980</v>
      </c>
      <c r="N704" s="25">
        <f t="shared" si="44"/>
        <v>19</v>
      </c>
      <c r="O704" s="25" t="str">
        <f t="shared" si="45"/>
        <v>miércoles</v>
      </c>
      <c r="P704" s="27">
        <f t="shared" si="46"/>
        <v>11</v>
      </c>
      <c r="Q704" s="22" t="str">
        <f t="shared" si="47"/>
        <v>noviembre</v>
      </c>
    </row>
    <row r="705" spans="1:19" x14ac:dyDescent="0.25">
      <c r="A705">
        <v>5</v>
      </c>
      <c r="B705" t="s">
        <v>1222</v>
      </c>
      <c r="C705" t="s">
        <v>6</v>
      </c>
      <c r="D705" t="s">
        <v>1223</v>
      </c>
      <c r="E705">
        <v>445260728</v>
      </c>
      <c r="H705">
        <v>2400</v>
      </c>
      <c r="I705">
        <v>1200</v>
      </c>
      <c r="J705">
        <v>0</v>
      </c>
      <c r="K705">
        <v>1200</v>
      </c>
      <c r="M705" s="39">
        <v>45980</v>
      </c>
      <c r="N705" s="25">
        <f t="shared" si="44"/>
        <v>19</v>
      </c>
      <c r="O705" s="25" t="str">
        <f t="shared" si="45"/>
        <v>miércoles</v>
      </c>
      <c r="P705" s="27">
        <f t="shared" si="46"/>
        <v>11</v>
      </c>
      <c r="Q705" s="22" t="str">
        <f t="shared" si="47"/>
        <v>noviembre</v>
      </c>
    </row>
    <row r="706" spans="1:19" x14ac:dyDescent="0.25">
      <c r="A706">
        <v>5</v>
      </c>
      <c r="B706" t="s">
        <v>1224</v>
      </c>
      <c r="C706" t="s">
        <v>155</v>
      </c>
      <c r="D706" t="s">
        <v>201</v>
      </c>
      <c r="E706">
        <v>445259943</v>
      </c>
      <c r="H706">
        <v>1200</v>
      </c>
      <c r="I706">
        <v>1200</v>
      </c>
      <c r="J706">
        <v>0</v>
      </c>
      <c r="K706">
        <v>0</v>
      </c>
      <c r="M706" s="39">
        <v>45980</v>
      </c>
      <c r="N706" s="25">
        <f t="shared" ref="N706:N769" si="48">DAY(M706)</f>
        <v>19</v>
      </c>
      <c r="O706" s="25" t="str">
        <f t="shared" ref="O706:O769" si="49">TEXT(M706,"DDDD")</f>
        <v>miércoles</v>
      </c>
      <c r="P706" s="27">
        <f t="shared" si="46"/>
        <v>11</v>
      </c>
      <c r="Q706" s="22" t="str">
        <f t="shared" si="47"/>
        <v>noviembre</v>
      </c>
    </row>
    <row r="707" spans="1:19" x14ac:dyDescent="0.25">
      <c r="A707">
        <v>5</v>
      </c>
      <c r="B707" t="s">
        <v>1225</v>
      </c>
      <c r="C707" t="s">
        <v>6</v>
      </c>
      <c r="D707" t="s">
        <v>1160</v>
      </c>
      <c r="E707">
        <v>445259236</v>
      </c>
      <c r="H707">
        <v>2180</v>
      </c>
      <c r="I707">
        <v>1200</v>
      </c>
      <c r="J707">
        <v>0</v>
      </c>
      <c r="K707">
        <v>980</v>
      </c>
      <c r="M707" s="39">
        <v>45980</v>
      </c>
      <c r="N707" s="25">
        <f t="shared" si="48"/>
        <v>19</v>
      </c>
      <c r="O707" s="25" t="str">
        <f t="shared" si="49"/>
        <v>miércoles</v>
      </c>
      <c r="P707" s="27">
        <f t="shared" si="46"/>
        <v>11</v>
      </c>
      <c r="Q707" s="22" t="str">
        <f t="shared" si="47"/>
        <v>noviembre</v>
      </c>
    </row>
    <row r="708" spans="1:19" x14ac:dyDescent="0.25">
      <c r="A708">
        <v>4</v>
      </c>
      <c r="B708" t="s">
        <v>1226</v>
      </c>
      <c r="C708" t="s">
        <v>6</v>
      </c>
      <c r="D708" t="s">
        <v>694</v>
      </c>
      <c r="E708">
        <v>445258143</v>
      </c>
      <c r="F708" t="s">
        <v>694</v>
      </c>
      <c r="G708">
        <v>445258168</v>
      </c>
      <c r="H708">
        <v>3510</v>
      </c>
      <c r="I708">
        <v>2300</v>
      </c>
      <c r="J708">
        <v>0</v>
      </c>
      <c r="K708">
        <v>1210</v>
      </c>
      <c r="M708" s="39">
        <v>45980</v>
      </c>
      <c r="N708" s="25">
        <f t="shared" si="48"/>
        <v>19</v>
      </c>
      <c r="O708" s="25" t="str">
        <f t="shared" si="49"/>
        <v>miércoles</v>
      </c>
      <c r="P708" s="27">
        <f t="shared" si="46"/>
        <v>11</v>
      </c>
      <c r="Q708" s="22" t="str">
        <f t="shared" si="47"/>
        <v>noviembre</v>
      </c>
      <c r="R708">
        <v>445258143</v>
      </c>
      <c r="S708">
        <v>11943</v>
      </c>
    </row>
    <row r="709" spans="1:19" x14ac:dyDescent="0.25">
      <c r="A709">
        <v>4</v>
      </c>
      <c r="B709" t="s">
        <v>1227</v>
      </c>
      <c r="C709" t="s">
        <v>6</v>
      </c>
      <c r="D709" t="s">
        <v>185</v>
      </c>
      <c r="E709">
        <v>445258087</v>
      </c>
      <c r="H709">
        <v>2460</v>
      </c>
      <c r="I709">
        <v>1500</v>
      </c>
      <c r="J709">
        <v>0</v>
      </c>
      <c r="K709">
        <v>960</v>
      </c>
      <c r="M709" s="39">
        <v>45980</v>
      </c>
      <c r="N709" s="25">
        <f t="shared" si="48"/>
        <v>19</v>
      </c>
      <c r="O709" s="25" t="str">
        <f t="shared" si="49"/>
        <v>miércoles</v>
      </c>
      <c r="P709" s="27">
        <f t="shared" si="46"/>
        <v>11</v>
      </c>
      <c r="Q709" s="22" t="str">
        <f t="shared" si="47"/>
        <v>noviembre</v>
      </c>
    </row>
    <row r="710" spans="1:19" x14ac:dyDescent="0.25">
      <c r="A710">
        <v>3</v>
      </c>
      <c r="B710" t="s">
        <v>1228</v>
      </c>
      <c r="C710" t="s">
        <v>6</v>
      </c>
      <c r="D710" t="s">
        <v>1229</v>
      </c>
      <c r="E710">
        <v>445257948</v>
      </c>
      <c r="H710">
        <v>1900</v>
      </c>
      <c r="I710">
        <v>1200</v>
      </c>
      <c r="J710">
        <v>0</v>
      </c>
      <c r="K710">
        <v>700</v>
      </c>
      <c r="M710" s="39">
        <v>45980</v>
      </c>
      <c r="N710" s="25">
        <f t="shared" si="48"/>
        <v>19</v>
      </c>
      <c r="O710" s="25" t="str">
        <f t="shared" si="49"/>
        <v>miércoles</v>
      </c>
      <c r="P710" s="27">
        <f t="shared" si="46"/>
        <v>11</v>
      </c>
      <c r="Q710" s="22" t="str">
        <f t="shared" si="47"/>
        <v>noviembre</v>
      </c>
      <c r="R710">
        <v>445257948</v>
      </c>
      <c r="S710">
        <v>8280</v>
      </c>
    </row>
    <row r="711" spans="1:19" x14ac:dyDescent="0.25">
      <c r="A711">
        <v>3</v>
      </c>
      <c r="B711" t="s">
        <v>1230</v>
      </c>
      <c r="C711" t="s">
        <v>19</v>
      </c>
      <c r="D711" t="s">
        <v>1231</v>
      </c>
      <c r="E711">
        <v>445257758</v>
      </c>
      <c r="H711">
        <v>1900</v>
      </c>
      <c r="I711">
        <v>1900</v>
      </c>
      <c r="J711">
        <v>0</v>
      </c>
      <c r="K711">
        <v>0</v>
      </c>
      <c r="M711" s="39">
        <v>45980</v>
      </c>
      <c r="N711" s="25">
        <f t="shared" si="48"/>
        <v>19</v>
      </c>
      <c r="O711" s="25" t="str">
        <f t="shared" si="49"/>
        <v>miércoles</v>
      </c>
      <c r="P711" s="27">
        <f t="shared" si="46"/>
        <v>11</v>
      </c>
      <c r="Q711" s="22" t="str">
        <f t="shared" si="47"/>
        <v>noviembre</v>
      </c>
    </row>
    <row r="712" spans="1:19" x14ac:dyDescent="0.25">
      <c r="A712">
        <v>3</v>
      </c>
      <c r="B712" t="s">
        <v>1232</v>
      </c>
      <c r="C712" t="s">
        <v>6</v>
      </c>
      <c r="D712" t="s">
        <v>241</v>
      </c>
      <c r="E712">
        <v>445257459</v>
      </c>
      <c r="H712">
        <v>2840</v>
      </c>
      <c r="I712">
        <v>1200</v>
      </c>
      <c r="J712">
        <v>0</v>
      </c>
      <c r="K712">
        <v>1640</v>
      </c>
      <c r="M712" s="39">
        <v>45980</v>
      </c>
      <c r="N712" s="25">
        <f t="shared" si="48"/>
        <v>19</v>
      </c>
      <c r="O712" s="25" t="str">
        <f t="shared" si="49"/>
        <v>miércoles</v>
      </c>
      <c r="P712" s="27">
        <f t="shared" si="46"/>
        <v>11</v>
      </c>
      <c r="Q712" s="22" t="str">
        <f t="shared" si="47"/>
        <v>noviembre</v>
      </c>
    </row>
    <row r="713" spans="1:19" x14ac:dyDescent="0.25">
      <c r="A713">
        <v>2</v>
      </c>
      <c r="B713" t="s">
        <v>1233</v>
      </c>
      <c r="C713" t="s">
        <v>19</v>
      </c>
      <c r="D713" t="s">
        <v>1234</v>
      </c>
      <c r="E713">
        <v>445256418</v>
      </c>
      <c r="H713">
        <v>1400</v>
      </c>
      <c r="I713">
        <v>1400</v>
      </c>
      <c r="J713">
        <v>0</v>
      </c>
      <c r="K713">
        <v>0</v>
      </c>
      <c r="M713" s="39">
        <v>45980</v>
      </c>
      <c r="N713" s="25">
        <f t="shared" si="48"/>
        <v>19</v>
      </c>
      <c r="O713" s="25" t="str">
        <f t="shared" si="49"/>
        <v>miércoles</v>
      </c>
      <c r="P713" s="27">
        <f t="shared" si="46"/>
        <v>11</v>
      </c>
      <c r="Q713" s="22" t="str">
        <f t="shared" si="47"/>
        <v>noviembre</v>
      </c>
    </row>
    <row r="714" spans="1:19" x14ac:dyDescent="0.25">
      <c r="A714">
        <v>1</v>
      </c>
      <c r="B714" t="s">
        <v>1235</v>
      </c>
      <c r="C714" t="s">
        <v>6</v>
      </c>
      <c r="D714" t="s">
        <v>241</v>
      </c>
      <c r="E714">
        <v>445254565</v>
      </c>
      <c r="H714">
        <v>2200</v>
      </c>
      <c r="I714">
        <v>1200</v>
      </c>
      <c r="J714">
        <v>0</v>
      </c>
      <c r="K714">
        <v>1000</v>
      </c>
      <c r="M714" s="39">
        <v>45980</v>
      </c>
      <c r="N714" s="25">
        <f t="shared" si="48"/>
        <v>19</v>
      </c>
      <c r="O714" s="25" t="str">
        <f t="shared" si="49"/>
        <v>miércoles</v>
      </c>
      <c r="P714" s="27">
        <f t="shared" si="46"/>
        <v>11</v>
      </c>
      <c r="Q714" s="22" t="str">
        <f t="shared" si="47"/>
        <v>noviembre</v>
      </c>
    </row>
    <row r="715" spans="1:19" x14ac:dyDescent="0.25">
      <c r="A715">
        <v>1</v>
      </c>
      <c r="B715" t="s">
        <v>1236</v>
      </c>
      <c r="C715" t="s">
        <v>6</v>
      </c>
      <c r="D715" t="s">
        <v>184</v>
      </c>
      <c r="E715">
        <v>445252350</v>
      </c>
      <c r="H715">
        <v>2080</v>
      </c>
      <c r="I715">
        <v>1200</v>
      </c>
      <c r="J715">
        <v>0</v>
      </c>
      <c r="K715">
        <v>880</v>
      </c>
      <c r="M715" s="39">
        <v>45980</v>
      </c>
      <c r="N715" s="25">
        <f t="shared" si="48"/>
        <v>19</v>
      </c>
      <c r="O715" s="25" t="str">
        <f t="shared" si="49"/>
        <v>miércoles</v>
      </c>
      <c r="P715" s="27">
        <f t="shared" si="46"/>
        <v>11</v>
      </c>
      <c r="Q715" s="22" t="str">
        <f t="shared" si="47"/>
        <v>noviembre</v>
      </c>
      <c r="R715">
        <v>445252350</v>
      </c>
      <c r="S715">
        <v>16760</v>
      </c>
    </row>
    <row r="716" spans="1:19" x14ac:dyDescent="0.25">
      <c r="A716" s="43">
        <v>12</v>
      </c>
      <c r="B716" s="43" t="s">
        <v>1359</v>
      </c>
      <c r="C716" s="43" t="s">
        <v>6</v>
      </c>
      <c r="D716" s="43" t="s">
        <v>184</v>
      </c>
      <c r="E716" s="43">
        <v>446052851</v>
      </c>
      <c r="F716" s="43" t="s">
        <v>184</v>
      </c>
      <c r="G716" s="43">
        <v>446054113</v>
      </c>
      <c r="H716" s="43">
        <v>3100</v>
      </c>
      <c r="I716" s="43">
        <v>2100</v>
      </c>
      <c r="J716" s="43">
        <v>0</v>
      </c>
      <c r="K716" s="43">
        <v>1000</v>
      </c>
      <c r="L716" s="64"/>
      <c r="M716" s="44" t="s">
        <v>1360</v>
      </c>
      <c r="N716" s="25">
        <f t="shared" si="48"/>
        <v>25</v>
      </c>
      <c r="O716" s="25" t="str">
        <f t="shared" si="49"/>
        <v>martes</v>
      </c>
      <c r="P716" s="27">
        <f t="shared" si="46"/>
        <v>11</v>
      </c>
      <c r="Q716" s="22" t="str">
        <f t="shared" si="47"/>
        <v>noviembre</v>
      </c>
    </row>
    <row r="717" spans="1:19" x14ac:dyDescent="0.25">
      <c r="A717" s="43">
        <v>12</v>
      </c>
      <c r="B717" s="43" t="s">
        <v>1279</v>
      </c>
      <c r="C717" s="43" t="s">
        <v>6</v>
      </c>
      <c r="D717" s="43" t="s">
        <v>1361</v>
      </c>
      <c r="E717" s="43">
        <v>446047298</v>
      </c>
      <c r="H717" s="43">
        <v>2450</v>
      </c>
      <c r="I717" s="43">
        <v>2450</v>
      </c>
      <c r="J717" s="43">
        <v>0</v>
      </c>
      <c r="K717" s="43">
        <v>0</v>
      </c>
      <c r="L717" s="64"/>
      <c r="M717" s="44" t="s">
        <v>1360</v>
      </c>
      <c r="N717" s="25">
        <f t="shared" si="48"/>
        <v>25</v>
      </c>
      <c r="O717" s="25" t="str">
        <f t="shared" si="49"/>
        <v>martes</v>
      </c>
      <c r="P717" s="27">
        <f t="shared" ref="P717:P780" si="50">MONTH(M717)</f>
        <v>11</v>
      </c>
      <c r="Q717" s="22" t="str">
        <f t="shared" ref="Q717:Q780" si="51">TEXT(M717,"MMMM")</f>
        <v>noviembre</v>
      </c>
    </row>
    <row r="718" spans="1:19" x14ac:dyDescent="0.25">
      <c r="A718" s="43">
        <v>11</v>
      </c>
      <c r="B718" s="43" t="s">
        <v>1362</v>
      </c>
      <c r="C718" s="43" t="s">
        <v>19</v>
      </c>
      <c r="D718" s="43" t="s">
        <v>1275</v>
      </c>
      <c r="E718" s="43">
        <v>446042953</v>
      </c>
      <c r="H718" s="43">
        <v>1830</v>
      </c>
      <c r="I718" s="43">
        <v>1200</v>
      </c>
      <c r="J718" s="43">
        <v>0</v>
      </c>
      <c r="K718" s="43">
        <v>630</v>
      </c>
      <c r="L718" s="64"/>
      <c r="M718" s="44" t="s">
        <v>1360</v>
      </c>
      <c r="N718" s="25">
        <f t="shared" si="48"/>
        <v>25</v>
      </c>
      <c r="O718" s="25" t="str">
        <f t="shared" si="49"/>
        <v>martes</v>
      </c>
      <c r="P718" s="27">
        <f t="shared" si="50"/>
        <v>11</v>
      </c>
      <c r="Q718" s="22" t="str">
        <f t="shared" si="51"/>
        <v>noviembre</v>
      </c>
    </row>
    <row r="719" spans="1:19" x14ac:dyDescent="0.25">
      <c r="A719" s="43">
        <v>11</v>
      </c>
      <c r="B719" s="43" t="s">
        <v>1363</v>
      </c>
      <c r="C719" s="43" t="s">
        <v>6</v>
      </c>
      <c r="D719" s="43" t="s">
        <v>543</v>
      </c>
      <c r="E719" s="43">
        <v>446041626</v>
      </c>
      <c r="H719" s="43">
        <v>1200</v>
      </c>
      <c r="I719" s="43">
        <v>1200</v>
      </c>
      <c r="J719" s="43">
        <v>0</v>
      </c>
      <c r="K719" s="43">
        <v>0</v>
      </c>
      <c r="L719" s="64"/>
      <c r="M719" s="44" t="s">
        <v>1360</v>
      </c>
      <c r="N719" s="25">
        <f t="shared" si="48"/>
        <v>25</v>
      </c>
      <c r="O719" s="25" t="str">
        <f t="shared" si="49"/>
        <v>martes</v>
      </c>
      <c r="P719" s="27">
        <f t="shared" si="50"/>
        <v>11</v>
      </c>
      <c r="Q719" s="22" t="str">
        <f t="shared" si="51"/>
        <v>noviembre</v>
      </c>
    </row>
    <row r="720" spans="1:19" x14ac:dyDescent="0.25">
      <c r="A720" s="43">
        <v>11</v>
      </c>
      <c r="B720" s="43" t="s">
        <v>1364</v>
      </c>
      <c r="C720" s="43" t="s">
        <v>6</v>
      </c>
      <c r="D720" s="43" t="s">
        <v>870</v>
      </c>
      <c r="E720" s="43">
        <v>446034760</v>
      </c>
      <c r="H720" s="43">
        <v>1200</v>
      </c>
      <c r="I720" s="43">
        <v>1200</v>
      </c>
      <c r="J720" s="43">
        <v>0</v>
      </c>
      <c r="K720" s="43">
        <v>0</v>
      </c>
      <c r="L720" s="64"/>
      <c r="M720" s="44" t="s">
        <v>1360</v>
      </c>
      <c r="N720" s="25">
        <f t="shared" si="48"/>
        <v>25</v>
      </c>
      <c r="O720" s="25" t="str">
        <f t="shared" si="49"/>
        <v>martes</v>
      </c>
      <c r="P720" s="27">
        <f t="shared" si="50"/>
        <v>11</v>
      </c>
      <c r="Q720" s="22" t="str">
        <f t="shared" si="51"/>
        <v>noviembre</v>
      </c>
    </row>
    <row r="721" spans="1:17" x14ac:dyDescent="0.25">
      <c r="A721" s="43">
        <v>11</v>
      </c>
      <c r="B721" s="43" t="s">
        <v>1256</v>
      </c>
      <c r="C721" s="43" t="s">
        <v>6</v>
      </c>
      <c r="D721" s="43" t="s">
        <v>1365</v>
      </c>
      <c r="E721" s="43">
        <v>446030648</v>
      </c>
      <c r="H721" s="43">
        <v>2550</v>
      </c>
      <c r="I721" s="43">
        <v>1200</v>
      </c>
      <c r="J721" s="43">
        <v>0</v>
      </c>
      <c r="K721" s="43">
        <v>1350</v>
      </c>
      <c r="L721" s="64"/>
      <c r="M721" s="44" t="s">
        <v>1360</v>
      </c>
      <c r="N721" s="25">
        <f t="shared" si="48"/>
        <v>25</v>
      </c>
      <c r="O721" s="25" t="str">
        <f t="shared" si="49"/>
        <v>martes</v>
      </c>
      <c r="P721" s="27">
        <f t="shared" si="50"/>
        <v>11</v>
      </c>
      <c r="Q721" s="22" t="str">
        <f t="shared" si="51"/>
        <v>noviembre</v>
      </c>
    </row>
    <row r="722" spans="1:17" x14ac:dyDescent="0.25">
      <c r="A722" s="43">
        <v>11</v>
      </c>
      <c r="B722" s="43" t="s">
        <v>1366</v>
      </c>
      <c r="C722" s="43" t="s">
        <v>19</v>
      </c>
      <c r="D722" s="43" t="s">
        <v>1367</v>
      </c>
      <c r="E722" s="43">
        <v>446027453</v>
      </c>
      <c r="H722" s="43">
        <v>2950</v>
      </c>
      <c r="I722" s="43">
        <v>1350</v>
      </c>
      <c r="J722" s="43">
        <v>0</v>
      </c>
      <c r="K722" s="43">
        <v>1600</v>
      </c>
      <c r="L722" s="64"/>
      <c r="M722" s="44" t="s">
        <v>1360</v>
      </c>
      <c r="N722" s="25">
        <f t="shared" si="48"/>
        <v>25</v>
      </c>
      <c r="O722" s="25" t="str">
        <f t="shared" si="49"/>
        <v>martes</v>
      </c>
      <c r="P722" s="27">
        <f t="shared" si="50"/>
        <v>11</v>
      </c>
      <c r="Q722" s="22" t="str">
        <f t="shared" si="51"/>
        <v>noviembre</v>
      </c>
    </row>
    <row r="723" spans="1:17" x14ac:dyDescent="0.25">
      <c r="A723" s="43">
        <v>11</v>
      </c>
      <c r="B723" s="43" t="s">
        <v>1368</v>
      </c>
      <c r="C723" s="43" t="s">
        <v>155</v>
      </c>
      <c r="D723" s="43" t="s">
        <v>1369</v>
      </c>
      <c r="E723" s="43">
        <v>446025575</v>
      </c>
      <c r="H723" s="43">
        <v>1740</v>
      </c>
      <c r="I723" s="43">
        <v>1250</v>
      </c>
      <c r="J723" s="43">
        <v>0</v>
      </c>
      <c r="K723" s="43">
        <v>490</v>
      </c>
      <c r="L723" s="64"/>
      <c r="M723" s="44" t="s">
        <v>1360</v>
      </c>
      <c r="N723" s="25">
        <f t="shared" si="48"/>
        <v>25</v>
      </c>
      <c r="O723" s="25" t="str">
        <f t="shared" si="49"/>
        <v>martes</v>
      </c>
      <c r="P723" s="27">
        <f t="shared" si="50"/>
        <v>11</v>
      </c>
      <c r="Q723" s="22" t="str">
        <f t="shared" si="51"/>
        <v>noviembre</v>
      </c>
    </row>
    <row r="724" spans="1:17" x14ac:dyDescent="0.25">
      <c r="A724">
        <v>12</v>
      </c>
      <c r="B724" t="s">
        <v>1348</v>
      </c>
      <c r="C724" t="s">
        <v>6</v>
      </c>
      <c r="D724" t="s">
        <v>170</v>
      </c>
      <c r="E724">
        <v>446407070</v>
      </c>
      <c r="H724">
        <v>3550</v>
      </c>
      <c r="I724">
        <v>1750</v>
      </c>
      <c r="J724">
        <v>0</v>
      </c>
      <c r="K724">
        <v>1800</v>
      </c>
      <c r="M724" s="39" t="s">
        <v>1349</v>
      </c>
      <c r="N724" s="25">
        <f t="shared" si="48"/>
        <v>28</v>
      </c>
      <c r="O724" s="25" t="str">
        <f t="shared" si="49"/>
        <v>viernes</v>
      </c>
      <c r="P724" s="27">
        <f t="shared" si="50"/>
        <v>11</v>
      </c>
      <c r="Q724" s="22" t="str">
        <f t="shared" si="51"/>
        <v>noviembre</v>
      </c>
    </row>
    <row r="725" spans="1:17" x14ac:dyDescent="0.25">
      <c r="A725">
        <v>12</v>
      </c>
      <c r="B725" t="s">
        <v>1350</v>
      </c>
      <c r="C725" t="s">
        <v>6</v>
      </c>
      <c r="D725" t="s">
        <v>545</v>
      </c>
      <c r="E725">
        <v>446405740</v>
      </c>
      <c r="H725">
        <v>2900</v>
      </c>
      <c r="I725">
        <v>1200</v>
      </c>
      <c r="J725">
        <v>0</v>
      </c>
      <c r="K725">
        <v>1700</v>
      </c>
      <c r="M725" s="39" t="s">
        <v>1349</v>
      </c>
      <c r="N725" s="25">
        <f t="shared" si="48"/>
        <v>28</v>
      </c>
      <c r="O725" s="25" t="str">
        <f t="shared" si="49"/>
        <v>viernes</v>
      </c>
      <c r="P725" s="27">
        <f t="shared" si="50"/>
        <v>11</v>
      </c>
      <c r="Q725" s="22" t="str">
        <f t="shared" si="51"/>
        <v>noviembre</v>
      </c>
    </row>
    <row r="726" spans="1:17" x14ac:dyDescent="0.25">
      <c r="A726">
        <v>12</v>
      </c>
      <c r="B726" t="s">
        <v>1351</v>
      </c>
      <c r="C726" t="s">
        <v>6</v>
      </c>
      <c r="D726" t="s">
        <v>545</v>
      </c>
      <c r="E726">
        <v>446400689</v>
      </c>
      <c r="H726">
        <v>2000</v>
      </c>
      <c r="I726">
        <v>1200</v>
      </c>
      <c r="J726">
        <v>0</v>
      </c>
      <c r="K726">
        <v>800</v>
      </c>
      <c r="M726" s="39" t="s">
        <v>1349</v>
      </c>
      <c r="N726" s="25">
        <f t="shared" si="48"/>
        <v>28</v>
      </c>
      <c r="O726" s="25" t="str">
        <f t="shared" si="49"/>
        <v>viernes</v>
      </c>
      <c r="P726" s="27">
        <f t="shared" si="50"/>
        <v>11</v>
      </c>
      <c r="Q726" s="22" t="str">
        <f t="shared" si="51"/>
        <v>noviembre</v>
      </c>
    </row>
    <row r="727" spans="1:17" x14ac:dyDescent="0.25">
      <c r="A727">
        <v>12</v>
      </c>
      <c r="B727" t="s">
        <v>1352</v>
      </c>
      <c r="C727" t="s">
        <v>6</v>
      </c>
      <c r="D727" t="s">
        <v>1283</v>
      </c>
      <c r="E727">
        <v>446383862</v>
      </c>
      <c r="H727">
        <v>2860</v>
      </c>
      <c r="I727">
        <v>1400</v>
      </c>
      <c r="J727">
        <v>0</v>
      </c>
      <c r="K727">
        <v>1460</v>
      </c>
      <c r="M727" s="39" t="s">
        <v>1349</v>
      </c>
      <c r="N727" s="25">
        <f t="shared" si="48"/>
        <v>28</v>
      </c>
      <c r="O727" s="25" t="str">
        <f t="shared" si="49"/>
        <v>viernes</v>
      </c>
      <c r="P727" s="27">
        <f t="shared" si="50"/>
        <v>11</v>
      </c>
      <c r="Q727" s="22" t="str">
        <f t="shared" si="51"/>
        <v>noviembre</v>
      </c>
    </row>
    <row r="728" spans="1:17" x14ac:dyDescent="0.25">
      <c r="A728">
        <v>11</v>
      </c>
      <c r="B728" t="s">
        <v>1353</v>
      </c>
      <c r="C728" t="s">
        <v>6</v>
      </c>
      <c r="D728" t="s">
        <v>1354</v>
      </c>
      <c r="E728">
        <v>446373316</v>
      </c>
      <c r="H728">
        <v>3960</v>
      </c>
      <c r="I728">
        <v>2300</v>
      </c>
      <c r="J728">
        <v>0</v>
      </c>
      <c r="K728">
        <v>1660</v>
      </c>
      <c r="M728" s="39" t="s">
        <v>1349</v>
      </c>
      <c r="N728" s="25">
        <f t="shared" si="48"/>
        <v>28</v>
      </c>
      <c r="O728" s="25" t="str">
        <f t="shared" si="49"/>
        <v>viernes</v>
      </c>
      <c r="P728" s="27">
        <f t="shared" si="50"/>
        <v>11</v>
      </c>
      <c r="Q728" s="22" t="str">
        <f t="shared" si="51"/>
        <v>noviembre</v>
      </c>
    </row>
    <row r="729" spans="1:17" x14ac:dyDescent="0.25">
      <c r="A729">
        <v>11</v>
      </c>
      <c r="B729" t="s">
        <v>1355</v>
      </c>
      <c r="C729" t="s">
        <v>6</v>
      </c>
      <c r="D729" t="s">
        <v>621</v>
      </c>
      <c r="E729">
        <v>446361037</v>
      </c>
      <c r="H729">
        <v>1950</v>
      </c>
      <c r="I729">
        <v>1250</v>
      </c>
      <c r="J729">
        <v>0</v>
      </c>
      <c r="K729">
        <v>700</v>
      </c>
      <c r="M729" s="39" t="s">
        <v>1349</v>
      </c>
      <c r="N729" s="25">
        <f t="shared" si="48"/>
        <v>28</v>
      </c>
      <c r="O729" s="25" t="str">
        <f t="shared" si="49"/>
        <v>viernes</v>
      </c>
      <c r="P729" s="27">
        <f t="shared" si="50"/>
        <v>11</v>
      </c>
      <c r="Q729" s="22" t="str">
        <f t="shared" si="51"/>
        <v>noviembre</v>
      </c>
    </row>
    <row r="730" spans="1:17" x14ac:dyDescent="0.25">
      <c r="A730">
        <v>11</v>
      </c>
      <c r="B730" t="s">
        <v>1356</v>
      </c>
      <c r="C730" t="s">
        <v>6</v>
      </c>
      <c r="D730" t="s">
        <v>1357</v>
      </c>
      <c r="E730">
        <v>446354323</v>
      </c>
      <c r="F730" t="s">
        <v>1358</v>
      </c>
      <c r="G730">
        <v>446353603</v>
      </c>
      <c r="H730">
        <v>4220</v>
      </c>
      <c r="I730">
        <v>1800</v>
      </c>
      <c r="J730">
        <v>0</v>
      </c>
      <c r="K730">
        <v>2420</v>
      </c>
      <c r="M730" s="39" t="s">
        <v>1349</v>
      </c>
      <c r="N730" s="25">
        <f t="shared" si="48"/>
        <v>28</v>
      </c>
      <c r="O730" s="25" t="str">
        <f t="shared" si="49"/>
        <v>viernes</v>
      </c>
      <c r="P730" s="27">
        <f t="shared" si="50"/>
        <v>11</v>
      </c>
      <c r="Q730" s="22" t="str">
        <f t="shared" si="51"/>
        <v>noviembre</v>
      </c>
    </row>
    <row r="731" spans="1:17" x14ac:dyDescent="0.25">
      <c r="A731">
        <v>12</v>
      </c>
      <c r="B731" t="s">
        <v>1370</v>
      </c>
      <c r="C731" t="s">
        <v>6</v>
      </c>
      <c r="D731" t="s">
        <v>1371</v>
      </c>
      <c r="E731">
        <v>446551867</v>
      </c>
      <c r="H731">
        <v>3601</v>
      </c>
      <c r="I731">
        <v>2541</v>
      </c>
      <c r="J731">
        <v>0</v>
      </c>
      <c r="K731">
        <v>1060</v>
      </c>
      <c r="M731" s="39" t="s">
        <v>1372</v>
      </c>
      <c r="N731" s="25">
        <f t="shared" si="48"/>
        <v>29</v>
      </c>
      <c r="O731" s="25" t="str">
        <f t="shared" si="49"/>
        <v>sábado</v>
      </c>
      <c r="P731" s="27">
        <f t="shared" si="50"/>
        <v>11</v>
      </c>
      <c r="Q731" s="22" t="str">
        <f t="shared" si="51"/>
        <v>noviembre</v>
      </c>
    </row>
    <row r="732" spans="1:17" x14ac:dyDescent="0.25">
      <c r="A732">
        <v>12</v>
      </c>
      <c r="B732" t="s">
        <v>1373</v>
      </c>
      <c r="C732" t="s">
        <v>19</v>
      </c>
      <c r="D732" t="s">
        <v>1374</v>
      </c>
      <c r="E732">
        <v>446548680</v>
      </c>
      <c r="H732">
        <v>2304.4</v>
      </c>
      <c r="I732">
        <v>1764.4</v>
      </c>
      <c r="J732">
        <v>0</v>
      </c>
      <c r="K732">
        <v>540</v>
      </c>
      <c r="M732" s="39" t="s">
        <v>1372</v>
      </c>
      <c r="N732" s="25">
        <f t="shared" si="48"/>
        <v>29</v>
      </c>
      <c r="O732" s="25" t="str">
        <f t="shared" si="49"/>
        <v>sábado</v>
      </c>
      <c r="P732" s="27">
        <f t="shared" si="50"/>
        <v>11</v>
      </c>
      <c r="Q732" s="22" t="str">
        <f t="shared" si="51"/>
        <v>noviembre</v>
      </c>
    </row>
    <row r="733" spans="1:17" x14ac:dyDescent="0.25">
      <c r="A733">
        <v>12</v>
      </c>
      <c r="B733" t="s">
        <v>1375</v>
      </c>
      <c r="C733" t="s">
        <v>6</v>
      </c>
      <c r="D733" t="s">
        <v>1376</v>
      </c>
      <c r="E733">
        <v>446541558</v>
      </c>
      <c r="H733">
        <v>3700</v>
      </c>
      <c r="I733">
        <v>3700</v>
      </c>
      <c r="J733">
        <v>0</v>
      </c>
      <c r="K733">
        <v>0</v>
      </c>
      <c r="M733" s="39" t="s">
        <v>1372</v>
      </c>
      <c r="N733" s="25">
        <f t="shared" si="48"/>
        <v>29</v>
      </c>
      <c r="O733" s="25" t="str">
        <f t="shared" si="49"/>
        <v>sábado</v>
      </c>
      <c r="P733" s="27">
        <f t="shared" si="50"/>
        <v>11</v>
      </c>
      <c r="Q733" s="22" t="str">
        <f t="shared" si="51"/>
        <v>noviembre</v>
      </c>
    </row>
    <row r="734" spans="1:17" x14ac:dyDescent="0.25">
      <c r="A734">
        <v>12</v>
      </c>
      <c r="B734" t="s">
        <v>1352</v>
      </c>
      <c r="C734" t="s">
        <v>19</v>
      </c>
      <c r="D734" t="s">
        <v>1377</v>
      </c>
      <c r="E734">
        <v>446537934</v>
      </c>
      <c r="H734">
        <v>2741</v>
      </c>
      <c r="I734">
        <v>2541</v>
      </c>
      <c r="J734">
        <v>0</v>
      </c>
      <c r="K734">
        <v>200</v>
      </c>
      <c r="M734" s="39" t="s">
        <v>1372</v>
      </c>
      <c r="N734" s="25">
        <f t="shared" si="48"/>
        <v>29</v>
      </c>
      <c r="O734" s="25" t="str">
        <f t="shared" si="49"/>
        <v>sábado</v>
      </c>
      <c r="P734" s="27">
        <f t="shared" si="50"/>
        <v>11</v>
      </c>
      <c r="Q734" s="22" t="str">
        <f t="shared" si="51"/>
        <v>noviembre</v>
      </c>
    </row>
    <row r="735" spans="1:17" x14ac:dyDescent="0.25">
      <c r="A735">
        <v>12</v>
      </c>
      <c r="B735" t="s">
        <v>1378</v>
      </c>
      <c r="C735" t="s">
        <v>19</v>
      </c>
      <c r="D735" t="s">
        <v>1379</v>
      </c>
      <c r="E735">
        <v>446498982</v>
      </c>
      <c r="H735">
        <v>4910</v>
      </c>
      <c r="I735">
        <v>3050</v>
      </c>
      <c r="J735">
        <v>0</v>
      </c>
      <c r="K735">
        <v>1860</v>
      </c>
      <c r="M735" s="39" t="s">
        <v>1372</v>
      </c>
      <c r="N735" s="25">
        <f t="shared" si="48"/>
        <v>29</v>
      </c>
      <c r="O735" s="25" t="str">
        <f t="shared" si="49"/>
        <v>sábado</v>
      </c>
      <c r="P735" s="27">
        <f t="shared" si="50"/>
        <v>11</v>
      </c>
      <c r="Q735" s="22" t="str">
        <f t="shared" si="51"/>
        <v>noviembre</v>
      </c>
    </row>
    <row r="736" spans="1:17" x14ac:dyDescent="0.25">
      <c r="A736">
        <v>11</v>
      </c>
      <c r="B736" t="s">
        <v>1380</v>
      </c>
      <c r="C736" t="s">
        <v>19</v>
      </c>
      <c r="D736" t="s">
        <v>1381</v>
      </c>
      <c r="E736">
        <v>446520095</v>
      </c>
      <c r="H736">
        <v>3981</v>
      </c>
      <c r="I736">
        <v>2541</v>
      </c>
      <c r="J736">
        <v>0</v>
      </c>
      <c r="K736">
        <v>1440</v>
      </c>
      <c r="M736" s="39" t="s">
        <v>1372</v>
      </c>
      <c r="N736" s="25">
        <f t="shared" si="48"/>
        <v>29</v>
      </c>
      <c r="O736" s="25" t="str">
        <f t="shared" si="49"/>
        <v>sábado</v>
      </c>
      <c r="P736" s="27">
        <f t="shared" si="50"/>
        <v>11</v>
      </c>
      <c r="Q736" s="22" t="str">
        <f t="shared" si="51"/>
        <v>noviembre</v>
      </c>
    </row>
    <row r="737" spans="1:19" x14ac:dyDescent="0.25">
      <c r="A737">
        <v>11</v>
      </c>
      <c r="B737" t="s">
        <v>1382</v>
      </c>
      <c r="C737" t="s">
        <v>6</v>
      </c>
      <c r="D737" t="s">
        <v>1383</v>
      </c>
      <c r="E737">
        <v>446506182</v>
      </c>
      <c r="F737" t="s">
        <v>1384</v>
      </c>
      <c r="G737">
        <v>446510833</v>
      </c>
      <c r="H737">
        <v>8710</v>
      </c>
      <c r="I737">
        <v>3450</v>
      </c>
      <c r="J737">
        <v>0</v>
      </c>
      <c r="K737">
        <v>5260</v>
      </c>
      <c r="M737" s="39" t="s">
        <v>1372</v>
      </c>
      <c r="N737" s="25">
        <f t="shared" si="48"/>
        <v>29</v>
      </c>
      <c r="O737" s="25" t="str">
        <f t="shared" si="49"/>
        <v>sábado</v>
      </c>
      <c r="P737" s="27">
        <f t="shared" si="50"/>
        <v>11</v>
      </c>
      <c r="Q737" s="22" t="str">
        <f t="shared" si="51"/>
        <v>noviembre</v>
      </c>
    </row>
    <row r="738" spans="1:19" x14ac:dyDescent="0.25">
      <c r="A738">
        <v>11</v>
      </c>
      <c r="B738" t="s">
        <v>1385</v>
      </c>
      <c r="C738" t="s">
        <v>6</v>
      </c>
      <c r="D738" t="s">
        <v>1386</v>
      </c>
      <c r="E738">
        <v>446498173</v>
      </c>
      <c r="H738">
        <v>5150</v>
      </c>
      <c r="I738">
        <v>4150</v>
      </c>
      <c r="J738">
        <v>0</v>
      </c>
      <c r="K738">
        <v>1000</v>
      </c>
      <c r="M738" s="39" t="s">
        <v>1372</v>
      </c>
      <c r="N738" s="25">
        <f t="shared" si="48"/>
        <v>29</v>
      </c>
      <c r="O738" s="25" t="str">
        <f t="shared" si="49"/>
        <v>sábado</v>
      </c>
      <c r="P738" s="27">
        <f t="shared" si="50"/>
        <v>11</v>
      </c>
      <c r="Q738" s="22" t="str">
        <f t="shared" si="51"/>
        <v>noviembre</v>
      </c>
    </row>
    <row r="739" spans="1:19" x14ac:dyDescent="0.25">
      <c r="A739">
        <v>11</v>
      </c>
      <c r="B739" t="s">
        <v>1387</v>
      </c>
      <c r="C739" t="s">
        <v>19</v>
      </c>
      <c r="D739" t="s">
        <v>1388</v>
      </c>
      <c r="E739">
        <v>446498025</v>
      </c>
      <c r="H739">
        <v>4141</v>
      </c>
      <c r="I739">
        <v>2541</v>
      </c>
      <c r="J739">
        <v>0</v>
      </c>
      <c r="K739">
        <v>1600</v>
      </c>
      <c r="M739" s="39" t="s">
        <v>1372</v>
      </c>
      <c r="N739" s="25">
        <f t="shared" si="48"/>
        <v>29</v>
      </c>
      <c r="O739" s="25" t="str">
        <f t="shared" si="49"/>
        <v>sábado</v>
      </c>
      <c r="P739" s="27">
        <f t="shared" si="50"/>
        <v>11</v>
      </c>
      <c r="Q739" s="22" t="str">
        <f t="shared" si="51"/>
        <v>noviembre</v>
      </c>
    </row>
    <row r="740" spans="1:19" x14ac:dyDescent="0.25">
      <c r="A740">
        <v>10</v>
      </c>
      <c r="B740" t="s">
        <v>1389</v>
      </c>
      <c r="C740" t="s">
        <v>19</v>
      </c>
      <c r="D740" t="s">
        <v>178</v>
      </c>
      <c r="E740">
        <v>446494489</v>
      </c>
      <c r="H740">
        <v>3750</v>
      </c>
      <c r="I740">
        <v>2950</v>
      </c>
      <c r="J740">
        <v>0</v>
      </c>
      <c r="K740">
        <v>800</v>
      </c>
      <c r="M740" s="39" t="s">
        <v>1372</v>
      </c>
      <c r="N740" s="25">
        <f t="shared" si="48"/>
        <v>29</v>
      </c>
      <c r="O740" s="25" t="str">
        <f t="shared" si="49"/>
        <v>sábado</v>
      </c>
      <c r="P740" s="27">
        <f t="shared" si="50"/>
        <v>11</v>
      </c>
      <c r="Q740" s="22" t="str">
        <f t="shared" si="51"/>
        <v>noviembre</v>
      </c>
    </row>
    <row r="741" spans="1:19" x14ac:dyDescent="0.25">
      <c r="A741">
        <v>10</v>
      </c>
      <c r="B741" t="s">
        <v>1390</v>
      </c>
      <c r="C741" t="s">
        <v>19</v>
      </c>
      <c r="D741" t="s">
        <v>1391</v>
      </c>
      <c r="E741">
        <v>446491066</v>
      </c>
      <c r="H741">
        <v>3341</v>
      </c>
      <c r="I741">
        <v>2541</v>
      </c>
      <c r="J741">
        <v>0</v>
      </c>
      <c r="K741">
        <v>800</v>
      </c>
      <c r="M741" s="39" t="s">
        <v>1372</v>
      </c>
      <c r="N741" s="25">
        <f t="shared" si="48"/>
        <v>29</v>
      </c>
      <c r="O741" s="25" t="str">
        <f t="shared" si="49"/>
        <v>sábado</v>
      </c>
      <c r="P741" s="27">
        <f t="shared" si="50"/>
        <v>11</v>
      </c>
      <c r="Q741" s="22" t="str">
        <f t="shared" si="51"/>
        <v>noviembre</v>
      </c>
    </row>
    <row r="742" spans="1:19" x14ac:dyDescent="0.25">
      <c r="A742">
        <v>10</v>
      </c>
      <c r="B742" t="s">
        <v>1392</v>
      </c>
      <c r="C742" t="s">
        <v>19</v>
      </c>
      <c r="D742" t="s">
        <v>142</v>
      </c>
      <c r="E742">
        <v>446486528</v>
      </c>
      <c r="F742" t="s">
        <v>1393</v>
      </c>
      <c r="H742">
        <v>5680</v>
      </c>
      <c r="I742">
        <v>3800</v>
      </c>
      <c r="J742">
        <v>0</v>
      </c>
      <c r="K742">
        <v>1880</v>
      </c>
      <c r="M742" s="39" t="s">
        <v>1372</v>
      </c>
      <c r="N742" s="25">
        <f t="shared" si="48"/>
        <v>29</v>
      </c>
      <c r="O742" s="25" t="str">
        <f t="shared" si="49"/>
        <v>sábado</v>
      </c>
      <c r="P742" s="27">
        <f t="shared" si="50"/>
        <v>11</v>
      </c>
      <c r="Q742" s="22" t="str">
        <f t="shared" si="51"/>
        <v>noviembre</v>
      </c>
    </row>
    <row r="743" spans="1:19" x14ac:dyDescent="0.25">
      <c r="A743">
        <v>10</v>
      </c>
      <c r="B743" t="s">
        <v>1394</v>
      </c>
      <c r="C743" t="s">
        <v>6</v>
      </c>
      <c r="D743" t="s">
        <v>1175</v>
      </c>
      <c r="E743">
        <v>446484279</v>
      </c>
      <c r="H743">
        <v>3100</v>
      </c>
      <c r="I743">
        <v>1200</v>
      </c>
      <c r="J743">
        <v>0</v>
      </c>
      <c r="K743">
        <v>1900</v>
      </c>
      <c r="M743" s="39" t="s">
        <v>1372</v>
      </c>
      <c r="N743" s="25">
        <f t="shared" si="48"/>
        <v>29</v>
      </c>
      <c r="O743" s="25" t="str">
        <f t="shared" si="49"/>
        <v>sábado</v>
      </c>
      <c r="P743" s="27">
        <f t="shared" si="50"/>
        <v>11</v>
      </c>
      <c r="Q743" s="22" t="str">
        <f t="shared" si="51"/>
        <v>noviembre</v>
      </c>
    </row>
    <row r="744" spans="1:19" x14ac:dyDescent="0.25">
      <c r="A744">
        <v>3</v>
      </c>
      <c r="B744" t="s">
        <v>1395</v>
      </c>
      <c r="C744" t="s">
        <v>19</v>
      </c>
      <c r="D744" t="s">
        <v>1137</v>
      </c>
      <c r="E744">
        <v>446428404</v>
      </c>
      <c r="H744">
        <v>3050</v>
      </c>
      <c r="I744">
        <v>2950</v>
      </c>
      <c r="J744">
        <v>0</v>
      </c>
      <c r="K744">
        <v>100</v>
      </c>
      <c r="M744" s="39" t="s">
        <v>1372</v>
      </c>
      <c r="N744" s="25">
        <f t="shared" si="48"/>
        <v>29</v>
      </c>
      <c r="O744" s="25" t="str">
        <f t="shared" si="49"/>
        <v>sábado</v>
      </c>
      <c r="P744" s="27">
        <f t="shared" si="50"/>
        <v>11</v>
      </c>
      <c r="Q744" s="22" t="str">
        <f t="shared" si="51"/>
        <v>noviembre</v>
      </c>
    </row>
    <row r="745" spans="1:19" x14ac:dyDescent="0.25">
      <c r="A745">
        <v>3</v>
      </c>
      <c r="B745" t="s">
        <v>1396</v>
      </c>
      <c r="C745" t="s">
        <v>6</v>
      </c>
      <c r="D745" t="s">
        <v>331</v>
      </c>
      <c r="E745">
        <v>446428217</v>
      </c>
      <c r="H745">
        <v>2040</v>
      </c>
      <c r="I745">
        <v>1200</v>
      </c>
      <c r="J745">
        <v>0</v>
      </c>
      <c r="K745">
        <v>840</v>
      </c>
      <c r="M745" s="39" t="s">
        <v>1372</v>
      </c>
      <c r="N745" s="25">
        <f t="shared" si="48"/>
        <v>29</v>
      </c>
      <c r="O745" s="25" t="str">
        <f t="shared" si="49"/>
        <v>sábado</v>
      </c>
      <c r="P745" s="27">
        <f t="shared" si="50"/>
        <v>11</v>
      </c>
      <c r="Q745" s="22" t="str">
        <f t="shared" si="51"/>
        <v>noviembre</v>
      </c>
    </row>
    <row r="746" spans="1:19" x14ac:dyDescent="0.25">
      <c r="A746">
        <v>3</v>
      </c>
      <c r="B746" t="s">
        <v>1397</v>
      </c>
      <c r="C746" t="s">
        <v>6</v>
      </c>
      <c r="D746" t="s">
        <v>183</v>
      </c>
      <c r="E746">
        <v>446427924</v>
      </c>
      <c r="H746">
        <v>3060</v>
      </c>
      <c r="I746">
        <v>1200</v>
      </c>
      <c r="J746">
        <v>0</v>
      </c>
      <c r="K746">
        <v>1860</v>
      </c>
      <c r="M746" s="39" t="s">
        <v>1372</v>
      </c>
      <c r="N746" s="25">
        <f t="shared" si="48"/>
        <v>29</v>
      </c>
      <c r="O746" s="25" t="str">
        <f t="shared" si="49"/>
        <v>sábado</v>
      </c>
      <c r="P746" s="27">
        <f t="shared" si="50"/>
        <v>11</v>
      </c>
      <c r="Q746" s="22" t="str">
        <f t="shared" si="51"/>
        <v>noviembre</v>
      </c>
    </row>
    <row r="747" spans="1:19" x14ac:dyDescent="0.25">
      <c r="A747">
        <v>3</v>
      </c>
      <c r="B747" t="s">
        <v>1398</v>
      </c>
      <c r="C747" t="s">
        <v>19</v>
      </c>
      <c r="D747" t="s">
        <v>1399</v>
      </c>
      <c r="E747">
        <v>446427756</v>
      </c>
      <c r="H747">
        <v>1980</v>
      </c>
      <c r="I747">
        <v>1200</v>
      </c>
      <c r="J747">
        <v>0</v>
      </c>
      <c r="K747">
        <v>780</v>
      </c>
      <c r="M747" s="39" t="s">
        <v>1372</v>
      </c>
      <c r="N747" s="25">
        <f t="shared" si="48"/>
        <v>29</v>
      </c>
      <c r="O747" s="25" t="str">
        <f t="shared" si="49"/>
        <v>sábado</v>
      </c>
      <c r="P747" s="27">
        <f t="shared" si="50"/>
        <v>11</v>
      </c>
      <c r="Q747" s="22" t="str">
        <f t="shared" si="51"/>
        <v>noviembre</v>
      </c>
    </row>
    <row r="748" spans="1:19" x14ac:dyDescent="0.25">
      <c r="A748">
        <v>2</v>
      </c>
      <c r="B748" t="s">
        <v>1400</v>
      </c>
      <c r="C748" t="s">
        <v>6</v>
      </c>
      <c r="D748" t="s">
        <v>331</v>
      </c>
      <c r="E748">
        <v>446427501</v>
      </c>
      <c r="H748">
        <v>1350</v>
      </c>
      <c r="I748">
        <v>1350</v>
      </c>
      <c r="J748">
        <v>0</v>
      </c>
      <c r="K748">
        <v>0</v>
      </c>
      <c r="M748" s="39" t="s">
        <v>1372</v>
      </c>
      <c r="N748" s="25">
        <f t="shared" si="48"/>
        <v>29</v>
      </c>
      <c r="O748" s="25" t="str">
        <f t="shared" si="49"/>
        <v>sábado</v>
      </c>
      <c r="P748" s="27">
        <f t="shared" si="50"/>
        <v>11</v>
      </c>
      <c r="Q748" s="22" t="str">
        <f t="shared" si="51"/>
        <v>noviembre</v>
      </c>
    </row>
    <row r="749" spans="1:19" x14ac:dyDescent="0.25">
      <c r="A749">
        <v>2</v>
      </c>
      <c r="B749" t="s">
        <v>1401</v>
      </c>
      <c r="C749" t="s">
        <v>6</v>
      </c>
      <c r="D749" t="s">
        <v>183</v>
      </c>
      <c r="E749">
        <v>446426866</v>
      </c>
      <c r="H749">
        <v>3060</v>
      </c>
      <c r="I749">
        <v>1200</v>
      </c>
      <c r="J749">
        <v>0</v>
      </c>
      <c r="K749">
        <v>1860</v>
      </c>
      <c r="M749" s="39" t="s">
        <v>1372</v>
      </c>
      <c r="N749" s="25">
        <f t="shared" si="48"/>
        <v>29</v>
      </c>
      <c r="O749" s="25" t="str">
        <f t="shared" si="49"/>
        <v>sábado</v>
      </c>
      <c r="P749" s="27">
        <f t="shared" si="50"/>
        <v>11</v>
      </c>
      <c r="Q749" s="22" t="str">
        <f t="shared" si="51"/>
        <v>noviembre</v>
      </c>
    </row>
    <row r="750" spans="1:19" x14ac:dyDescent="0.25">
      <c r="A750">
        <v>2</v>
      </c>
      <c r="B750" t="s">
        <v>1402</v>
      </c>
      <c r="C750" t="s">
        <v>6</v>
      </c>
      <c r="D750" t="s">
        <v>394</v>
      </c>
      <c r="E750">
        <v>446425344</v>
      </c>
      <c r="H750">
        <v>2920</v>
      </c>
      <c r="I750">
        <v>1200</v>
      </c>
      <c r="J750">
        <v>0</v>
      </c>
      <c r="K750">
        <v>1720</v>
      </c>
      <c r="M750" s="39" t="s">
        <v>1372</v>
      </c>
      <c r="N750" s="25">
        <f t="shared" si="48"/>
        <v>29</v>
      </c>
      <c r="O750" s="25" t="str">
        <f t="shared" si="49"/>
        <v>sábado</v>
      </c>
      <c r="P750" s="27">
        <f t="shared" si="50"/>
        <v>11</v>
      </c>
      <c r="Q750" s="22" t="str">
        <f t="shared" si="51"/>
        <v>noviembre</v>
      </c>
      <c r="R750" t="s">
        <v>394</v>
      </c>
      <c r="S750">
        <v>27842</v>
      </c>
    </row>
    <row r="751" spans="1:19" x14ac:dyDescent="0.25">
      <c r="A751">
        <v>1</v>
      </c>
      <c r="B751" t="s">
        <v>1403</v>
      </c>
      <c r="C751" t="s">
        <v>6</v>
      </c>
      <c r="D751" t="s">
        <v>184</v>
      </c>
      <c r="E751">
        <v>446419111</v>
      </c>
      <c r="H751">
        <v>2160</v>
      </c>
      <c r="I751">
        <v>1200</v>
      </c>
      <c r="J751">
        <v>0</v>
      </c>
      <c r="K751">
        <v>960</v>
      </c>
      <c r="M751" s="39" t="s">
        <v>1372</v>
      </c>
      <c r="N751" s="25">
        <f t="shared" si="48"/>
        <v>29</v>
      </c>
      <c r="O751" s="25" t="str">
        <f t="shared" si="49"/>
        <v>sábado</v>
      </c>
      <c r="P751" s="27">
        <f t="shared" si="50"/>
        <v>11</v>
      </c>
      <c r="Q751" s="22" t="str">
        <f t="shared" si="51"/>
        <v>noviembre</v>
      </c>
    </row>
    <row r="752" spans="1:19" x14ac:dyDescent="0.25">
      <c r="A752">
        <v>3</v>
      </c>
      <c r="B752" t="s">
        <v>1404</v>
      </c>
      <c r="C752" t="s">
        <v>6</v>
      </c>
      <c r="D752" t="s">
        <v>331</v>
      </c>
      <c r="E752">
        <v>446572098</v>
      </c>
      <c r="F752" t="s">
        <v>331</v>
      </c>
      <c r="G752">
        <v>446572223</v>
      </c>
      <c r="H752">
        <v>2050</v>
      </c>
      <c r="I752">
        <v>2050</v>
      </c>
      <c r="J752">
        <v>0</v>
      </c>
      <c r="K752">
        <v>0</v>
      </c>
      <c r="M752" s="39" t="s">
        <v>1405</v>
      </c>
      <c r="N752" s="25">
        <f t="shared" si="48"/>
        <v>30</v>
      </c>
      <c r="O752" s="25" t="str">
        <f t="shared" si="49"/>
        <v>domingo</v>
      </c>
      <c r="P752" s="27">
        <f t="shared" si="50"/>
        <v>11</v>
      </c>
      <c r="Q752" s="22" t="str">
        <f t="shared" si="51"/>
        <v>noviembre</v>
      </c>
      <c r="R752" t="s">
        <v>331</v>
      </c>
      <c r="S752">
        <v>21400</v>
      </c>
    </row>
    <row r="753" spans="1:17" x14ac:dyDescent="0.25">
      <c r="A753">
        <v>2</v>
      </c>
      <c r="B753" t="s">
        <v>1406</v>
      </c>
      <c r="C753" t="s">
        <v>6</v>
      </c>
      <c r="D753" t="s">
        <v>183</v>
      </c>
      <c r="E753">
        <v>446571830</v>
      </c>
      <c r="H753">
        <v>1720</v>
      </c>
      <c r="I753">
        <v>1200</v>
      </c>
      <c r="J753">
        <v>0</v>
      </c>
      <c r="K753">
        <v>520</v>
      </c>
      <c r="M753" s="39" t="s">
        <v>1405</v>
      </c>
      <c r="N753" s="25">
        <f t="shared" si="48"/>
        <v>30</v>
      </c>
      <c r="O753" s="25" t="str">
        <f t="shared" si="49"/>
        <v>domingo</v>
      </c>
      <c r="P753" s="27">
        <f t="shared" si="50"/>
        <v>11</v>
      </c>
      <c r="Q753" s="22" t="str">
        <f t="shared" si="51"/>
        <v>noviembre</v>
      </c>
    </row>
    <row r="754" spans="1:17" x14ac:dyDescent="0.25">
      <c r="A754">
        <v>1</v>
      </c>
      <c r="B754" t="s">
        <v>1407</v>
      </c>
      <c r="C754" t="s">
        <v>19</v>
      </c>
      <c r="D754" t="s">
        <v>1408</v>
      </c>
      <c r="E754">
        <v>446568763</v>
      </c>
      <c r="H754">
        <v>1301</v>
      </c>
      <c r="I754">
        <v>1300</v>
      </c>
      <c r="J754">
        <v>0</v>
      </c>
      <c r="K754">
        <v>1</v>
      </c>
      <c r="M754" s="39" t="s">
        <v>1405</v>
      </c>
      <c r="N754" s="25">
        <f t="shared" si="48"/>
        <v>30</v>
      </c>
      <c r="O754" s="25" t="str">
        <f t="shared" si="49"/>
        <v>domingo</v>
      </c>
      <c r="P754" s="27">
        <f t="shared" si="50"/>
        <v>11</v>
      </c>
      <c r="Q754" s="22" t="str">
        <f t="shared" si="51"/>
        <v>noviembre</v>
      </c>
    </row>
    <row r="755" spans="1:17" x14ac:dyDescent="0.25">
      <c r="A755">
        <v>1</v>
      </c>
      <c r="B755" t="s">
        <v>1409</v>
      </c>
      <c r="C755" t="s">
        <v>6</v>
      </c>
      <c r="D755" t="s">
        <v>1410</v>
      </c>
      <c r="E755">
        <v>446566968</v>
      </c>
      <c r="H755">
        <v>3380</v>
      </c>
      <c r="I755">
        <v>1500</v>
      </c>
      <c r="J755">
        <v>0</v>
      </c>
      <c r="K755">
        <v>1880</v>
      </c>
      <c r="M755" s="39" t="s">
        <v>1405</v>
      </c>
      <c r="N755" s="25">
        <f t="shared" si="48"/>
        <v>30</v>
      </c>
      <c r="O755" s="25" t="str">
        <f t="shared" si="49"/>
        <v>domingo</v>
      </c>
      <c r="P755" s="27">
        <f t="shared" si="50"/>
        <v>11</v>
      </c>
      <c r="Q755" s="22" t="str">
        <f t="shared" si="51"/>
        <v>noviembre</v>
      </c>
    </row>
    <row r="756" spans="1:17" x14ac:dyDescent="0.25">
      <c r="A756">
        <v>1</v>
      </c>
      <c r="B756" t="s">
        <v>1411</v>
      </c>
      <c r="C756" t="s">
        <v>19</v>
      </c>
      <c r="D756" t="s">
        <v>1412</v>
      </c>
      <c r="E756">
        <v>446565929</v>
      </c>
      <c r="H756">
        <v>2560</v>
      </c>
      <c r="I756">
        <v>1600</v>
      </c>
      <c r="J756">
        <v>0</v>
      </c>
      <c r="K756">
        <v>960</v>
      </c>
      <c r="M756" s="39" t="s">
        <v>1405</v>
      </c>
      <c r="N756" s="25">
        <f t="shared" si="48"/>
        <v>30</v>
      </c>
      <c r="O756" s="25" t="str">
        <f t="shared" si="49"/>
        <v>domingo</v>
      </c>
      <c r="P756" s="27">
        <f t="shared" si="50"/>
        <v>11</v>
      </c>
      <c r="Q756" s="22" t="str">
        <f t="shared" si="51"/>
        <v>noviembre</v>
      </c>
    </row>
    <row r="757" spans="1:17" x14ac:dyDescent="0.25">
      <c r="A757">
        <v>1</v>
      </c>
      <c r="B757" t="s">
        <v>1413</v>
      </c>
      <c r="C757" t="s">
        <v>19</v>
      </c>
      <c r="D757" t="s">
        <v>1412</v>
      </c>
      <c r="E757">
        <v>446564975</v>
      </c>
      <c r="H757">
        <v>1750</v>
      </c>
      <c r="I757">
        <v>1750</v>
      </c>
      <c r="J757">
        <v>0</v>
      </c>
      <c r="K757">
        <v>0</v>
      </c>
      <c r="M757" s="39" t="s">
        <v>1405</v>
      </c>
      <c r="N757" s="25">
        <f t="shared" si="48"/>
        <v>30</v>
      </c>
      <c r="O757" s="25" t="str">
        <f t="shared" si="49"/>
        <v>domingo</v>
      </c>
      <c r="P757" s="27">
        <f t="shared" si="50"/>
        <v>11</v>
      </c>
      <c r="Q757" s="22" t="str">
        <f t="shared" si="51"/>
        <v>noviembre</v>
      </c>
    </row>
    <row r="758" spans="1:17" x14ac:dyDescent="0.25">
      <c r="A758">
        <v>1</v>
      </c>
      <c r="B758" t="s">
        <v>1414</v>
      </c>
      <c r="C758" t="s">
        <v>6</v>
      </c>
      <c r="D758" t="s">
        <v>1410</v>
      </c>
      <c r="E758">
        <v>446562822</v>
      </c>
      <c r="H758">
        <v>1970</v>
      </c>
      <c r="I758">
        <v>1250</v>
      </c>
      <c r="J758">
        <v>0</v>
      </c>
      <c r="K758">
        <v>720</v>
      </c>
      <c r="M758" s="39" t="s">
        <v>1405</v>
      </c>
      <c r="N758" s="25">
        <f t="shared" si="48"/>
        <v>30</v>
      </c>
      <c r="O758" s="25" t="str">
        <f t="shared" si="49"/>
        <v>domingo</v>
      </c>
      <c r="P758" s="27">
        <f t="shared" si="50"/>
        <v>11</v>
      </c>
      <c r="Q758" s="22" t="str">
        <f t="shared" si="51"/>
        <v>noviembre</v>
      </c>
    </row>
    <row r="759" spans="1:17" x14ac:dyDescent="0.25">
      <c r="A759">
        <v>1</v>
      </c>
      <c r="B759" t="s">
        <v>1415</v>
      </c>
      <c r="C759" t="s">
        <v>19</v>
      </c>
      <c r="D759" t="s">
        <v>1408</v>
      </c>
      <c r="E759">
        <v>446557460</v>
      </c>
      <c r="F759" t="s">
        <v>1408</v>
      </c>
      <c r="G759">
        <v>446559175</v>
      </c>
      <c r="H759">
        <v>3002</v>
      </c>
      <c r="I759">
        <v>3000</v>
      </c>
      <c r="J759">
        <v>0</v>
      </c>
      <c r="K759">
        <v>2</v>
      </c>
      <c r="M759" s="39" t="s">
        <v>1405</v>
      </c>
      <c r="N759" s="25">
        <f t="shared" si="48"/>
        <v>30</v>
      </c>
      <c r="O759" s="25" t="str">
        <f t="shared" si="49"/>
        <v>domingo</v>
      </c>
      <c r="P759" s="27">
        <f t="shared" si="50"/>
        <v>11</v>
      </c>
      <c r="Q759" s="22" t="str">
        <f t="shared" si="51"/>
        <v>noviembre</v>
      </c>
    </row>
    <row r="760" spans="1:17" x14ac:dyDescent="0.25">
      <c r="A760">
        <v>12</v>
      </c>
      <c r="B760" t="s">
        <v>1431</v>
      </c>
      <c r="C760" t="s">
        <v>6</v>
      </c>
      <c r="D760" t="s">
        <v>1432</v>
      </c>
      <c r="E760">
        <v>447010810</v>
      </c>
      <c r="H760">
        <v>2800</v>
      </c>
      <c r="I760">
        <v>1200</v>
      </c>
      <c r="J760">
        <v>0</v>
      </c>
      <c r="K760">
        <v>1600</v>
      </c>
      <c r="M760" s="39" t="s">
        <v>1433</v>
      </c>
      <c r="N760" s="25">
        <f t="shared" si="48"/>
        <v>3</v>
      </c>
      <c r="O760" s="25" t="str">
        <f t="shared" si="49"/>
        <v>miércoles</v>
      </c>
      <c r="P760" s="27">
        <f t="shared" si="50"/>
        <v>12</v>
      </c>
      <c r="Q760" s="22" t="str">
        <f t="shared" si="51"/>
        <v>diciembre</v>
      </c>
    </row>
    <row r="761" spans="1:17" x14ac:dyDescent="0.25">
      <c r="A761">
        <v>12</v>
      </c>
      <c r="B761" t="s">
        <v>1434</v>
      </c>
      <c r="C761" t="s">
        <v>6</v>
      </c>
      <c r="D761" t="s">
        <v>157</v>
      </c>
      <c r="E761">
        <v>447029582</v>
      </c>
      <c r="F761" t="s">
        <v>350</v>
      </c>
      <c r="G761">
        <v>447029671</v>
      </c>
      <c r="H761">
        <v>2100</v>
      </c>
      <c r="I761">
        <v>2100</v>
      </c>
      <c r="J761">
        <v>0</v>
      </c>
      <c r="K761">
        <v>0</v>
      </c>
      <c r="M761" s="39" t="s">
        <v>1433</v>
      </c>
      <c r="N761" s="25">
        <f t="shared" si="48"/>
        <v>3</v>
      </c>
      <c r="O761" s="25" t="str">
        <f t="shared" si="49"/>
        <v>miércoles</v>
      </c>
      <c r="P761" s="27">
        <f t="shared" si="50"/>
        <v>12</v>
      </c>
      <c r="Q761" s="22" t="str">
        <f t="shared" si="51"/>
        <v>diciembre</v>
      </c>
    </row>
    <row r="762" spans="1:17" x14ac:dyDescent="0.25">
      <c r="A762">
        <v>12</v>
      </c>
      <c r="B762" t="s">
        <v>1435</v>
      </c>
      <c r="C762" t="s">
        <v>6</v>
      </c>
      <c r="D762" t="s">
        <v>1280</v>
      </c>
      <c r="E762">
        <v>447034306</v>
      </c>
      <c r="H762">
        <v>1640</v>
      </c>
      <c r="I762">
        <v>1200</v>
      </c>
      <c r="J762">
        <v>0</v>
      </c>
      <c r="K762">
        <v>440</v>
      </c>
      <c r="M762" s="39" t="s">
        <v>1433</v>
      </c>
      <c r="N762" s="25">
        <f t="shared" si="48"/>
        <v>3</v>
      </c>
      <c r="O762" s="25" t="str">
        <f t="shared" si="49"/>
        <v>miércoles</v>
      </c>
      <c r="P762" s="27">
        <f t="shared" si="50"/>
        <v>12</v>
      </c>
      <c r="Q762" s="22" t="str">
        <f t="shared" si="51"/>
        <v>diciembre</v>
      </c>
    </row>
    <row r="763" spans="1:17" x14ac:dyDescent="0.25">
      <c r="A763">
        <v>3</v>
      </c>
      <c r="B763" t="s">
        <v>1416</v>
      </c>
      <c r="C763" t="s">
        <v>19</v>
      </c>
      <c r="D763" t="s">
        <v>1417</v>
      </c>
      <c r="E763">
        <v>447041089</v>
      </c>
      <c r="H763">
        <v>2160</v>
      </c>
      <c r="I763">
        <v>1200</v>
      </c>
      <c r="J763">
        <v>0</v>
      </c>
      <c r="K763">
        <v>960</v>
      </c>
      <c r="M763" s="39" t="s">
        <v>1418</v>
      </c>
      <c r="N763" s="25">
        <f t="shared" si="48"/>
        <v>4</v>
      </c>
      <c r="O763" s="25" t="str">
        <f t="shared" si="49"/>
        <v>jueves</v>
      </c>
      <c r="P763" s="27">
        <f t="shared" si="50"/>
        <v>12</v>
      </c>
      <c r="Q763" s="22" t="str">
        <f t="shared" si="51"/>
        <v>diciembre</v>
      </c>
    </row>
    <row r="764" spans="1:17" x14ac:dyDescent="0.25">
      <c r="A764">
        <v>3</v>
      </c>
      <c r="B764" t="s">
        <v>1419</v>
      </c>
      <c r="C764" t="s">
        <v>6</v>
      </c>
      <c r="D764" t="s">
        <v>183</v>
      </c>
      <c r="E764">
        <v>447041037</v>
      </c>
      <c r="H764">
        <v>4962</v>
      </c>
      <c r="I764">
        <v>1200</v>
      </c>
      <c r="J764">
        <v>0</v>
      </c>
      <c r="K764">
        <v>3762</v>
      </c>
      <c r="M764" s="39" t="s">
        <v>1418</v>
      </c>
      <c r="N764" s="25">
        <f t="shared" si="48"/>
        <v>4</v>
      </c>
      <c r="O764" s="25" t="str">
        <f t="shared" si="49"/>
        <v>jueves</v>
      </c>
      <c r="P764" s="27">
        <f t="shared" si="50"/>
        <v>12</v>
      </c>
      <c r="Q764" s="22" t="str">
        <f t="shared" si="51"/>
        <v>diciembre</v>
      </c>
    </row>
    <row r="765" spans="1:17" x14ac:dyDescent="0.25">
      <c r="A765">
        <v>3</v>
      </c>
      <c r="B765" t="s">
        <v>1420</v>
      </c>
      <c r="C765" t="s">
        <v>6</v>
      </c>
      <c r="D765" t="s">
        <v>183</v>
      </c>
      <c r="E765">
        <v>447040940</v>
      </c>
      <c r="H765">
        <v>5381.6</v>
      </c>
      <c r="I765">
        <v>1200</v>
      </c>
      <c r="J765">
        <v>0</v>
      </c>
      <c r="K765">
        <v>4181.6000000000004</v>
      </c>
      <c r="M765" s="39" t="s">
        <v>1418</v>
      </c>
      <c r="N765" s="25">
        <f t="shared" si="48"/>
        <v>4</v>
      </c>
      <c r="O765" s="25" t="str">
        <f t="shared" si="49"/>
        <v>jueves</v>
      </c>
      <c r="P765" s="27">
        <f t="shared" si="50"/>
        <v>12</v>
      </c>
      <c r="Q765" s="22" t="str">
        <f t="shared" si="51"/>
        <v>diciembre</v>
      </c>
    </row>
    <row r="766" spans="1:17" x14ac:dyDescent="0.25">
      <c r="A766">
        <v>3</v>
      </c>
      <c r="B766" t="s">
        <v>1421</v>
      </c>
      <c r="C766" t="s">
        <v>6</v>
      </c>
      <c r="D766" t="s">
        <v>184</v>
      </c>
      <c r="E766">
        <v>447040658</v>
      </c>
      <c r="H766">
        <v>1200</v>
      </c>
      <c r="I766">
        <v>1200</v>
      </c>
      <c r="J766">
        <v>0</v>
      </c>
      <c r="K766">
        <v>0</v>
      </c>
      <c r="M766" s="39" t="s">
        <v>1418</v>
      </c>
      <c r="N766" s="25">
        <f t="shared" si="48"/>
        <v>4</v>
      </c>
      <c r="O766" s="25" t="str">
        <f t="shared" si="49"/>
        <v>jueves</v>
      </c>
      <c r="P766" s="27">
        <f t="shared" si="50"/>
        <v>12</v>
      </c>
      <c r="Q766" s="22" t="str">
        <f t="shared" si="51"/>
        <v>diciembre</v>
      </c>
    </row>
    <row r="767" spans="1:17" x14ac:dyDescent="0.25">
      <c r="A767">
        <v>2</v>
      </c>
      <c r="B767" t="s">
        <v>1422</v>
      </c>
      <c r="C767" t="s">
        <v>6</v>
      </c>
      <c r="D767" t="s">
        <v>694</v>
      </c>
      <c r="E767">
        <v>447038015</v>
      </c>
      <c r="H767">
        <v>1200</v>
      </c>
      <c r="I767">
        <v>1200</v>
      </c>
      <c r="J767">
        <v>0</v>
      </c>
      <c r="K767">
        <v>0</v>
      </c>
      <c r="M767" s="39" t="s">
        <v>1418</v>
      </c>
      <c r="N767" s="25">
        <f t="shared" si="48"/>
        <v>4</v>
      </c>
      <c r="O767" s="25" t="str">
        <f t="shared" si="49"/>
        <v>jueves</v>
      </c>
      <c r="P767" s="27">
        <f t="shared" si="50"/>
        <v>12</v>
      </c>
      <c r="Q767" s="22" t="str">
        <f t="shared" si="51"/>
        <v>diciembre</v>
      </c>
    </row>
    <row r="768" spans="1:17" x14ac:dyDescent="0.25">
      <c r="A768">
        <v>2</v>
      </c>
      <c r="B768" t="s">
        <v>12</v>
      </c>
      <c r="C768" t="s">
        <v>6</v>
      </c>
      <c r="D768" t="s">
        <v>208</v>
      </c>
      <c r="E768">
        <v>447038427</v>
      </c>
      <c r="H768">
        <v>1700</v>
      </c>
      <c r="I768">
        <v>1200</v>
      </c>
      <c r="J768">
        <v>0</v>
      </c>
      <c r="K768">
        <v>500</v>
      </c>
      <c r="M768" s="39" t="s">
        <v>1418</v>
      </c>
      <c r="N768" s="25">
        <f t="shared" si="48"/>
        <v>4</v>
      </c>
      <c r="O768" s="25" t="str">
        <f t="shared" si="49"/>
        <v>jueves</v>
      </c>
      <c r="P768" s="27">
        <f t="shared" si="50"/>
        <v>12</v>
      </c>
      <c r="Q768" s="22" t="str">
        <f t="shared" si="51"/>
        <v>diciembre</v>
      </c>
    </row>
    <row r="769" spans="1:19" x14ac:dyDescent="0.25">
      <c r="A769">
        <v>2</v>
      </c>
      <c r="B769" t="s">
        <v>1423</v>
      </c>
      <c r="C769" t="s">
        <v>6</v>
      </c>
      <c r="D769" t="s">
        <v>1424</v>
      </c>
      <c r="E769">
        <v>447038807</v>
      </c>
      <c r="H769">
        <v>2320</v>
      </c>
      <c r="I769">
        <v>1200</v>
      </c>
      <c r="J769">
        <v>0</v>
      </c>
      <c r="K769">
        <v>1120</v>
      </c>
      <c r="M769" s="39" t="s">
        <v>1418</v>
      </c>
      <c r="N769" s="25">
        <f t="shared" si="48"/>
        <v>4</v>
      </c>
      <c r="O769" s="25" t="str">
        <f t="shared" si="49"/>
        <v>jueves</v>
      </c>
      <c r="P769" s="27">
        <f t="shared" si="50"/>
        <v>12</v>
      </c>
      <c r="Q769" s="22" t="str">
        <f t="shared" si="51"/>
        <v>diciembre</v>
      </c>
    </row>
    <row r="770" spans="1:19" x14ac:dyDescent="0.25">
      <c r="A770">
        <v>2</v>
      </c>
      <c r="B770" t="s">
        <v>1425</v>
      </c>
      <c r="C770" t="s">
        <v>6</v>
      </c>
      <c r="D770" t="s">
        <v>184</v>
      </c>
      <c r="E770">
        <v>447039567</v>
      </c>
      <c r="H770">
        <v>1940</v>
      </c>
      <c r="I770">
        <v>1200</v>
      </c>
      <c r="J770">
        <v>0</v>
      </c>
      <c r="K770">
        <v>740</v>
      </c>
      <c r="M770" s="39" t="s">
        <v>1418</v>
      </c>
      <c r="N770" s="25">
        <f t="shared" ref="N770:N833" si="52">DAY(M770)</f>
        <v>4</v>
      </c>
      <c r="O770" s="25" t="str">
        <f t="shared" ref="O770:O833" si="53">TEXT(M770,"DDDD")</f>
        <v>jueves</v>
      </c>
      <c r="P770" s="27">
        <f t="shared" si="50"/>
        <v>12</v>
      </c>
      <c r="Q770" s="22" t="str">
        <f t="shared" si="51"/>
        <v>diciembre</v>
      </c>
    </row>
    <row r="771" spans="1:19" x14ac:dyDescent="0.25">
      <c r="A771">
        <v>2</v>
      </c>
      <c r="B771" t="s">
        <v>1426</v>
      </c>
      <c r="C771" t="s">
        <v>6</v>
      </c>
      <c r="D771" t="s">
        <v>184</v>
      </c>
      <c r="E771">
        <v>447039942</v>
      </c>
      <c r="F771" t="s">
        <v>184</v>
      </c>
      <c r="G771">
        <v>447039957</v>
      </c>
      <c r="H771">
        <v>5488</v>
      </c>
      <c r="I771">
        <v>1800</v>
      </c>
      <c r="J771">
        <v>0</v>
      </c>
      <c r="K771">
        <v>3688</v>
      </c>
      <c r="M771" s="39" t="s">
        <v>1418</v>
      </c>
      <c r="N771" s="25">
        <f t="shared" si="52"/>
        <v>4</v>
      </c>
      <c r="O771" s="25" t="str">
        <f t="shared" si="53"/>
        <v>jueves</v>
      </c>
      <c r="P771" s="27">
        <f t="shared" si="50"/>
        <v>12</v>
      </c>
      <c r="Q771" s="22" t="str">
        <f t="shared" si="51"/>
        <v>diciembre</v>
      </c>
      <c r="R771" t="s">
        <v>184</v>
      </c>
      <c r="S771">
        <v>27320</v>
      </c>
    </row>
    <row r="772" spans="1:19" x14ac:dyDescent="0.25">
      <c r="A772">
        <v>2</v>
      </c>
      <c r="B772" t="s">
        <v>1427</v>
      </c>
      <c r="C772" t="s">
        <v>6</v>
      </c>
      <c r="D772" t="s">
        <v>184</v>
      </c>
      <c r="E772">
        <v>447040352</v>
      </c>
      <c r="H772">
        <v>2580</v>
      </c>
      <c r="I772">
        <v>1200</v>
      </c>
      <c r="J772">
        <v>0</v>
      </c>
      <c r="K772">
        <v>1380</v>
      </c>
      <c r="M772" s="39" t="s">
        <v>1418</v>
      </c>
      <c r="N772" s="25">
        <f t="shared" si="52"/>
        <v>4</v>
      </c>
      <c r="O772" s="25" t="str">
        <f t="shared" si="53"/>
        <v>jueves</v>
      </c>
      <c r="P772" s="27">
        <f t="shared" si="50"/>
        <v>12</v>
      </c>
      <c r="Q772" s="22" t="str">
        <f t="shared" si="51"/>
        <v>diciembre</v>
      </c>
    </row>
    <row r="773" spans="1:19" x14ac:dyDescent="0.25">
      <c r="A773">
        <v>1</v>
      </c>
      <c r="B773" t="s">
        <v>1428</v>
      </c>
      <c r="C773" t="s">
        <v>19</v>
      </c>
      <c r="D773" t="s">
        <v>1429</v>
      </c>
      <c r="E773">
        <v>447036367</v>
      </c>
      <c r="F773" t="s">
        <v>1429</v>
      </c>
      <c r="G773">
        <v>447037165</v>
      </c>
      <c r="H773">
        <v>1802</v>
      </c>
      <c r="I773">
        <v>1800</v>
      </c>
      <c r="J773">
        <v>0</v>
      </c>
      <c r="K773">
        <v>2</v>
      </c>
      <c r="M773" s="39" t="s">
        <v>1418</v>
      </c>
      <c r="N773" s="25">
        <f t="shared" si="52"/>
        <v>4</v>
      </c>
      <c r="O773" s="25" t="str">
        <f t="shared" si="53"/>
        <v>jueves</v>
      </c>
      <c r="P773" s="27">
        <f t="shared" si="50"/>
        <v>12</v>
      </c>
      <c r="Q773" s="22" t="str">
        <f t="shared" si="51"/>
        <v>diciembre</v>
      </c>
    </row>
    <row r="774" spans="1:19" x14ac:dyDescent="0.25">
      <c r="A774">
        <v>1</v>
      </c>
      <c r="B774" t="s">
        <v>1430</v>
      </c>
      <c r="C774" t="s">
        <v>6</v>
      </c>
      <c r="D774" t="s">
        <v>184</v>
      </c>
      <c r="E774">
        <v>447035206</v>
      </c>
      <c r="H774">
        <v>2370</v>
      </c>
      <c r="I774">
        <v>1200</v>
      </c>
      <c r="J774">
        <v>0</v>
      </c>
      <c r="K774">
        <v>1170</v>
      </c>
      <c r="M774" s="39" t="s">
        <v>1418</v>
      </c>
      <c r="N774" s="25">
        <f t="shared" si="52"/>
        <v>4</v>
      </c>
      <c r="O774" s="25" t="str">
        <f t="shared" si="53"/>
        <v>jueves</v>
      </c>
      <c r="P774" s="27">
        <f t="shared" si="50"/>
        <v>12</v>
      </c>
      <c r="Q774" s="22" t="str">
        <f t="shared" si="51"/>
        <v>diciembre</v>
      </c>
    </row>
    <row r="775" spans="1:19" x14ac:dyDescent="0.25">
      <c r="A775">
        <v>6</v>
      </c>
      <c r="B775" t="s">
        <v>1436</v>
      </c>
      <c r="C775" t="s">
        <v>6</v>
      </c>
      <c r="D775" t="s">
        <v>1437</v>
      </c>
      <c r="E775">
        <v>447729985</v>
      </c>
      <c r="H775">
        <v>1700</v>
      </c>
      <c r="I775">
        <v>1200</v>
      </c>
      <c r="J775">
        <v>0</v>
      </c>
      <c r="K775">
        <v>500</v>
      </c>
      <c r="M775" s="39" t="s">
        <v>1438</v>
      </c>
      <c r="N775" s="25">
        <f t="shared" si="52"/>
        <v>9</v>
      </c>
      <c r="O775" s="25" t="str">
        <f t="shared" si="53"/>
        <v>martes</v>
      </c>
      <c r="P775" s="27">
        <f t="shared" si="50"/>
        <v>12</v>
      </c>
      <c r="Q775" s="22" t="str">
        <f t="shared" si="51"/>
        <v>diciembre</v>
      </c>
    </row>
    <row r="776" spans="1:19" x14ac:dyDescent="0.25">
      <c r="A776">
        <v>5</v>
      </c>
      <c r="B776" t="s">
        <v>1439</v>
      </c>
      <c r="C776" t="s">
        <v>19</v>
      </c>
      <c r="D776" t="s">
        <v>1440</v>
      </c>
      <c r="E776">
        <v>447730168</v>
      </c>
      <c r="H776">
        <v>2250</v>
      </c>
      <c r="I776">
        <v>2250</v>
      </c>
      <c r="J776">
        <v>0</v>
      </c>
      <c r="K776">
        <v>0</v>
      </c>
      <c r="M776" s="39" t="s">
        <v>1438</v>
      </c>
      <c r="N776" s="25">
        <f t="shared" si="52"/>
        <v>9</v>
      </c>
      <c r="O776" s="25" t="str">
        <f t="shared" si="53"/>
        <v>martes</v>
      </c>
      <c r="P776" s="27">
        <f t="shared" si="50"/>
        <v>12</v>
      </c>
      <c r="Q776" s="22" t="str">
        <f t="shared" si="51"/>
        <v>diciembre</v>
      </c>
    </row>
    <row r="777" spans="1:19" x14ac:dyDescent="0.25">
      <c r="A777">
        <v>5</v>
      </c>
      <c r="B777" t="s">
        <v>1441</v>
      </c>
      <c r="C777" t="s">
        <v>19</v>
      </c>
      <c r="D777" t="s">
        <v>1442</v>
      </c>
      <c r="E777">
        <v>447730408</v>
      </c>
      <c r="H777">
        <v>1890</v>
      </c>
      <c r="I777">
        <v>1200</v>
      </c>
      <c r="J777">
        <v>0</v>
      </c>
      <c r="K777">
        <v>690</v>
      </c>
      <c r="M777" s="39" t="s">
        <v>1438</v>
      </c>
      <c r="N777" s="25">
        <f t="shared" si="52"/>
        <v>9</v>
      </c>
      <c r="O777" s="25" t="str">
        <f t="shared" si="53"/>
        <v>martes</v>
      </c>
      <c r="P777" s="27">
        <f t="shared" si="50"/>
        <v>12</v>
      </c>
      <c r="Q777" s="22" t="str">
        <f t="shared" si="51"/>
        <v>diciembre</v>
      </c>
    </row>
    <row r="778" spans="1:19" x14ac:dyDescent="0.25">
      <c r="A778">
        <v>5</v>
      </c>
      <c r="B778" t="s">
        <v>1443</v>
      </c>
      <c r="C778" t="s">
        <v>155</v>
      </c>
      <c r="D778" t="s">
        <v>201</v>
      </c>
      <c r="E778">
        <v>447730233</v>
      </c>
      <c r="H778">
        <v>1200</v>
      </c>
      <c r="I778">
        <v>1200</v>
      </c>
      <c r="J778">
        <v>0</v>
      </c>
      <c r="K778">
        <v>0</v>
      </c>
      <c r="M778" s="39" t="s">
        <v>1438</v>
      </c>
      <c r="N778" s="25">
        <f t="shared" si="52"/>
        <v>9</v>
      </c>
      <c r="O778" s="25" t="str">
        <f t="shared" si="53"/>
        <v>martes</v>
      </c>
      <c r="P778" s="27">
        <f t="shared" si="50"/>
        <v>12</v>
      </c>
      <c r="Q778" s="22" t="str">
        <f t="shared" si="51"/>
        <v>diciembre</v>
      </c>
    </row>
    <row r="779" spans="1:19" x14ac:dyDescent="0.25">
      <c r="A779">
        <v>6</v>
      </c>
      <c r="B779" t="s">
        <v>1444</v>
      </c>
      <c r="C779" t="s">
        <v>19</v>
      </c>
      <c r="D779" t="s">
        <v>1171</v>
      </c>
      <c r="E779">
        <v>447668679</v>
      </c>
      <c r="H779">
        <v>4970</v>
      </c>
      <c r="I779">
        <v>3150</v>
      </c>
      <c r="J779">
        <v>0</v>
      </c>
      <c r="K779">
        <v>1820</v>
      </c>
      <c r="M779" s="39" t="s">
        <v>1438</v>
      </c>
      <c r="N779" s="25">
        <f t="shared" si="52"/>
        <v>9</v>
      </c>
      <c r="O779" s="25" t="str">
        <f t="shared" si="53"/>
        <v>martes</v>
      </c>
      <c r="P779" s="27">
        <f t="shared" si="50"/>
        <v>12</v>
      </c>
      <c r="Q779" s="22" t="str">
        <f t="shared" si="51"/>
        <v>diciembre</v>
      </c>
    </row>
    <row r="780" spans="1:19" x14ac:dyDescent="0.25">
      <c r="A780">
        <v>6</v>
      </c>
      <c r="B780" t="s">
        <v>1445</v>
      </c>
      <c r="C780" t="s">
        <v>6</v>
      </c>
      <c r="D780" t="s">
        <v>1446</v>
      </c>
      <c r="E780">
        <v>447733959</v>
      </c>
      <c r="H780">
        <v>1493.6</v>
      </c>
      <c r="I780">
        <v>1443.6</v>
      </c>
      <c r="J780">
        <v>0</v>
      </c>
      <c r="K780">
        <v>50</v>
      </c>
      <c r="M780" s="39" t="s">
        <v>1438</v>
      </c>
      <c r="N780" s="25">
        <f t="shared" si="52"/>
        <v>9</v>
      </c>
      <c r="O780" s="25" t="str">
        <f t="shared" si="53"/>
        <v>martes</v>
      </c>
      <c r="P780" s="27">
        <f t="shared" si="50"/>
        <v>12</v>
      </c>
      <c r="Q780" s="22" t="str">
        <f t="shared" si="51"/>
        <v>diciembre</v>
      </c>
    </row>
    <row r="781" spans="1:19" x14ac:dyDescent="0.25">
      <c r="A781">
        <v>11</v>
      </c>
      <c r="B781" t="s">
        <v>1246</v>
      </c>
      <c r="C781" t="s">
        <v>6</v>
      </c>
      <c r="D781" t="s">
        <v>1247</v>
      </c>
      <c r="E781">
        <v>448181916</v>
      </c>
      <c r="H781">
        <v>4800</v>
      </c>
      <c r="I781">
        <v>2600</v>
      </c>
      <c r="J781">
        <v>100</v>
      </c>
      <c r="K781">
        <v>2100</v>
      </c>
      <c r="M781" s="39" t="s">
        <v>1248</v>
      </c>
      <c r="N781" s="25">
        <f t="shared" si="52"/>
        <v>12</v>
      </c>
      <c r="O781" s="25" t="str">
        <f t="shared" si="53"/>
        <v>viernes</v>
      </c>
      <c r="P781" s="27">
        <f t="shared" ref="P781:P844" si="54">MONTH(M781)</f>
        <v>12</v>
      </c>
      <c r="Q781" s="22" t="str">
        <f t="shared" ref="Q781:Q844" si="55">TEXT(M781,"MMMM")</f>
        <v>diciembre</v>
      </c>
    </row>
    <row r="782" spans="1:19" x14ac:dyDescent="0.25">
      <c r="A782">
        <v>11</v>
      </c>
      <c r="B782" t="s">
        <v>1249</v>
      </c>
      <c r="C782" t="s">
        <v>6</v>
      </c>
      <c r="D782" t="s">
        <v>1247</v>
      </c>
      <c r="E782">
        <v>448173453</v>
      </c>
      <c r="H782">
        <v>4000</v>
      </c>
      <c r="I782">
        <v>3900</v>
      </c>
      <c r="J782">
        <v>100</v>
      </c>
      <c r="K782">
        <v>0</v>
      </c>
      <c r="M782" s="39" t="s">
        <v>1248</v>
      </c>
      <c r="N782" s="25">
        <f t="shared" si="52"/>
        <v>12</v>
      </c>
      <c r="O782" s="25" t="str">
        <f t="shared" si="53"/>
        <v>viernes</v>
      </c>
      <c r="P782" s="27">
        <f t="shared" si="54"/>
        <v>12</v>
      </c>
      <c r="Q782" s="22" t="str">
        <f t="shared" si="55"/>
        <v>diciembre</v>
      </c>
    </row>
    <row r="783" spans="1:19" x14ac:dyDescent="0.25">
      <c r="A783">
        <v>11</v>
      </c>
      <c r="B783" t="s">
        <v>1250</v>
      </c>
      <c r="C783" t="s">
        <v>6</v>
      </c>
      <c r="D783" t="s">
        <v>1251</v>
      </c>
      <c r="E783">
        <v>448166717</v>
      </c>
      <c r="H783">
        <v>3650</v>
      </c>
      <c r="I783">
        <v>3550</v>
      </c>
      <c r="J783">
        <v>100</v>
      </c>
      <c r="K783">
        <v>0</v>
      </c>
      <c r="M783" s="39" t="s">
        <v>1248</v>
      </c>
      <c r="N783" s="25">
        <f t="shared" si="52"/>
        <v>12</v>
      </c>
      <c r="O783" s="25" t="str">
        <f t="shared" si="53"/>
        <v>viernes</v>
      </c>
      <c r="P783" s="27">
        <f t="shared" si="54"/>
        <v>12</v>
      </c>
      <c r="Q783" s="22" t="str">
        <f t="shared" si="55"/>
        <v>diciembre</v>
      </c>
    </row>
    <row r="784" spans="1:19" x14ac:dyDescent="0.25">
      <c r="A784">
        <v>11</v>
      </c>
      <c r="B784" t="s">
        <v>1252</v>
      </c>
      <c r="C784" t="s">
        <v>6</v>
      </c>
      <c r="D784" t="s">
        <v>1156</v>
      </c>
      <c r="E784">
        <v>448161197</v>
      </c>
      <c r="H784">
        <v>3480</v>
      </c>
      <c r="I784">
        <v>2400</v>
      </c>
      <c r="J784">
        <v>100</v>
      </c>
      <c r="K784">
        <v>980</v>
      </c>
      <c r="M784" s="39" t="s">
        <v>1248</v>
      </c>
      <c r="N784" s="25">
        <f t="shared" si="52"/>
        <v>12</v>
      </c>
      <c r="O784" s="25" t="str">
        <f t="shared" si="53"/>
        <v>viernes</v>
      </c>
      <c r="P784" s="27">
        <f t="shared" si="54"/>
        <v>12</v>
      </c>
      <c r="Q784" s="22" t="str">
        <f t="shared" si="55"/>
        <v>diciembre</v>
      </c>
    </row>
    <row r="785" spans="1:17" x14ac:dyDescent="0.25">
      <c r="A785">
        <v>11</v>
      </c>
      <c r="B785" t="s">
        <v>71</v>
      </c>
      <c r="C785" t="s">
        <v>6</v>
      </c>
      <c r="D785" t="s">
        <v>894</v>
      </c>
      <c r="E785">
        <v>448153620</v>
      </c>
      <c r="H785">
        <v>3800</v>
      </c>
      <c r="I785">
        <v>2200</v>
      </c>
      <c r="J785">
        <v>100</v>
      </c>
      <c r="K785">
        <v>1500</v>
      </c>
      <c r="M785" s="39" t="s">
        <v>1248</v>
      </c>
      <c r="N785" s="25">
        <f t="shared" si="52"/>
        <v>12</v>
      </c>
      <c r="O785" s="25" t="str">
        <f t="shared" si="53"/>
        <v>viernes</v>
      </c>
      <c r="P785" s="27">
        <f t="shared" si="54"/>
        <v>12</v>
      </c>
      <c r="Q785" s="22" t="str">
        <f t="shared" si="55"/>
        <v>diciembre</v>
      </c>
    </row>
    <row r="786" spans="1:17" x14ac:dyDescent="0.25">
      <c r="A786">
        <v>11</v>
      </c>
      <c r="B786" t="s">
        <v>1253</v>
      </c>
      <c r="C786" t="s">
        <v>6</v>
      </c>
      <c r="D786" t="s">
        <v>1254</v>
      </c>
      <c r="E786">
        <v>448142708</v>
      </c>
      <c r="H786">
        <v>4248</v>
      </c>
      <c r="I786">
        <v>3600</v>
      </c>
      <c r="J786">
        <v>100</v>
      </c>
      <c r="K786">
        <v>548</v>
      </c>
      <c r="M786" s="39" t="s">
        <v>1248</v>
      </c>
      <c r="N786" s="25">
        <f t="shared" si="52"/>
        <v>12</v>
      </c>
      <c r="O786" s="25" t="str">
        <f t="shared" si="53"/>
        <v>viernes</v>
      </c>
      <c r="P786" s="27">
        <f t="shared" si="54"/>
        <v>12</v>
      </c>
      <c r="Q786" s="22" t="str">
        <f t="shared" si="55"/>
        <v>diciembre</v>
      </c>
    </row>
    <row r="787" spans="1:17" x14ac:dyDescent="0.25">
      <c r="A787">
        <v>11</v>
      </c>
      <c r="B787" t="s">
        <v>1255</v>
      </c>
      <c r="C787" t="s">
        <v>6</v>
      </c>
      <c r="D787" t="s">
        <v>894</v>
      </c>
      <c r="E787">
        <v>448134617</v>
      </c>
      <c r="H787">
        <v>2900</v>
      </c>
      <c r="I787">
        <v>2000</v>
      </c>
      <c r="J787">
        <v>100</v>
      </c>
      <c r="K787">
        <v>800</v>
      </c>
      <c r="M787" s="39" t="s">
        <v>1248</v>
      </c>
      <c r="N787" s="25">
        <f t="shared" si="52"/>
        <v>12</v>
      </c>
      <c r="O787" s="25" t="str">
        <f t="shared" si="53"/>
        <v>viernes</v>
      </c>
      <c r="P787" s="27">
        <f t="shared" si="54"/>
        <v>12</v>
      </c>
      <c r="Q787" s="22" t="str">
        <f t="shared" si="55"/>
        <v>diciembre</v>
      </c>
    </row>
    <row r="788" spans="1:17" x14ac:dyDescent="0.25">
      <c r="A788">
        <v>11</v>
      </c>
      <c r="B788" t="s">
        <v>1256</v>
      </c>
      <c r="C788" t="s">
        <v>6</v>
      </c>
      <c r="D788" t="s">
        <v>1257</v>
      </c>
      <c r="E788">
        <v>448129160</v>
      </c>
      <c r="H788">
        <v>1850</v>
      </c>
      <c r="I788">
        <v>1200</v>
      </c>
      <c r="J788">
        <v>100</v>
      </c>
      <c r="K788">
        <v>550</v>
      </c>
      <c r="M788" s="39" t="s">
        <v>1248</v>
      </c>
      <c r="N788" s="25">
        <f t="shared" si="52"/>
        <v>12</v>
      </c>
      <c r="O788" s="25" t="str">
        <f t="shared" si="53"/>
        <v>viernes</v>
      </c>
      <c r="P788" s="27">
        <f t="shared" si="54"/>
        <v>12</v>
      </c>
      <c r="Q788" s="22" t="str">
        <f t="shared" si="55"/>
        <v>diciembre</v>
      </c>
    </row>
    <row r="789" spans="1:17" x14ac:dyDescent="0.25">
      <c r="A789">
        <v>11</v>
      </c>
      <c r="B789" t="s">
        <v>1258</v>
      </c>
      <c r="C789" t="s">
        <v>6</v>
      </c>
      <c r="D789" t="s">
        <v>1259</v>
      </c>
      <c r="E789">
        <v>448122530</v>
      </c>
      <c r="H789">
        <v>3900</v>
      </c>
      <c r="I789">
        <v>3800</v>
      </c>
      <c r="J789">
        <v>100</v>
      </c>
      <c r="K789">
        <v>0</v>
      </c>
      <c r="M789" s="39" t="s">
        <v>1248</v>
      </c>
      <c r="N789" s="25">
        <f t="shared" si="52"/>
        <v>12</v>
      </c>
      <c r="O789" s="25" t="str">
        <f t="shared" si="53"/>
        <v>viernes</v>
      </c>
      <c r="P789" s="27">
        <f t="shared" si="54"/>
        <v>12</v>
      </c>
      <c r="Q789" s="22" t="str">
        <f t="shared" si="55"/>
        <v>diciembre</v>
      </c>
    </row>
    <row r="790" spans="1:17" x14ac:dyDescent="0.25">
      <c r="A790">
        <v>10</v>
      </c>
      <c r="B790" t="s">
        <v>1260</v>
      </c>
      <c r="C790" t="s">
        <v>6</v>
      </c>
      <c r="D790" t="s">
        <v>894</v>
      </c>
      <c r="E790">
        <v>448117676</v>
      </c>
      <c r="H790">
        <v>3670</v>
      </c>
      <c r="I790">
        <v>1750</v>
      </c>
      <c r="J790">
        <v>100</v>
      </c>
      <c r="K790">
        <v>1820</v>
      </c>
      <c r="M790" s="39" t="s">
        <v>1248</v>
      </c>
      <c r="N790" s="25">
        <f t="shared" si="52"/>
        <v>12</v>
      </c>
      <c r="O790" s="25" t="str">
        <f t="shared" si="53"/>
        <v>viernes</v>
      </c>
      <c r="P790" s="27">
        <f t="shared" si="54"/>
        <v>12</v>
      </c>
      <c r="Q790" s="22" t="str">
        <f t="shared" si="55"/>
        <v>diciembre</v>
      </c>
    </row>
    <row r="791" spans="1:17" x14ac:dyDescent="0.25">
      <c r="A791">
        <v>10</v>
      </c>
      <c r="B791" t="s">
        <v>1261</v>
      </c>
      <c r="C791" t="s">
        <v>6</v>
      </c>
      <c r="D791" t="s">
        <v>1251</v>
      </c>
      <c r="E791">
        <v>448114791</v>
      </c>
      <c r="H791">
        <v>2000</v>
      </c>
      <c r="I791">
        <v>1200</v>
      </c>
      <c r="J791">
        <v>0</v>
      </c>
      <c r="K791">
        <v>800</v>
      </c>
      <c r="M791" s="39" t="s">
        <v>1248</v>
      </c>
      <c r="N791" s="25">
        <f t="shared" si="52"/>
        <v>12</v>
      </c>
      <c r="O791" s="25" t="str">
        <f t="shared" si="53"/>
        <v>viernes</v>
      </c>
      <c r="P791" s="27">
        <f t="shared" si="54"/>
        <v>12</v>
      </c>
      <c r="Q791" s="22" t="str">
        <f t="shared" si="55"/>
        <v>diciembre</v>
      </c>
    </row>
    <row r="792" spans="1:17" x14ac:dyDescent="0.25">
      <c r="A792">
        <v>10</v>
      </c>
      <c r="B792" t="s">
        <v>1262</v>
      </c>
      <c r="C792" t="s">
        <v>6</v>
      </c>
      <c r="D792" t="s">
        <v>1263</v>
      </c>
      <c r="E792">
        <v>448113786</v>
      </c>
      <c r="H792">
        <v>3120</v>
      </c>
      <c r="I792">
        <v>1200</v>
      </c>
      <c r="J792">
        <v>0</v>
      </c>
      <c r="K792">
        <v>1920</v>
      </c>
      <c r="M792" s="39" t="s">
        <v>1248</v>
      </c>
      <c r="N792" s="25">
        <f t="shared" si="52"/>
        <v>12</v>
      </c>
      <c r="O792" s="25" t="str">
        <f t="shared" si="53"/>
        <v>viernes</v>
      </c>
      <c r="P792" s="27">
        <f t="shared" si="54"/>
        <v>12</v>
      </c>
      <c r="Q792" s="22" t="str">
        <f t="shared" si="55"/>
        <v>diciembre</v>
      </c>
    </row>
    <row r="793" spans="1:17" x14ac:dyDescent="0.25">
      <c r="A793">
        <v>8</v>
      </c>
      <c r="B793" t="s">
        <v>1264</v>
      </c>
      <c r="C793" t="s">
        <v>6</v>
      </c>
      <c r="D793" t="s">
        <v>1265</v>
      </c>
      <c r="E793">
        <v>448085793</v>
      </c>
      <c r="H793">
        <v>1950</v>
      </c>
      <c r="I793">
        <v>1200</v>
      </c>
      <c r="J793">
        <v>0</v>
      </c>
      <c r="K793">
        <v>750</v>
      </c>
      <c r="M793" s="39" t="s">
        <v>1248</v>
      </c>
      <c r="N793" s="25">
        <f t="shared" si="52"/>
        <v>12</v>
      </c>
      <c r="O793" s="25" t="str">
        <f t="shared" si="53"/>
        <v>viernes</v>
      </c>
      <c r="P793" s="27">
        <f t="shared" si="54"/>
        <v>12</v>
      </c>
      <c r="Q793" s="22" t="str">
        <f t="shared" si="55"/>
        <v>diciembre</v>
      </c>
    </row>
    <row r="794" spans="1:17" x14ac:dyDescent="0.25">
      <c r="A794">
        <v>7</v>
      </c>
      <c r="B794" t="s">
        <v>1266</v>
      </c>
      <c r="C794" t="s">
        <v>6</v>
      </c>
      <c r="D794" t="s">
        <v>1157</v>
      </c>
      <c r="E794">
        <v>448081720</v>
      </c>
      <c r="H794">
        <v>2160</v>
      </c>
      <c r="I794">
        <v>1500</v>
      </c>
      <c r="J794">
        <v>0</v>
      </c>
      <c r="K794">
        <v>660</v>
      </c>
      <c r="M794" s="39" t="s">
        <v>1248</v>
      </c>
      <c r="N794" s="25">
        <f t="shared" si="52"/>
        <v>12</v>
      </c>
      <c r="O794" s="25" t="str">
        <f t="shared" si="53"/>
        <v>viernes</v>
      </c>
      <c r="P794" s="27">
        <f t="shared" si="54"/>
        <v>12</v>
      </c>
      <c r="Q794" s="22" t="str">
        <f t="shared" si="55"/>
        <v>diciembre</v>
      </c>
    </row>
    <row r="795" spans="1:17" x14ac:dyDescent="0.25">
      <c r="A795">
        <v>7</v>
      </c>
      <c r="B795" t="s">
        <v>1267</v>
      </c>
      <c r="C795" t="s">
        <v>6</v>
      </c>
      <c r="D795" t="s">
        <v>1268</v>
      </c>
      <c r="E795">
        <v>448077903</v>
      </c>
      <c r="H795">
        <v>2700</v>
      </c>
      <c r="I795">
        <v>1700</v>
      </c>
      <c r="J795">
        <v>0</v>
      </c>
      <c r="K795">
        <v>1000</v>
      </c>
      <c r="M795" s="39" t="s">
        <v>1248</v>
      </c>
      <c r="N795" s="25">
        <f t="shared" si="52"/>
        <v>12</v>
      </c>
      <c r="O795" s="25" t="str">
        <f t="shared" si="53"/>
        <v>viernes</v>
      </c>
      <c r="P795" s="27">
        <f t="shared" si="54"/>
        <v>12</v>
      </c>
      <c r="Q795" s="22" t="str">
        <f t="shared" si="55"/>
        <v>diciembre</v>
      </c>
    </row>
    <row r="796" spans="1:17" x14ac:dyDescent="0.25">
      <c r="A796">
        <v>6</v>
      </c>
      <c r="B796" t="s">
        <v>1269</v>
      </c>
      <c r="C796" t="s">
        <v>6</v>
      </c>
      <c r="D796" t="s">
        <v>1270</v>
      </c>
      <c r="E796">
        <v>448065302</v>
      </c>
      <c r="H796">
        <v>1800</v>
      </c>
      <c r="I796">
        <v>1300</v>
      </c>
      <c r="J796">
        <v>0</v>
      </c>
      <c r="K796">
        <v>500</v>
      </c>
      <c r="M796" s="39" t="s">
        <v>1248</v>
      </c>
      <c r="N796" s="25">
        <f t="shared" si="52"/>
        <v>12</v>
      </c>
      <c r="O796" s="25" t="str">
        <f t="shared" si="53"/>
        <v>viernes</v>
      </c>
      <c r="P796" s="27">
        <f t="shared" si="54"/>
        <v>12</v>
      </c>
      <c r="Q796" s="22" t="str">
        <f t="shared" si="55"/>
        <v>diciembre</v>
      </c>
    </row>
    <row r="797" spans="1:17" x14ac:dyDescent="0.25">
      <c r="A797">
        <v>6</v>
      </c>
      <c r="B797" t="s">
        <v>1271</v>
      </c>
      <c r="C797" t="s">
        <v>6</v>
      </c>
      <c r="D797" t="s">
        <v>1268</v>
      </c>
      <c r="E797">
        <v>448075048</v>
      </c>
      <c r="H797">
        <v>4960</v>
      </c>
      <c r="I797">
        <v>1200</v>
      </c>
      <c r="J797">
        <v>0</v>
      </c>
      <c r="K797">
        <v>3760</v>
      </c>
      <c r="M797" s="39" t="s">
        <v>1248</v>
      </c>
      <c r="N797" s="25">
        <f t="shared" si="52"/>
        <v>12</v>
      </c>
      <c r="O797" s="25" t="str">
        <f t="shared" si="53"/>
        <v>viernes</v>
      </c>
      <c r="P797" s="27">
        <f t="shared" si="54"/>
        <v>12</v>
      </c>
      <c r="Q797" s="22" t="str">
        <f t="shared" si="55"/>
        <v>diciembre</v>
      </c>
    </row>
    <row r="798" spans="1:17" x14ac:dyDescent="0.25">
      <c r="A798">
        <v>6</v>
      </c>
      <c r="B798" t="s">
        <v>1272</v>
      </c>
      <c r="C798" t="s">
        <v>6</v>
      </c>
      <c r="D798" t="s">
        <v>1270</v>
      </c>
      <c r="E798">
        <v>448063454</v>
      </c>
      <c r="H798">
        <v>2960</v>
      </c>
      <c r="I798">
        <v>1200</v>
      </c>
      <c r="J798">
        <v>0</v>
      </c>
      <c r="K798">
        <v>1760</v>
      </c>
      <c r="M798" s="39" t="s">
        <v>1248</v>
      </c>
      <c r="N798" s="25">
        <f t="shared" si="52"/>
        <v>12</v>
      </c>
      <c r="O798" s="25" t="str">
        <f t="shared" si="53"/>
        <v>viernes</v>
      </c>
      <c r="P798" s="27">
        <f t="shared" si="54"/>
        <v>12</v>
      </c>
      <c r="Q798" s="22" t="str">
        <f t="shared" si="55"/>
        <v>diciembre</v>
      </c>
    </row>
    <row r="799" spans="1:17" x14ac:dyDescent="0.25">
      <c r="A799">
        <v>6</v>
      </c>
      <c r="B799" t="s">
        <v>1273</v>
      </c>
      <c r="C799" t="s">
        <v>6</v>
      </c>
      <c r="D799" t="s">
        <v>895</v>
      </c>
      <c r="E799">
        <v>448063001</v>
      </c>
      <c r="H799">
        <v>1700</v>
      </c>
      <c r="I799">
        <v>1200</v>
      </c>
      <c r="J799">
        <v>0</v>
      </c>
      <c r="K799">
        <v>500</v>
      </c>
      <c r="M799" s="39" t="s">
        <v>1248</v>
      </c>
      <c r="N799" s="25">
        <f t="shared" si="52"/>
        <v>12</v>
      </c>
      <c r="O799" s="25" t="str">
        <f t="shared" si="53"/>
        <v>viernes</v>
      </c>
      <c r="P799" s="27">
        <f t="shared" si="54"/>
        <v>12</v>
      </c>
      <c r="Q799" s="22" t="str">
        <f t="shared" si="55"/>
        <v>diciembre</v>
      </c>
    </row>
    <row r="800" spans="1:17" x14ac:dyDescent="0.25">
      <c r="A800">
        <v>5</v>
      </c>
      <c r="B800" t="s">
        <v>1274</v>
      </c>
      <c r="C800" t="s">
        <v>19</v>
      </c>
      <c r="D800" t="s">
        <v>1275</v>
      </c>
      <c r="E800">
        <v>448060996</v>
      </c>
      <c r="F800" t="s">
        <v>1275</v>
      </c>
      <c r="G800">
        <v>448061803</v>
      </c>
      <c r="H800">
        <v>6660</v>
      </c>
      <c r="I800">
        <v>3650</v>
      </c>
      <c r="J800">
        <v>0</v>
      </c>
      <c r="K800">
        <v>3010</v>
      </c>
      <c r="M800" s="39" t="s">
        <v>1248</v>
      </c>
      <c r="N800" s="25">
        <f t="shared" si="52"/>
        <v>12</v>
      </c>
      <c r="O800" s="25" t="str">
        <f t="shared" si="53"/>
        <v>viernes</v>
      </c>
      <c r="P800" s="27">
        <f t="shared" si="54"/>
        <v>12</v>
      </c>
      <c r="Q800" s="22" t="str">
        <f t="shared" si="55"/>
        <v>diciembre</v>
      </c>
    </row>
    <row r="801" spans="1:19" x14ac:dyDescent="0.25">
      <c r="A801">
        <v>12</v>
      </c>
      <c r="B801" t="s">
        <v>1305</v>
      </c>
      <c r="C801" t="s">
        <v>6</v>
      </c>
      <c r="D801" t="s">
        <v>1306</v>
      </c>
      <c r="E801">
        <v>448276128</v>
      </c>
      <c r="F801" t="s">
        <v>1018</v>
      </c>
      <c r="G801">
        <v>448277598</v>
      </c>
      <c r="H801">
        <v>8190</v>
      </c>
      <c r="I801">
        <v>2350</v>
      </c>
      <c r="J801">
        <v>200</v>
      </c>
      <c r="K801">
        <v>5640</v>
      </c>
      <c r="M801" s="39" t="s">
        <v>1307</v>
      </c>
      <c r="N801" s="25">
        <f t="shared" si="52"/>
        <v>13</v>
      </c>
      <c r="O801" s="25" t="str">
        <f t="shared" si="53"/>
        <v>sábado</v>
      </c>
      <c r="P801" s="27">
        <f t="shared" si="54"/>
        <v>12</v>
      </c>
      <c r="Q801" s="22" t="str">
        <f t="shared" si="55"/>
        <v>diciembre</v>
      </c>
      <c r="R801" t="s">
        <v>1306</v>
      </c>
      <c r="S801">
        <v>22812</v>
      </c>
    </row>
    <row r="802" spans="1:19" x14ac:dyDescent="0.25">
      <c r="A802">
        <v>11</v>
      </c>
      <c r="B802" t="s">
        <v>1308</v>
      </c>
      <c r="C802" t="s">
        <v>6</v>
      </c>
      <c r="D802" t="s">
        <v>1309</v>
      </c>
      <c r="E802">
        <v>448260954</v>
      </c>
      <c r="H802">
        <v>3950</v>
      </c>
      <c r="I802">
        <v>2850</v>
      </c>
      <c r="J802">
        <v>100</v>
      </c>
      <c r="K802">
        <v>1000</v>
      </c>
      <c r="M802" s="39" t="s">
        <v>1307</v>
      </c>
      <c r="N802" s="25">
        <f t="shared" si="52"/>
        <v>13</v>
      </c>
      <c r="O802" s="25" t="str">
        <f t="shared" si="53"/>
        <v>sábado</v>
      </c>
      <c r="P802" s="27">
        <f t="shared" si="54"/>
        <v>12</v>
      </c>
      <c r="Q802" s="22" t="str">
        <f t="shared" si="55"/>
        <v>diciembre</v>
      </c>
      <c r="R802" t="s">
        <v>1309</v>
      </c>
      <c r="S802">
        <v>19380</v>
      </c>
    </row>
    <row r="803" spans="1:19" x14ac:dyDescent="0.25">
      <c r="A803">
        <v>10</v>
      </c>
      <c r="B803" t="s">
        <v>1310</v>
      </c>
      <c r="C803" t="s">
        <v>6</v>
      </c>
      <c r="D803" t="s">
        <v>1311</v>
      </c>
      <c r="E803">
        <v>448259071</v>
      </c>
      <c r="H803">
        <v>2030</v>
      </c>
      <c r="I803">
        <v>1200</v>
      </c>
      <c r="J803">
        <v>0</v>
      </c>
      <c r="K803">
        <v>830</v>
      </c>
      <c r="M803" s="39" t="s">
        <v>1307</v>
      </c>
      <c r="N803" s="25">
        <f t="shared" si="52"/>
        <v>13</v>
      </c>
      <c r="O803" s="25" t="str">
        <f t="shared" si="53"/>
        <v>sábado</v>
      </c>
      <c r="P803" s="27">
        <f t="shared" si="54"/>
        <v>12</v>
      </c>
      <c r="Q803" s="22" t="str">
        <f t="shared" si="55"/>
        <v>diciembre</v>
      </c>
    </row>
    <row r="804" spans="1:19" x14ac:dyDescent="0.25">
      <c r="A804">
        <v>8</v>
      </c>
      <c r="B804" t="s">
        <v>1312</v>
      </c>
      <c r="C804" t="s">
        <v>6</v>
      </c>
      <c r="D804" t="s">
        <v>1313</v>
      </c>
      <c r="E804">
        <v>448221772</v>
      </c>
      <c r="H804">
        <v>3100</v>
      </c>
      <c r="I804">
        <v>1200</v>
      </c>
      <c r="J804">
        <v>0</v>
      </c>
      <c r="K804">
        <v>1900</v>
      </c>
      <c r="M804" s="39" t="s">
        <v>1307</v>
      </c>
      <c r="N804" s="25">
        <f t="shared" si="52"/>
        <v>13</v>
      </c>
      <c r="O804" s="25" t="str">
        <f t="shared" si="53"/>
        <v>sábado</v>
      </c>
      <c r="P804" s="27">
        <f t="shared" si="54"/>
        <v>12</v>
      </c>
      <c r="Q804" s="22" t="str">
        <f t="shared" si="55"/>
        <v>diciembre</v>
      </c>
    </row>
    <row r="805" spans="1:19" x14ac:dyDescent="0.25">
      <c r="A805">
        <v>7</v>
      </c>
      <c r="B805" t="s">
        <v>1314</v>
      </c>
      <c r="C805" t="s">
        <v>6</v>
      </c>
      <c r="D805" t="s">
        <v>195</v>
      </c>
      <c r="E805">
        <v>448217998</v>
      </c>
      <c r="H805">
        <v>1200</v>
      </c>
      <c r="I805">
        <v>1200</v>
      </c>
      <c r="J805">
        <v>0</v>
      </c>
      <c r="K805">
        <v>0</v>
      </c>
      <c r="M805" s="39" t="s">
        <v>1307</v>
      </c>
      <c r="N805" s="25">
        <f t="shared" si="52"/>
        <v>13</v>
      </c>
      <c r="O805" s="25" t="str">
        <f t="shared" si="53"/>
        <v>sábado</v>
      </c>
      <c r="P805" s="27">
        <f t="shared" si="54"/>
        <v>12</v>
      </c>
      <c r="Q805" s="22" t="str">
        <f t="shared" si="55"/>
        <v>diciembre</v>
      </c>
    </row>
    <row r="806" spans="1:19" x14ac:dyDescent="0.25">
      <c r="A806">
        <v>7</v>
      </c>
      <c r="B806" t="s">
        <v>1315</v>
      </c>
      <c r="C806" t="s">
        <v>6</v>
      </c>
      <c r="D806" t="s">
        <v>281</v>
      </c>
      <c r="E806">
        <v>448219977</v>
      </c>
      <c r="H806">
        <v>4700</v>
      </c>
      <c r="I806">
        <v>1200</v>
      </c>
      <c r="J806">
        <v>0</v>
      </c>
      <c r="K806">
        <v>3500</v>
      </c>
      <c r="M806" s="39" t="s">
        <v>1307</v>
      </c>
      <c r="N806" s="25">
        <f t="shared" si="52"/>
        <v>13</v>
      </c>
      <c r="O806" s="25" t="str">
        <f t="shared" si="53"/>
        <v>sábado</v>
      </c>
      <c r="P806" s="27">
        <f t="shared" si="54"/>
        <v>12</v>
      </c>
      <c r="Q806" s="22" t="str">
        <f t="shared" si="55"/>
        <v>diciembre</v>
      </c>
    </row>
    <row r="807" spans="1:19" x14ac:dyDescent="0.25">
      <c r="A807">
        <v>7</v>
      </c>
      <c r="B807" t="s">
        <v>1316</v>
      </c>
      <c r="C807" t="s">
        <v>19</v>
      </c>
      <c r="D807" t="s">
        <v>991</v>
      </c>
      <c r="E807">
        <v>448213909</v>
      </c>
      <c r="H807">
        <v>3230</v>
      </c>
      <c r="I807">
        <v>1450</v>
      </c>
      <c r="J807">
        <v>0</v>
      </c>
      <c r="K807">
        <v>1780</v>
      </c>
      <c r="M807" s="39" t="s">
        <v>1307</v>
      </c>
      <c r="N807" s="25">
        <f t="shared" si="52"/>
        <v>13</v>
      </c>
      <c r="O807" s="25" t="str">
        <f t="shared" si="53"/>
        <v>sábado</v>
      </c>
      <c r="P807" s="27">
        <f t="shared" si="54"/>
        <v>12</v>
      </c>
      <c r="Q807" s="22" t="str">
        <f t="shared" si="55"/>
        <v>diciembre</v>
      </c>
    </row>
    <row r="808" spans="1:19" x14ac:dyDescent="0.25">
      <c r="A808">
        <v>7</v>
      </c>
      <c r="B808" t="s">
        <v>1317</v>
      </c>
      <c r="C808" t="s">
        <v>6</v>
      </c>
      <c r="D808" t="s">
        <v>1318</v>
      </c>
      <c r="E808">
        <v>448215256</v>
      </c>
      <c r="H808">
        <v>1200</v>
      </c>
      <c r="I808">
        <v>1200</v>
      </c>
      <c r="J808">
        <v>0</v>
      </c>
      <c r="K808">
        <v>0</v>
      </c>
      <c r="M808" s="39" t="s">
        <v>1307</v>
      </c>
      <c r="N808" s="25">
        <f t="shared" si="52"/>
        <v>13</v>
      </c>
      <c r="O808" s="25" t="str">
        <f t="shared" si="53"/>
        <v>sábado</v>
      </c>
      <c r="P808" s="27">
        <f t="shared" si="54"/>
        <v>12</v>
      </c>
      <c r="Q808" s="22" t="str">
        <f t="shared" si="55"/>
        <v>diciembre</v>
      </c>
    </row>
    <row r="809" spans="1:19" x14ac:dyDescent="0.25">
      <c r="A809">
        <v>7</v>
      </c>
      <c r="B809" t="s">
        <v>1319</v>
      </c>
      <c r="C809" t="s">
        <v>6</v>
      </c>
      <c r="D809" t="s">
        <v>1320</v>
      </c>
      <c r="E809">
        <v>448213947</v>
      </c>
      <c r="H809">
        <v>2930</v>
      </c>
      <c r="I809">
        <v>1200</v>
      </c>
      <c r="J809">
        <v>0</v>
      </c>
      <c r="K809">
        <v>1730</v>
      </c>
      <c r="M809" s="39" t="s">
        <v>1307</v>
      </c>
      <c r="N809" s="25">
        <f t="shared" si="52"/>
        <v>13</v>
      </c>
      <c r="O809" s="25" t="str">
        <f t="shared" si="53"/>
        <v>sábado</v>
      </c>
      <c r="P809" s="27">
        <f t="shared" si="54"/>
        <v>12</v>
      </c>
      <c r="Q809" s="22" t="str">
        <f t="shared" si="55"/>
        <v>diciembre</v>
      </c>
    </row>
    <row r="810" spans="1:19" x14ac:dyDescent="0.25">
      <c r="A810">
        <v>7</v>
      </c>
      <c r="B810" t="s">
        <v>1321</v>
      </c>
      <c r="C810" t="s">
        <v>6</v>
      </c>
      <c r="D810" t="s">
        <v>237</v>
      </c>
      <c r="E810">
        <v>448209079</v>
      </c>
      <c r="H810">
        <v>2750</v>
      </c>
      <c r="I810">
        <v>1550</v>
      </c>
      <c r="J810">
        <v>0</v>
      </c>
      <c r="K810">
        <v>1200</v>
      </c>
      <c r="M810" s="39" t="s">
        <v>1307</v>
      </c>
      <c r="N810" s="25">
        <f t="shared" si="52"/>
        <v>13</v>
      </c>
      <c r="O810" s="25" t="str">
        <f t="shared" si="53"/>
        <v>sábado</v>
      </c>
      <c r="P810" s="27">
        <f t="shared" si="54"/>
        <v>12</v>
      </c>
      <c r="Q810" s="22" t="str">
        <f t="shared" si="55"/>
        <v>diciembre</v>
      </c>
    </row>
    <row r="811" spans="1:19" x14ac:dyDescent="0.25">
      <c r="A811">
        <v>6</v>
      </c>
      <c r="B811" t="s">
        <v>1322</v>
      </c>
      <c r="C811" t="s">
        <v>19</v>
      </c>
      <c r="D811" t="s">
        <v>1323</v>
      </c>
      <c r="E811">
        <v>448206303</v>
      </c>
      <c r="F811" t="s">
        <v>1324</v>
      </c>
      <c r="G811">
        <v>448206100</v>
      </c>
      <c r="H811">
        <v>2050</v>
      </c>
      <c r="I811">
        <v>2050</v>
      </c>
      <c r="J811">
        <v>0</v>
      </c>
      <c r="K811">
        <v>0</v>
      </c>
      <c r="M811" s="39" t="s">
        <v>1307</v>
      </c>
      <c r="N811" s="25">
        <f t="shared" si="52"/>
        <v>13</v>
      </c>
      <c r="O811" s="25" t="str">
        <f t="shared" si="53"/>
        <v>sábado</v>
      </c>
      <c r="P811" s="27">
        <f t="shared" si="54"/>
        <v>12</v>
      </c>
      <c r="Q811" s="22" t="str">
        <f t="shared" si="55"/>
        <v>diciembre</v>
      </c>
    </row>
    <row r="812" spans="1:19" x14ac:dyDescent="0.25">
      <c r="A812">
        <v>6</v>
      </c>
      <c r="B812" t="s">
        <v>1325</v>
      </c>
      <c r="C812" t="s">
        <v>6</v>
      </c>
      <c r="D812" t="s">
        <v>1326</v>
      </c>
      <c r="E812">
        <v>448205866</v>
      </c>
      <c r="H812">
        <v>2400</v>
      </c>
      <c r="I812">
        <v>1800</v>
      </c>
      <c r="J812">
        <v>0</v>
      </c>
      <c r="K812">
        <v>600</v>
      </c>
      <c r="M812" s="39" t="s">
        <v>1307</v>
      </c>
      <c r="N812" s="25">
        <f t="shared" si="52"/>
        <v>13</v>
      </c>
      <c r="O812" s="25" t="str">
        <f t="shared" si="53"/>
        <v>sábado</v>
      </c>
      <c r="P812" s="27">
        <f t="shared" si="54"/>
        <v>12</v>
      </c>
      <c r="Q812" s="22" t="str">
        <f t="shared" si="55"/>
        <v>diciembre</v>
      </c>
    </row>
    <row r="813" spans="1:19" x14ac:dyDescent="0.25">
      <c r="A813">
        <v>6</v>
      </c>
      <c r="B813" t="s">
        <v>1327</v>
      </c>
      <c r="C813" t="s">
        <v>6</v>
      </c>
      <c r="D813" t="s">
        <v>1328</v>
      </c>
      <c r="E813">
        <v>448204642</v>
      </c>
      <c r="H813">
        <v>2330</v>
      </c>
      <c r="I813">
        <v>1850</v>
      </c>
      <c r="J813">
        <v>0</v>
      </c>
      <c r="K813">
        <v>480</v>
      </c>
      <c r="M813" s="39" t="s">
        <v>1307</v>
      </c>
      <c r="N813" s="25">
        <f t="shared" si="52"/>
        <v>13</v>
      </c>
      <c r="O813" s="25" t="str">
        <f t="shared" si="53"/>
        <v>sábado</v>
      </c>
      <c r="P813" s="27">
        <f t="shared" si="54"/>
        <v>12</v>
      </c>
      <c r="Q813" s="22" t="str">
        <f t="shared" si="55"/>
        <v>diciembre</v>
      </c>
    </row>
    <row r="814" spans="1:19" x14ac:dyDescent="0.25">
      <c r="A814">
        <v>6</v>
      </c>
      <c r="B814" t="s">
        <v>1329</v>
      </c>
      <c r="C814" t="s">
        <v>19</v>
      </c>
      <c r="D814" t="s">
        <v>1330</v>
      </c>
      <c r="E814">
        <v>448202120</v>
      </c>
      <c r="F814" t="s">
        <v>1331</v>
      </c>
      <c r="G814">
        <v>448202571</v>
      </c>
      <c r="H814">
        <v>1802</v>
      </c>
      <c r="I814">
        <v>1800</v>
      </c>
      <c r="J814">
        <v>0</v>
      </c>
      <c r="K814">
        <v>2</v>
      </c>
      <c r="M814" s="39" t="s">
        <v>1307</v>
      </c>
      <c r="N814" s="25">
        <f t="shared" si="52"/>
        <v>13</v>
      </c>
      <c r="O814" s="25" t="str">
        <f t="shared" si="53"/>
        <v>sábado</v>
      </c>
      <c r="P814" s="27">
        <f t="shared" si="54"/>
        <v>12</v>
      </c>
      <c r="Q814" s="22" t="str">
        <f t="shared" si="55"/>
        <v>diciembre</v>
      </c>
    </row>
    <row r="815" spans="1:19" x14ac:dyDescent="0.25">
      <c r="A815">
        <v>6</v>
      </c>
      <c r="B815" t="s">
        <v>1332</v>
      </c>
      <c r="C815" t="s">
        <v>6</v>
      </c>
      <c r="D815" t="s">
        <v>1333</v>
      </c>
      <c r="E815">
        <v>448201504</v>
      </c>
      <c r="H815">
        <v>1840</v>
      </c>
      <c r="I815">
        <v>1600</v>
      </c>
      <c r="J815">
        <v>0</v>
      </c>
      <c r="K815">
        <v>240</v>
      </c>
      <c r="M815" s="39" t="s">
        <v>1307</v>
      </c>
      <c r="N815" s="25">
        <f t="shared" si="52"/>
        <v>13</v>
      </c>
      <c r="O815" s="25" t="str">
        <f t="shared" si="53"/>
        <v>sábado</v>
      </c>
      <c r="P815" s="27">
        <f t="shared" si="54"/>
        <v>12</v>
      </c>
      <c r="Q815" s="22" t="str">
        <f t="shared" si="55"/>
        <v>diciembre</v>
      </c>
    </row>
    <row r="816" spans="1:19" x14ac:dyDescent="0.25">
      <c r="A816">
        <v>5</v>
      </c>
      <c r="B816" t="s">
        <v>1334</v>
      </c>
      <c r="C816" t="s">
        <v>6</v>
      </c>
      <c r="D816" t="s">
        <v>1335</v>
      </c>
      <c r="E816">
        <v>448199188</v>
      </c>
      <c r="H816">
        <v>2380</v>
      </c>
      <c r="I816">
        <v>1200</v>
      </c>
      <c r="J816">
        <v>0</v>
      </c>
      <c r="K816">
        <v>1180</v>
      </c>
      <c r="M816" s="39" t="s">
        <v>1307</v>
      </c>
      <c r="N816" s="25">
        <f t="shared" si="52"/>
        <v>13</v>
      </c>
      <c r="O816" s="25" t="str">
        <f t="shared" si="53"/>
        <v>sábado</v>
      </c>
      <c r="P816" s="27">
        <f t="shared" si="54"/>
        <v>12</v>
      </c>
      <c r="Q816" s="22" t="str">
        <f t="shared" si="55"/>
        <v>diciembre</v>
      </c>
    </row>
    <row r="817" spans="1:19" x14ac:dyDescent="0.25">
      <c r="A817">
        <v>5</v>
      </c>
      <c r="B817" t="s">
        <v>1224</v>
      </c>
      <c r="C817" t="s">
        <v>6</v>
      </c>
      <c r="D817" t="s">
        <v>1336</v>
      </c>
      <c r="E817">
        <v>448197880</v>
      </c>
      <c r="H817">
        <v>2890</v>
      </c>
      <c r="I817">
        <v>1700</v>
      </c>
      <c r="J817">
        <v>0</v>
      </c>
      <c r="K817">
        <v>1190</v>
      </c>
      <c r="M817" s="39" t="s">
        <v>1307</v>
      </c>
      <c r="N817" s="25">
        <f t="shared" si="52"/>
        <v>13</v>
      </c>
      <c r="O817" s="25" t="str">
        <f t="shared" si="53"/>
        <v>sábado</v>
      </c>
      <c r="P817" s="27">
        <f t="shared" si="54"/>
        <v>12</v>
      </c>
      <c r="Q817" s="22" t="str">
        <f t="shared" si="55"/>
        <v>diciembre</v>
      </c>
      <c r="R817" t="s">
        <v>1336</v>
      </c>
      <c r="S817">
        <v>19080</v>
      </c>
    </row>
    <row r="818" spans="1:19" x14ac:dyDescent="0.25">
      <c r="A818">
        <v>6</v>
      </c>
      <c r="B818" t="s">
        <v>1337</v>
      </c>
      <c r="C818" t="s">
        <v>6</v>
      </c>
      <c r="D818" t="s">
        <v>1338</v>
      </c>
      <c r="E818">
        <v>448473214</v>
      </c>
      <c r="H818">
        <v>2680</v>
      </c>
      <c r="I818">
        <v>1200</v>
      </c>
      <c r="J818">
        <v>0</v>
      </c>
      <c r="K818">
        <v>1480</v>
      </c>
      <c r="M818" s="39" t="s">
        <v>1339</v>
      </c>
      <c r="N818" s="25">
        <f t="shared" si="52"/>
        <v>15</v>
      </c>
      <c r="O818" s="25" t="str">
        <f t="shared" si="53"/>
        <v>lunes</v>
      </c>
      <c r="P818" s="27">
        <f t="shared" si="54"/>
        <v>12</v>
      </c>
      <c r="Q818" s="22" t="str">
        <f t="shared" si="55"/>
        <v>diciembre</v>
      </c>
    </row>
    <row r="819" spans="1:19" x14ac:dyDescent="0.25">
      <c r="A819">
        <v>6</v>
      </c>
      <c r="B819" t="s">
        <v>1340</v>
      </c>
      <c r="C819" t="s">
        <v>6</v>
      </c>
      <c r="D819" t="s">
        <v>1341</v>
      </c>
      <c r="E819">
        <v>448473456</v>
      </c>
      <c r="H819">
        <v>4820</v>
      </c>
      <c r="I819">
        <v>1550</v>
      </c>
      <c r="J819">
        <v>0</v>
      </c>
      <c r="K819">
        <v>3270</v>
      </c>
      <c r="M819" s="39" t="s">
        <v>1339</v>
      </c>
      <c r="N819" s="25">
        <f t="shared" si="52"/>
        <v>15</v>
      </c>
      <c r="O819" s="25" t="str">
        <f t="shared" si="53"/>
        <v>lunes</v>
      </c>
      <c r="P819" s="27">
        <f t="shared" si="54"/>
        <v>12</v>
      </c>
      <c r="Q819" s="22" t="str">
        <f t="shared" si="55"/>
        <v>diciembre</v>
      </c>
    </row>
    <row r="820" spans="1:19" x14ac:dyDescent="0.25">
      <c r="A820">
        <v>6</v>
      </c>
      <c r="B820" t="s">
        <v>1342</v>
      </c>
      <c r="C820" t="s">
        <v>6</v>
      </c>
      <c r="D820" t="s">
        <v>1343</v>
      </c>
      <c r="E820">
        <v>448474062</v>
      </c>
      <c r="H820">
        <v>2880</v>
      </c>
      <c r="I820">
        <v>1200</v>
      </c>
      <c r="J820">
        <v>0</v>
      </c>
      <c r="K820">
        <v>1680</v>
      </c>
      <c r="M820" s="39" t="s">
        <v>1339</v>
      </c>
      <c r="N820" s="25">
        <f t="shared" si="52"/>
        <v>15</v>
      </c>
      <c r="O820" s="25" t="str">
        <f t="shared" si="53"/>
        <v>lunes</v>
      </c>
      <c r="P820" s="27">
        <f t="shared" si="54"/>
        <v>12</v>
      </c>
      <c r="Q820" s="22" t="str">
        <f t="shared" si="55"/>
        <v>diciembre</v>
      </c>
    </row>
    <row r="821" spans="1:19" x14ac:dyDescent="0.25">
      <c r="A821">
        <v>6</v>
      </c>
      <c r="B821" t="s">
        <v>1344</v>
      </c>
      <c r="C821" t="s">
        <v>19</v>
      </c>
      <c r="D821" t="s">
        <v>199</v>
      </c>
      <c r="E821">
        <v>448474247</v>
      </c>
      <c r="F821" t="s">
        <v>354</v>
      </c>
      <c r="G821">
        <v>448390979</v>
      </c>
      <c r="H821">
        <v>8120</v>
      </c>
      <c r="I821">
        <v>3400</v>
      </c>
      <c r="J821">
        <v>0</v>
      </c>
      <c r="K821">
        <v>4720</v>
      </c>
      <c r="M821" s="39" t="s">
        <v>1339</v>
      </c>
      <c r="N821" s="25">
        <f t="shared" si="52"/>
        <v>15</v>
      </c>
      <c r="O821" s="25" t="str">
        <f t="shared" si="53"/>
        <v>lunes</v>
      </c>
      <c r="P821" s="27">
        <f t="shared" si="54"/>
        <v>12</v>
      </c>
      <c r="Q821" s="22" t="str">
        <f t="shared" si="55"/>
        <v>diciembre</v>
      </c>
    </row>
    <row r="822" spans="1:19" x14ac:dyDescent="0.25">
      <c r="A822">
        <v>6</v>
      </c>
      <c r="B822" t="s">
        <v>1345</v>
      </c>
      <c r="C822" t="s">
        <v>6</v>
      </c>
      <c r="D822" t="s">
        <v>1346</v>
      </c>
      <c r="E822">
        <v>448476752</v>
      </c>
      <c r="H822">
        <v>1410</v>
      </c>
      <c r="I822">
        <v>1200</v>
      </c>
      <c r="J822">
        <v>0</v>
      </c>
      <c r="K822">
        <v>210</v>
      </c>
      <c r="M822" s="39" t="s">
        <v>1339</v>
      </c>
      <c r="N822" s="25">
        <f t="shared" si="52"/>
        <v>15</v>
      </c>
      <c r="O822" s="25" t="str">
        <f t="shared" si="53"/>
        <v>lunes</v>
      </c>
      <c r="P822" s="27">
        <f t="shared" si="54"/>
        <v>12</v>
      </c>
      <c r="Q822" s="22" t="str">
        <f t="shared" si="55"/>
        <v>diciembre</v>
      </c>
    </row>
    <row r="823" spans="1:19" x14ac:dyDescent="0.25">
      <c r="A823">
        <v>6</v>
      </c>
      <c r="B823" t="s">
        <v>1347</v>
      </c>
      <c r="C823" t="s">
        <v>155</v>
      </c>
      <c r="D823" t="s">
        <v>1217</v>
      </c>
      <c r="E823">
        <v>448477915</v>
      </c>
      <c r="H823">
        <v>1800</v>
      </c>
      <c r="I823">
        <v>1200</v>
      </c>
      <c r="J823">
        <v>0</v>
      </c>
      <c r="K823">
        <v>600</v>
      </c>
      <c r="M823" s="39" t="s">
        <v>1339</v>
      </c>
      <c r="N823" s="25">
        <f t="shared" si="52"/>
        <v>15</v>
      </c>
      <c r="O823" s="25" t="str">
        <f t="shared" si="53"/>
        <v>lunes</v>
      </c>
      <c r="P823" s="27">
        <f t="shared" si="54"/>
        <v>12</v>
      </c>
      <c r="Q823" s="22" t="str">
        <f t="shared" si="55"/>
        <v>diciembre</v>
      </c>
    </row>
    <row r="824" spans="1:19" x14ac:dyDescent="0.25">
      <c r="A824">
        <v>7</v>
      </c>
      <c r="B824" t="s">
        <v>1447</v>
      </c>
      <c r="C824" t="s">
        <v>6</v>
      </c>
      <c r="D824" t="s">
        <v>1448</v>
      </c>
      <c r="E824">
        <v>448698184</v>
      </c>
      <c r="H824">
        <v>3150</v>
      </c>
      <c r="I824">
        <v>1200</v>
      </c>
      <c r="J824">
        <v>0</v>
      </c>
      <c r="K824">
        <v>1950</v>
      </c>
      <c r="M824" s="39">
        <v>46008</v>
      </c>
      <c r="N824" s="25">
        <f t="shared" si="52"/>
        <v>17</v>
      </c>
      <c r="O824" s="25" t="str">
        <f t="shared" si="53"/>
        <v>miércoles</v>
      </c>
      <c r="P824" s="27">
        <f t="shared" si="54"/>
        <v>12</v>
      </c>
      <c r="Q824" s="22" t="str">
        <f t="shared" si="55"/>
        <v>diciembre</v>
      </c>
    </row>
    <row r="825" spans="1:19" x14ac:dyDescent="0.25">
      <c r="A825">
        <v>6</v>
      </c>
      <c r="B825" t="s">
        <v>1449</v>
      </c>
      <c r="C825" t="s">
        <v>155</v>
      </c>
      <c r="D825" t="s">
        <v>201</v>
      </c>
      <c r="E825">
        <v>448693563</v>
      </c>
      <c r="H825">
        <v>1770</v>
      </c>
      <c r="I825">
        <v>1350</v>
      </c>
      <c r="J825">
        <v>0</v>
      </c>
      <c r="K825">
        <v>420</v>
      </c>
      <c r="M825" s="39">
        <v>46008</v>
      </c>
      <c r="N825" s="25">
        <f t="shared" si="52"/>
        <v>17</v>
      </c>
      <c r="O825" s="25" t="str">
        <f t="shared" si="53"/>
        <v>miércoles</v>
      </c>
      <c r="P825" s="27">
        <f t="shared" si="54"/>
        <v>12</v>
      </c>
      <c r="Q825" s="22" t="str">
        <f t="shared" si="55"/>
        <v>diciembre</v>
      </c>
    </row>
    <row r="826" spans="1:19" x14ac:dyDescent="0.25">
      <c r="A826">
        <v>6</v>
      </c>
      <c r="B826" t="s">
        <v>1450</v>
      </c>
      <c r="C826" t="s">
        <v>6</v>
      </c>
      <c r="D826" t="s">
        <v>1451</v>
      </c>
      <c r="E826">
        <v>448690999</v>
      </c>
      <c r="H826">
        <v>2240</v>
      </c>
      <c r="I826">
        <v>1200</v>
      </c>
      <c r="J826">
        <v>0</v>
      </c>
      <c r="K826">
        <v>1040</v>
      </c>
      <c r="M826" s="39">
        <v>46008</v>
      </c>
      <c r="N826" s="25">
        <f t="shared" si="52"/>
        <v>17</v>
      </c>
      <c r="O826" s="25" t="str">
        <f t="shared" si="53"/>
        <v>miércoles</v>
      </c>
      <c r="P826" s="27">
        <f t="shared" si="54"/>
        <v>12</v>
      </c>
      <c r="Q826" s="22" t="str">
        <f t="shared" si="55"/>
        <v>diciembre</v>
      </c>
    </row>
    <row r="827" spans="1:19" x14ac:dyDescent="0.25">
      <c r="A827">
        <v>5</v>
      </c>
      <c r="B827" t="s">
        <v>1452</v>
      </c>
      <c r="C827" t="s">
        <v>6</v>
      </c>
      <c r="D827" t="s">
        <v>1453</v>
      </c>
      <c r="E827">
        <v>448689573</v>
      </c>
      <c r="H827">
        <v>1320</v>
      </c>
      <c r="I827">
        <v>1200</v>
      </c>
      <c r="J827">
        <v>0</v>
      </c>
      <c r="K827">
        <v>120</v>
      </c>
      <c r="M827" s="39">
        <v>46008</v>
      </c>
      <c r="N827" s="25">
        <f t="shared" si="52"/>
        <v>17</v>
      </c>
      <c r="O827" s="25" t="str">
        <f t="shared" si="53"/>
        <v>miércoles</v>
      </c>
      <c r="P827" s="27">
        <f t="shared" si="54"/>
        <v>12</v>
      </c>
      <c r="Q827" s="22" t="str">
        <f t="shared" si="55"/>
        <v>diciembre</v>
      </c>
    </row>
    <row r="828" spans="1:19" x14ac:dyDescent="0.25">
      <c r="A828">
        <v>5</v>
      </c>
      <c r="B828" t="s">
        <v>1454</v>
      </c>
      <c r="C828" t="s">
        <v>6</v>
      </c>
      <c r="D828" t="s">
        <v>828</v>
      </c>
      <c r="E828">
        <v>448689731</v>
      </c>
      <c r="H828">
        <v>1380</v>
      </c>
      <c r="I828">
        <v>1200</v>
      </c>
      <c r="J828">
        <v>0</v>
      </c>
      <c r="K828">
        <v>180</v>
      </c>
      <c r="M828" s="39">
        <v>46008</v>
      </c>
      <c r="N828" s="25">
        <f t="shared" si="52"/>
        <v>17</v>
      </c>
      <c r="O828" s="25" t="str">
        <f t="shared" si="53"/>
        <v>miércoles</v>
      </c>
      <c r="P828" s="27">
        <f t="shared" si="54"/>
        <v>12</v>
      </c>
      <c r="Q828" s="22" t="str">
        <f t="shared" si="55"/>
        <v>diciembre</v>
      </c>
    </row>
    <row r="829" spans="1:19" x14ac:dyDescent="0.25">
      <c r="A829">
        <v>5</v>
      </c>
      <c r="B829" t="s">
        <v>1455</v>
      </c>
      <c r="C829" t="s">
        <v>19</v>
      </c>
      <c r="D829" t="s">
        <v>1456</v>
      </c>
      <c r="E829">
        <v>448687303</v>
      </c>
      <c r="H829">
        <v>3790</v>
      </c>
      <c r="I829">
        <v>2250</v>
      </c>
      <c r="J829">
        <v>0</v>
      </c>
      <c r="K829">
        <v>1540</v>
      </c>
      <c r="M829" s="39">
        <v>46008</v>
      </c>
      <c r="N829" s="25">
        <f t="shared" si="52"/>
        <v>17</v>
      </c>
      <c r="O829" s="25" t="str">
        <f t="shared" si="53"/>
        <v>miércoles</v>
      </c>
      <c r="P829" s="27">
        <f t="shared" si="54"/>
        <v>12</v>
      </c>
      <c r="Q829" s="22" t="str">
        <f t="shared" si="55"/>
        <v>diciembre</v>
      </c>
    </row>
    <row r="830" spans="1:19" x14ac:dyDescent="0.25">
      <c r="A830">
        <v>12</v>
      </c>
      <c r="B830" t="s">
        <v>1457</v>
      </c>
      <c r="C830" t="s">
        <v>6</v>
      </c>
      <c r="D830" t="s">
        <v>715</v>
      </c>
      <c r="E830">
        <v>448909228</v>
      </c>
      <c r="F830" t="s">
        <v>715</v>
      </c>
      <c r="G830">
        <v>448909754</v>
      </c>
      <c r="H830">
        <v>2720</v>
      </c>
      <c r="I830">
        <v>2100</v>
      </c>
      <c r="J830">
        <v>0</v>
      </c>
      <c r="K830">
        <v>620</v>
      </c>
      <c r="M830" s="39">
        <v>46009</v>
      </c>
      <c r="N830" s="25">
        <f t="shared" si="52"/>
        <v>18</v>
      </c>
      <c r="O830" s="25" t="str">
        <f t="shared" si="53"/>
        <v>jueves</v>
      </c>
      <c r="P830" s="27">
        <f t="shared" si="54"/>
        <v>12</v>
      </c>
      <c r="Q830" s="22" t="str">
        <f t="shared" si="55"/>
        <v>diciembre</v>
      </c>
      <c r="R830" t="s">
        <v>1476</v>
      </c>
      <c r="S830">
        <f>11638+11580</f>
        <v>23218</v>
      </c>
    </row>
    <row r="831" spans="1:19" x14ac:dyDescent="0.25">
      <c r="A831">
        <v>12</v>
      </c>
      <c r="B831" t="s">
        <v>1458</v>
      </c>
      <c r="C831" t="s">
        <v>6</v>
      </c>
      <c r="D831" t="s">
        <v>1123</v>
      </c>
      <c r="E831">
        <v>448904631</v>
      </c>
      <c r="H831">
        <v>1200</v>
      </c>
      <c r="I831">
        <v>1200</v>
      </c>
      <c r="J831">
        <v>0</v>
      </c>
      <c r="K831">
        <v>0</v>
      </c>
      <c r="M831" s="39">
        <v>46009</v>
      </c>
      <c r="N831" s="25">
        <f t="shared" si="52"/>
        <v>18</v>
      </c>
      <c r="O831" s="25" t="str">
        <f t="shared" si="53"/>
        <v>jueves</v>
      </c>
      <c r="P831" s="27">
        <f t="shared" si="54"/>
        <v>12</v>
      </c>
      <c r="Q831" s="22" t="str">
        <f t="shared" si="55"/>
        <v>diciembre</v>
      </c>
    </row>
    <row r="832" spans="1:19" x14ac:dyDescent="0.25">
      <c r="A832">
        <v>11</v>
      </c>
      <c r="B832" t="s">
        <v>1459</v>
      </c>
      <c r="C832" t="s">
        <v>6</v>
      </c>
      <c r="D832" t="s">
        <v>1460</v>
      </c>
      <c r="E832">
        <v>448887170</v>
      </c>
      <c r="H832">
        <v>1200</v>
      </c>
      <c r="I832">
        <v>1200</v>
      </c>
      <c r="J832">
        <v>0</v>
      </c>
      <c r="K832">
        <v>0</v>
      </c>
      <c r="M832" s="39">
        <v>46009</v>
      </c>
      <c r="N832" s="25">
        <f t="shared" si="52"/>
        <v>18</v>
      </c>
      <c r="O832" s="25" t="str">
        <f t="shared" si="53"/>
        <v>jueves</v>
      </c>
      <c r="P832" s="27">
        <f t="shared" si="54"/>
        <v>12</v>
      </c>
      <c r="Q832" s="22" t="str">
        <f t="shared" si="55"/>
        <v>diciembre</v>
      </c>
    </row>
    <row r="833" spans="1:19" x14ac:dyDescent="0.25">
      <c r="A833">
        <v>11</v>
      </c>
      <c r="B833" t="s">
        <v>1461</v>
      </c>
      <c r="C833" t="s">
        <v>6</v>
      </c>
      <c r="D833" t="s">
        <v>548</v>
      </c>
      <c r="E833">
        <v>448880767</v>
      </c>
      <c r="H833">
        <v>2680</v>
      </c>
      <c r="I833">
        <v>1500</v>
      </c>
      <c r="J833">
        <v>0</v>
      </c>
      <c r="K833">
        <v>1180</v>
      </c>
      <c r="M833" s="39">
        <v>46009</v>
      </c>
      <c r="N833" s="25">
        <f t="shared" si="52"/>
        <v>18</v>
      </c>
      <c r="O833" s="25" t="str">
        <f t="shared" si="53"/>
        <v>jueves</v>
      </c>
      <c r="P833" s="27">
        <f t="shared" si="54"/>
        <v>12</v>
      </c>
      <c r="Q833" s="22" t="str">
        <f t="shared" si="55"/>
        <v>diciembre</v>
      </c>
    </row>
    <row r="834" spans="1:19" x14ac:dyDescent="0.25">
      <c r="A834">
        <v>11</v>
      </c>
      <c r="B834" t="s">
        <v>1462</v>
      </c>
      <c r="C834" t="s">
        <v>6</v>
      </c>
      <c r="D834" t="s">
        <v>1463</v>
      </c>
      <c r="E834">
        <v>448873850</v>
      </c>
      <c r="F834" t="s">
        <v>1464</v>
      </c>
      <c r="G834">
        <v>448869572</v>
      </c>
      <c r="H834">
        <v>2000</v>
      </c>
      <c r="I834">
        <v>1800</v>
      </c>
      <c r="J834">
        <v>0</v>
      </c>
      <c r="K834">
        <v>200</v>
      </c>
      <c r="M834" s="39" t="s">
        <v>1465</v>
      </c>
      <c r="N834" s="25">
        <f t="shared" ref="N834:N880" si="56">DAY(M834)</f>
        <v>18</v>
      </c>
      <c r="O834" s="25" t="str">
        <f t="shared" ref="O834:O880" si="57">TEXT(M834,"DDDD")</f>
        <v>jueves</v>
      </c>
      <c r="P834" s="27">
        <f t="shared" si="54"/>
        <v>12</v>
      </c>
      <c r="Q834" s="22" t="str">
        <f t="shared" si="55"/>
        <v>diciembre</v>
      </c>
    </row>
    <row r="835" spans="1:19" x14ac:dyDescent="0.25">
      <c r="A835">
        <v>11</v>
      </c>
      <c r="B835" t="s">
        <v>1466</v>
      </c>
      <c r="C835" t="s">
        <v>19</v>
      </c>
      <c r="D835" t="s">
        <v>1467</v>
      </c>
      <c r="E835">
        <v>448866759</v>
      </c>
      <c r="H835">
        <v>1200</v>
      </c>
      <c r="I835">
        <v>1200</v>
      </c>
      <c r="J835">
        <v>0</v>
      </c>
      <c r="K835">
        <v>0</v>
      </c>
      <c r="M835" s="39" t="s">
        <v>1465</v>
      </c>
      <c r="N835" s="25">
        <f t="shared" si="56"/>
        <v>18</v>
      </c>
      <c r="O835" s="25" t="str">
        <f t="shared" si="57"/>
        <v>jueves</v>
      </c>
      <c r="P835" s="27">
        <f t="shared" si="54"/>
        <v>12</v>
      </c>
      <c r="Q835" s="22" t="str">
        <f t="shared" si="55"/>
        <v>diciembre</v>
      </c>
    </row>
    <row r="836" spans="1:19" x14ac:dyDescent="0.25">
      <c r="A836">
        <v>11</v>
      </c>
      <c r="B836" t="s">
        <v>1468</v>
      </c>
      <c r="C836" t="s">
        <v>6</v>
      </c>
      <c r="D836" t="s">
        <v>1469</v>
      </c>
      <c r="E836">
        <v>448864457</v>
      </c>
      <c r="F836" t="s">
        <v>1469</v>
      </c>
      <c r="G836">
        <v>448864365</v>
      </c>
      <c r="H836">
        <v>1800</v>
      </c>
      <c r="I836">
        <v>1800</v>
      </c>
      <c r="J836">
        <v>0</v>
      </c>
      <c r="K836">
        <v>0</v>
      </c>
      <c r="M836" s="39" t="s">
        <v>1465</v>
      </c>
      <c r="N836" s="25">
        <f t="shared" si="56"/>
        <v>18</v>
      </c>
      <c r="O836" s="25" t="str">
        <f t="shared" si="57"/>
        <v>jueves</v>
      </c>
      <c r="P836" s="27">
        <f t="shared" si="54"/>
        <v>12</v>
      </c>
      <c r="Q836" s="22" t="str">
        <f t="shared" si="55"/>
        <v>diciembre</v>
      </c>
      <c r="R836" t="s">
        <v>1477</v>
      </c>
      <c r="S836">
        <f>7698+10408</f>
        <v>18106</v>
      </c>
    </row>
    <row r="837" spans="1:19" x14ac:dyDescent="0.25">
      <c r="A837">
        <v>10</v>
      </c>
      <c r="B837" t="s">
        <v>1470</v>
      </c>
      <c r="C837" t="s">
        <v>155</v>
      </c>
      <c r="D837" t="s">
        <v>1471</v>
      </c>
      <c r="E837">
        <v>448861081</v>
      </c>
      <c r="H837">
        <v>1550</v>
      </c>
      <c r="I837">
        <v>1550</v>
      </c>
      <c r="J837">
        <v>0</v>
      </c>
      <c r="K837">
        <v>0</v>
      </c>
      <c r="M837" s="39" t="s">
        <v>1465</v>
      </c>
      <c r="N837" s="25">
        <f t="shared" si="56"/>
        <v>18</v>
      </c>
      <c r="O837" s="25" t="str">
        <f t="shared" si="57"/>
        <v>jueves</v>
      </c>
      <c r="P837" s="27">
        <f t="shared" si="54"/>
        <v>12</v>
      </c>
      <c r="Q837" s="22" t="str">
        <f t="shared" si="55"/>
        <v>diciembre</v>
      </c>
    </row>
    <row r="838" spans="1:19" x14ac:dyDescent="0.25">
      <c r="A838">
        <v>10</v>
      </c>
      <c r="B838" t="s">
        <v>1472</v>
      </c>
      <c r="C838" t="s">
        <v>155</v>
      </c>
      <c r="D838" t="s">
        <v>1471</v>
      </c>
      <c r="E838">
        <v>448856992</v>
      </c>
      <c r="H838">
        <v>1910</v>
      </c>
      <c r="I838">
        <v>1350</v>
      </c>
      <c r="J838">
        <v>0</v>
      </c>
      <c r="K838">
        <v>560</v>
      </c>
      <c r="M838" s="39" t="s">
        <v>1465</v>
      </c>
      <c r="N838" s="25">
        <f t="shared" si="56"/>
        <v>18</v>
      </c>
      <c r="O838" s="25" t="str">
        <f t="shared" si="57"/>
        <v>jueves</v>
      </c>
      <c r="P838" s="27">
        <f t="shared" si="54"/>
        <v>12</v>
      </c>
      <c r="Q838" s="22" t="str">
        <f t="shared" si="55"/>
        <v>diciembre</v>
      </c>
    </row>
    <row r="839" spans="1:19" x14ac:dyDescent="0.25">
      <c r="A839">
        <v>10</v>
      </c>
      <c r="B839" t="s">
        <v>1473</v>
      </c>
      <c r="C839" t="s">
        <v>155</v>
      </c>
      <c r="D839" t="s">
        <v>675</v>
      </c>
      <c r="E839">
        <v>448852593</v>
      </c>
      <c r="H839">
        <v>1760</v>
      </c>
      <c r="I839">
        <v>1200</v>
      </c>
      <c r="J839">
        <v>0</v>
      </c>
      <c r="K839">
        <v>560</v>
      </c>
      <c r="M839" s="39" t="s">
        <v>1465</v>
      </c>
      <c r="N839" s="25">
        <f t="shared" si="56"/>
        <v>18</v>
      </c>
      <c r="O839" s="25" t="str">
        <f t="shared" si="57"/>
        <v>jueves</v>
      </c>
      <c r="P839" s="27">
        <f t="shared" si="54"/>
        <v>12</v>
      </c>
      <c r="Q839" s="22" t="str">
        <f t="shared" si="55"/>
        <v>diciembre</v>
      </c>
    </row>
    <row r="840" spans="1:19" x14ac:dyDescent="0.25">
      <c r="A840">
        <v>9</v>
      </c>
      <c r="B840" t="s">
        <v>1474</v>
      </c>
      <c r="C840" t="s">
        <v>155</v>
      </c>
      <c r="D840" t="s">
        <v>1475</v>
      </c>
      <c r="E840">
        <v>448844754</v>
      </c>
      <c r="H840">
        <v>1700</v>
      </c>
      <c r="I840">
        <v>1350</v>
      </c>
      <c r="J840">
        <v>0</v>
      </c>
      <c r="K840">
        <v>350</v>
      </c>
      <c r="M840" s="39" t="s">
        <v>1465</v>
      </c>
      <c r="N840" s="25">
        <f t="shared" si="56"/>
        <v>18</v>
      </c>
      <c r="O840" s="25" t="str">
        <f t="shared" si="57"/>
        <v>jueves</v>
      </c>
      <c r="P840" s="27">
        <f t="shared" si="54"/>
        <v>12</v>
      </c>
      <c r="Q840" s="22" t="str">
        <f t="shared" si="55"/>
        <v>diciembre</v>
      </c>
    </row>
    <row r="841" spans="1:19" x14ac:dyDescent="0.25">
      <c r="A841">
        <v>11</v>
      </c>
      <c r="B841" t="s">
        <v>1478</v>
      </c>
      <c r="C841" t="s">
        <v>6</v>
      </c>
      <c r="D841" t="s">
        <v>1479</v>
      </c>
      <c r="E841">
        <v>449411472</v>
      </c>
      <c r="H841">
        <v>5150</v>
      </c>
      <c r="I841">
        <v>1450</v>
      </c>
      <c r="J841">
        <v>0</v>
      </c>
      <c r="K841">
        <v>3700</v>
      </c>
      <c r="M841" s="39" t="s">
        <v>1480</v>
      </c>
      <c r="N841" s="25">
        <f t="shared" si="56"/>
        <v>22</v>
      </c>
      <c r="O841" s="25" t="str">
        <f t="shared" si="57"/>
        <v>lunes</v>
      </c>
      <c r="P841" s="27">
        <f t="shared" si="54"/>
        <v>12</v>
      </c>
      <c r="Q841" s="22" t="str">
        <f t="shared" si="55"/>
        <v>diciembre</v>
      </c>
    </row>
    <row r="842" spans="1:19" x14ac:dyDescent="0.25">
      <c r="A842">
        <v>10</v>
      </c>
      <c r="B842" t="s">
        <v>1481</v>
      </c>
      <c r="C842" t="s">
        <v>6</v>
      </c>
      <c r="D842" t="s">
        <v>1201</v>
      </c>
      <c r="E842">
        <v>449386339</v>
      </c>
      <c r="F842" t="s">
        <v>1482</v>
      </c>
      <c r="G842">
        <v>449386541</v>
      </c>
      <c r="H842">
        <v>4860</v>
      </c>
      <c r="I842">
        <v>1800</v>
      </c>
      <c r="J842">
        <v>0</v>
      </c>
      <c r="K842">
        <v>3060</v>
      </c>
      <c r="M842" s="39" t="s">
        <v>1480</v>
      </c>
      <c r="N842" s="25">
        <f t="shared" si="56"/>
        <v>22</v>
      </c>
      <c r="O842" s="25" t="str">
        <f t="shared" si="57"/>
        <v>lunes</v>
      </c>
      <c r="P842" s="27">
        <f t="shared" si="54"/>
        <v>12</v>
      </c>
      <c r="Q842" s="22" t="str">
        <f t="shared" si="55"/>
        <v>diciembre</v>
      </c>
    </row>
    <row r="843" spans="1:19" x14ac:dyDescent="0.25">
      <c r="A843">
        <v>10</v>
      </c>
      <c r="B843" t="s">
        <v>1483</v>
      </c>
      <c r="C843" t="s">
        <v>6</v>
      </c>
      <c r="D843" t="s">
        <v>448</v>
      </c>
      <c r="E843">
        <v>449376929</v>
      </c>
      <c r="F843" t="s">
        <v>1484</v>
      </c>
      <c r="G843">
        <v>449376229</v>
      </c>
      <c r="H843">
        <v>3840</v>
      </c>
      <c r="I843">
        <v>1800</v>
      </c>
      <c r="J843">
        <v>0</v>
      </c>
      <c r="K843">
        <v>2040</v>
      </c>
      <c r="M843" s="39" t="s">
        <v>1480</v>
      </c>
      <c r="N843" s="25">
        <f t="shared" si="56"/>
        <v>22</v>
      </c>
      <c r="O843" s="25" t="str">
        <f t="shared" si="57"/>
        <v>lunes</v>
      </c>
      <c r="P843" s="27">
        <f t="shared" si="54"/>
        <v>12</v>
      </c>
      <c r="Q843" s="22" t="str">
        <f t="shared" si="55"/>
        <v>diciembre</v>
      </c>
    </row>
    <row r="844" spans="1:19" x14ac:dyDescent="0.25">
      <c r="A844">
        <v>10</v>
      </c>
      <c r="B844" t="s">
        <v>1485</v>
      </c>
      <c r="C844" t="s">
        <v>6</v>
      </c>
      <c r="D844" t="s">
        <v>1486</v>
      </c>
      <c r="E844">
        <v>449376706</v>
      </c>
      <c r="H844">
        <v>4140</v>
      </c>
      <c r="I844">
        <v>1200</v>
      </c>
      <c r="J844">
        <v>0</v>
      </c>
      <c r="K844">
        <v>2940</v>
      </c>
      <c r="M844" s="39" t="s">
        <v>1480</v>
      </c>
      <c r="N844" s="25">
        <f t="shared" si="56"/>
        <v>22</v>
      </c>
      <c r="O844" s="25" t="str">
        <f t="shared" si="57"/>
        <v>lunes</v>
      </c>
      <c r="P844" s="27">
        <f t="shared" si="54"/>
        <v>12</v>
      </c>
      <c r="Q844" s="22" t="str">
        <f t="shared" si="55"/>
        <v>diciembre</v>
      </c>
    </row>
    <row r="845" spans="1:19" x14ac:dyDescent="0.25">
      <c r="A845">
        <v>10</v>
      </c>
      <c r="B845" t="s">
        <v>1470</v>
      </c>
      <c r="C845" t="s">
        <v>6</v>
      </c>
      <c r="D845" t="s">
        <v>1487</v>
      </c>
      <c r="E845">
        <v>449372814</v>
      </c>
      <c r="H845">
        <v>2720</v>
      </c>
      <c r="I845">
        <v>1200</v>
      </c>
      <c r="J845">
        <v>0</v>
      </c>
      <c r="K845">
        <v>1520</v>
      </c>
      <c r="M845" s="39" t="s">
        <v>1480</v>
      </c>
      <c r="N845" s="25">
        <f t="shared" si="56"/>
        <v>22</v>
      </c>
      <c r="O845" s="25" t="str">
        <f t="shared" si="57"/>
        <v>lunes</v>
      </c>
      <c r="P845" s="27">
        <f t="shared" ref="P845:P880" si="58">MONTH(M845)</f>
        <v>12</v>
      </c>
      <c r="Q845" s="22" t="str">
        <f t="shared" ref="Q845:Q880" si="59">TEXT(M845,"MMMM")</f>
        <v>diciembre</v>
      </c>
    </row>
    <row r="846" spans="1:19" x14ac:dyDescent="0.25">
      <c r="A846">
        <v>10</v>
      </c>
      <c r="B846" t="s">
        <v>1488</v>
      </c>
      <c r="C846" t="s">
        <v>19</v>
      </c>
      <c r="D846" t="s">
        <v>1489</v>
      </c>
      <c r="E846">
        <v>449365662</v>
      </c>
      <c r="H846">
        <v>5000</v>
      </c>
      <c r="I846">
        <v>5000</v>
      </c>
      <c r="J846">
        <v>0</v>
      </c>
      <c r="K846">
        <v>0</v>
      </c>
      <c r="M846" s="39" t="s">
        <v>1480</v>
      </c>
      <c r="N846" s="25">
        <f t="shared" si="56"/>
        <v>22</v>
      </c>
      <c r="O846" s="25" t="str">
        <f t="shared" si="57"/>
        <v>lunes</v>
      </c>
      <c r="P846" s="27">
        <f t="shared" si="58"/>
        <v>12</v>
      </c>
      <c r="Q846" s="22" t="str">
        <f t="shared" si="59"/>
        <v>diciembre</v>
      </c>
    </row>
    <row r="847" spans="1:19" x14ac:dyDescent="0.25">
      <c r="A847">
        <v>10</v>
      </c>
      <c r="B847" t="s">
        <v>1490</v>
      </c>
      <c r="C847" t="s">
        <v>19</v>
      </c>
      <c r="D847" t="s">
        <v>1491</v>
      </c>
      <c r="E847">
        <v>449360532</v>
      </c>
      <c r="H847">
        <v>2880</v>
      </c>
      <c r="I847">
        <v>1800</v>
      </c>
      <c r="J847">
        <v>0</v>
      </c>
      <c r="K847">
        <v>1080</v>
      </c>
      <c r="M847" s="39" t="s">
        <v>1480</v>
      </c>
      <c r="N847" s="25">
        <f t="shared" si="56"/>
        <v>22</v>
      </c>
      <c r="O847" s="25" t="str">
        <f t="shared" si="57"/>
        <v>lunes</v>
      </c>
      <c r="P847" s="27">
        <f t="shared" si="58"/>
        <v>12</v>
      </c>
      <c r="Q847" s="22" t="str">
        <f t="shared" si="59"/>
        <v>diciembre</v>
      </c>
    </row>
    <row r="848" spans="1:19" x14ac:dyDescent="0.25">
      <c r="A848">
        <v>9</v>
      </c>
      <c r="B848" t="s">
        <v>1492</v>
      </c>
      <c r="C848" t="s">
        <v>6</v>
      </c>
      <c r="D848" t="s">
        <v>1493</v>
      </c>
      <c r="E848">
        <v>449362325</v>
      </c>
      <c r="H848">
        <v>2380</v>
      </c>
      <c r="I848">
        <v>1200</v>
      </c>
      <c r="J848">
        <v>0</v>
      </c>
      <c r="K848">
        <v>1180</v>
      </c>
      <c r="M848" s="39" t="s">
        <v>1480</v>
      </c>
      <c r="N848" s="25">
        <f t="shared" si="56"/>
        <v>22</v>
      </c>
      <c r="O848" s="25" t="str">
        <f t="shared" si="57"/>
        <v>lunes</v>
      </c>
      <c r="P848" s="27">
        <f t="shared" si="58"/>
        <v>12</v>
      </c>
      <c r="Q848" s="22" t="str">
        <f t="shared" si="59"/>
        <v>diciembre</v>
      </c>
    </row>
    <row r="849" spans="1:19" x14ac:dyDescent="0.25">
      <c r="A849">
        <v>9</v>
      </c>
      <c r="B849" t="s">
        <v>1494</v>
      </c>
      <c r="C849" t="s">
        <v>19</v>
      </c>
      <c r="D849" t="s">
        <v>206</v>
      </c>
      <c r="E849">
        <v>449362312</v>
      </c>
      <c r="H849">
        <v>1200</v>
      </c>
      <c r="I849">
        <v>1200</v>
      </c>
      <c r="J849">
        <v>0</v>
      </c>
      <c r="K849">
        <v>0</v>
      </c>
      <c r="M849" s="39" t="s">
        <v>1480</v>
      </c>
      <c r="N849" s="25">
        <f t="shared" si="56"/>
        <v>22</v>
      </c>
      <c r="O849" s="25" t="str">
        <f t="shared" si="57"/>
        <v>lunes</v>
      </c>
      <c r="P849" s="27">
        <f t="shared" si="58"/>
        <v>12</v>
      </c>
      <c r="Q849" s="22" t="str">
        <f t="shared" si="59"/>
        <v>diciembre</v>
      </c>
    </row>
    <row r="850" spans="1:19" x14ac:dyDescent="0.25">
      <c r="A850">
        <v>12</v>
      </c>
      <c r="B850" t="s">
        <v>1495</v>
      </c>
      <c r="C850" t="s">
        <v>6</v>
      </c>
      <c r="D850" t="s">
        <v>1085</v>
      </c>
      <c r="E850">
        <v>449531394</v>
      </c>
      <c r="H850">
        <v>2610</v>
      </c>
      <c r="I850">
        <v>1350</v>
      </c>
      <c r="J850">
        <v>0</v>
      </c>
      <c r="K850">
        <v>1260</v>
      </c>
      <c r="M850" s="39" t="s">
        <v>1496</v>
      </c>
      <c r="N850" s="25">
        <f t="shared" si="56"/>
        <v>23</v>
      </c>
      <c r="O850" s="25" t="str">
        <f t="shared" si="57"/>
        <v>martes</v>
      </c>
      <c r="P850" s="27">
        <f t="shared" si="58"/>
        <v>12</v>
      </c>
      <c r="Q850" s="22" t="str">
        <f t="shared" si="59"/>
        <v>diciembre</v>
      </c>
      <c r="R850" t="s">
        <v>1085</v>
      </c>
      <c r="S850">
        <v>25030</v>
      </c>
    </row>
    <row r="851" spans="1:19" x14ac:dyDescent="0.25">
      <c r="A851">
        <v>12</v>
      </c>
      <c r="B851" t="s">
        <v>1497</v>
      </c>
      <c r="C851" t="s">
        <v>6</v>
      </c>
      <c r="D851" t="s">
        <v>1085</v>
      </c>
      <c r="E851">
        <v>449529399</v>
      </c>
      <c r="H851">
        <v>2140</v>
      </c>
      <c r="I851">
        <v>1200</v>
      </c>
      <c r="J851">
        <v>0</v>
      </c>
      <c r="K851">
        <v>940</v>
      </c>
      <c r="M851" s="39" t="s">
        <v>1496</v>
      </c>
      <c r="N851" s="25">
        <f t="shared" si="56"/>
        <v>23</v>
      </c>
      <c r="O851" s="25" t="str">
        <f t="shared" si="57"/>
        <v>martes</v>
      </c>
      <c r="P851" s="27">
        <f t="shared" si="58"/>
        <v>12</v>
      </c>
      <c r="Q851" s="22" t="str">
        <f t="shared" si="59"/>
        <v>diciembre</v>
      </c>
    </row>
    <row r="852" spans="1:19" x14ac:dyDescent="0.25">
      <c r="A852">
        <v>12</v>
      </c>
      <c r="B852" t="s">
        <v>1498</v>
      </c>
      <c r="C852" t="s">
        <v>6</v>
      </c>
      <c r="D852" t="s">
        <v>1499</v>
      </c>
      <c r="E852">
        <v>449521642</v>
      </c>
      <c r="H852">
        <v>4160</v>
      </c>
      <c r="I852">
        <v>1800</v>
      </c>
      <c r="J852">
        <v>0</v>
      </c>
      <c r="K852">
        <v>2360</v>
      </c>
      <c r="M852" s="39" t="s">
        <v>1496</v>
      </c>
      <c r="N852" s="25">
        <f t="shared" si="56"/>
        <v>23</v>
      </c>
      <c r="O852" s="25" t="str">
        <f t="shared" si="57"/>
        <v>martes</v>
      </c>
      <c r="P852" s="27">
        <f t="shared" si="58"/>
        <v>12</v>
      </c>
      <c r="Q852" s="22" t="str">
        <f t="shared" si="59"/>
        <v>diciembre</v>
      </c>
    </row>
    <row r="853" spans="1:19" x14ac:dyDescent="0.25">
      <c r="A853">
        <v>12</v>
      </c>
      <c r="B853" t="s">
        <v>1500</v>
      </c>
      <c r="C853" t="s">
        <v>6</v>
      </c>
      <c r="D853" t="s">
        <v>1042</v>
      </c>
      <c r="E853">
        <v>449514276</v>
      </c>
      <c r="H853">
        <v>1400</v>
      </c>
      <c r="I853">
        <v>1400</v>
      </c>
      <c r="J853">
        <v>0</v>
      </c>
      <c r="K853">
        <v>0</v>
      </c>
      <c r="M853" s="39" t="s">
        <v>1496</v>
      </c>
      <c r="N853" s="25">
        <f t="shared" si="56"/>
        <v>23</v>
      </c>
      <c r="O853" s="25" t="str">
        <f t="shared" si="57"/>
        <v>martes</v>
      </c>
      <c r="P853" s="27">
        <f t="shared" si="58"/>
        <v>12</v>
      </c>
      <c r="Q853" s="22" t="str">
        <f t="shared" si="59"/>
        <v>diciembre</v>
      </c>
    </row>
    <row r="854" spans="1:19" x14ac:dyDescent="0.25">
      <c r="A854">
        <v>12</v>
      </c>
      <c r="B854" t="s">
        <v>650</v>
      </c>
      <c r="C854" t="s">
        <v>6</v>
      </c>
      <c r="D854" t="s">
        <v>446</v>
      </c>
      <c r="E854">
        <v>449511066</v>
      </c>
      <c r="F854" t="s">
        <v>1501</v>
      </c>
      <c r="G854">
        <v>449511643</v>
      </c>
      <c r="H854">
        <v>2900</v>
      </c>
      <c r="I854">
        <v>2500</v>
      </c>
      <c r="J854">
        <v>200</v>
      </c>
      <c r="K854">
        <v>200</v>
      </c>
      <c r="M854" s="39" t="s">
        <v>1496</v>
      </c>
      <c r="N854" s="25">
        <f t="shared" si="56"/>
        <v>23</v>
      </c>
      <c r="O854" s="25" t="str">
        <f t="shared" si="57"/>
        <v>martes</v>
      </c>
      <c r="P854" s="27">
        <f t="shared" si="58"/>
        <v>12</v>
      </c>
      <c r="Q854" s="22" t="str">
        <f t="shared" si="59"/>
        <v>diciembre</v>
      </c>
    </row>
    <row r="855" spans="1:19" x14ac:dyDescent="0.25">
      <c r="A855">
        <v>11</v>
      </c>
      <c r="B855" t="s">
        <v>1461</v>
      </c>
      <c r="C855" t="s">
        <v>19</v>
      </c>
      <c r="D855" t="s">
        <v>1502</v>
      </c>
      <c r="E855">
        <v>449501547</v>
      </c>
      <c r="F855" t="s">
        <v>1502</v>
      </c>
      <c r="G855">
        <v>449500847</v>
      </c>
      <c r="H855">
        <v>2002</v>
      </c>
      <c r="I855">
        <v>1800</v>
      </c>
      <c r="J855">
        <v>200</v>
      </c>
      <c r="K855">
        <v>2</v>
      </c>
      <c r="M855" s="39" t="s">
        <v>1496</v>
      </c>
      <c r="N855" s="25">
        <f t="shared" si="56"/>
        <v>23</v>
      </c>
      <c r="O855" s="25" t="str">
        <f t="shared" si="57"/>
        <v>martes</v>
      </c>
      <c r="P855" s="27">
        <f t="shared" si="58"/>
        <v>12</v>
      </c>
      <c r="Q855" s="22" t="str">
        <f t="shared" si="59"/>
        <v>diciembre</v>
      </c>
    </row>
    <row r="856" spans="1:19" x14ac:dyDescent="0.25">
      <c r="A856">
        <v>11</v>
      </c>
      <c r="B856" t="s">
        <v>1503</v>
      </c>
      <c r="C856" t="s">
        <v>6</v>
      </c>
      <c r="D856" t="s">
        <v>1361</v>
      </c>
      <c r="E856">
        <v>449491851</v>
      </c>
      <c r="F856" t="s">
        <v>1018</v>
      </c>
      <c r="G856">
        <v>449492358</v>
      </c>
      <c r="H856">
        <v>3650</v>
      </c>
      <c r="I856">
        <v>2050</v>
      </c>
      <c r="J856">
        <v>200</v>
      </c>
      <c r="K856">
        <v>1400</v>
      </c>
      <c r="M856" s="39" t="s">
        <v>1496</v>
      </c>
      <c r="N856" s="25">
        <f t="shared" si="56"/>
        <v>23</v>
      </c>
      <c r="O856" s="25" t="str">
        <f t="shared" si="57"/>
        <v>martes</v>
      </c>
      <c r="P856" s="27">
        <f t="shared" si="58"/>
        <v>12</v>
      </c>
      <c r="Q856" s="22" t="str">
        <f t="shared" si="59"/>
        <v>diciembre</v>
      </c>
    </row>
    <row r="857" spans="1:19" x14ac:dyDescent="0.25">
      <c r="A857">
        <v>11</v>
      </c>
      <c r="B857" t="s">
        <v>1504</v>
      </c>
      <c r="C857" t="s">
        <v>155</v>
      </c>
      <c r="D857" t="s">
        <v>675</v>
      </c>
      <c r="E857">
        <v>449486751</v>
      </c>
      <c r="H857">
        <v>2500</v>
      </c>
      <c r="I857">
        <v>2400</v>
      </c>
      <c r="J857">
        <v>100</v>
      </c>
      <c r="K857">
        <v>0</v>
      </c>
      <c r="M857" s="39" t="s">
        <v>1496</v>
      </c>
      <c r="N857" s="25">
        <f t="shared" si="56"/>
        <v>23</v>
      </c>
      <c r="O857" s="25" t="str">
        <f t="shared" si="57"/>
        <v>martes</v>
      </c>
      <c r="P857" s="27">
        <f t="shared" si="58"/>
        <v>12</v>
      </c>
      <c r="Q857" s="22" t="str">
        <f t="shared" si="59"/>
        <v>diciembre</v>
      </c>
    </row>
    <row r="858" spans="1:19" x14ac:dyDescent="0.25">
      <c r="A858">
        <v>11</v>
      </c>
      <c r="B858" t="s">
        <v>1505</v>
      </c>
      <c r="C858" t="s">
        <v>19</v>
      </c>
      <c r="D858" t="s">
        <v>1506</v>
      </c>
      <c r="E858">
        <v>449483292</v>
      </c>
      <c r="H858">
        <v>3060</v>
      </c>
      <c r="I858">
        <v>1600</v>
      </c>
      <c r="J858">
        <v>100</v>
      </c>
      <c r="K858">
        <v>1360</v>
      </c>
      <c r="M858" s="39" t="s">
        <v>1496</v>
      </c>
      <c r="N858" s="25">
        <f t="shared" si="56"/>
        <v>23</v>
      </c>
      <c r="O858" s="25" t="str">
        <f t="shared" si="57"/>
        <v>martes</v>
      </c>
      <c r="P858" s="27">
        <f t="shared" si="58"/>
        <v>12</v>
      </c>
      <c r="Q858" s="22" t="str">
        <f t="shared" si="59"/>
        <v>diciembre</v>
      </c>
    </row>
    <row r="859" spans="1:19" x14ac:dyDescent="0.25">
      <c r="A859">
        <v>10</v>
      </c>
      <c r="B859" t="s">
        <v>1507</v>
      </c>
      <c r="C859" t="s">
        <v>6</v>
      </c>
      <c r="D859" t="s">
        <v>1508</v>
      </c>
      <c r="E859">
        <v>449482023</v>
      </c>
      <c r="H859">
        <v>2910</v>
      </c>
      <c r="I859">
        <v>1450</v>
      </c>
      <c r="J859">
        <v>100</v>
      </c>
      <c r="K859">
        <v>1360</v>
      </c>
      <c r="M859" s="39" t="s">
        <v>1496</v>
      </c>
      <c r="N859" s="25">
        <f t="shared" si="56"/>
        <v>23</v>
      </c>
      <c r="O859" s="25" t="str">
        <f t="shared" si="57"/>
        <v>martes</v>
      </c>
      <c r="P859" s="27">
        <f t="shared" si="58"/>
        <v>12</v>
      </c>
      <c r="Q859" s="22" t="str">
        <f t="shared" si="59"/>
        <v>diciembre</v>
      </c>
    </row>
    <row r="860" spans="1:19" x14ac:dyDescent="0.25">
      <c r="A860">
        <v>10</v>
      </c>
      <c r="B860" t="s">
        <v>1509</v>
      </c>
      <c r="C860" t="s">
        <v>6</v>
      </c>
      <c r="D860" t="s">
        <v>1510</v>
      </c>
      <c r="E860">
        <v>449480991</v>
      </c>
      <c r="H860">
        <v>4270</v>
      </c>
      <c r="I860">
        <v>2310</v>
      </c>
      <c r="J860">
        <v>0</v>
      </c>
      <c r="K860">
        <v>1960</v>
      </c>
      <c r="M860" s="39" t="s">
        <v>1496</v>
      </c>
      <c r="N860" s="25">
        <f t="shared" si="56"/>
        <v>23</v>
      </c>
      <c r="O860" s="25" t="str">
        <f t="shared" si="57"/>
        <v>martes</v>
      </c>
      <c r="P860" s="27">
        <f t="shared" si="58"/>
        <v>12</v>
      </c>
      <c r="Q860" s="22" t="str">
        <f t="shared" si="59"/>
        <v>diciembre</v>
      </c>
    </row>
    <row r="861" spans="1:19" x14ac:dyDescent="0.25">
      <c r="A861">
        <v>10</v>
      </c>
      <c r="B861" t="s">
        <v>1022</v>
      </c>
      <c r="C861" t="s">
        <v>19</v>
      </c>
      <c r="D861" t="s">
        <v>206</v>
      </c>
      <c r="E861">
        <v>449480208</v>
      </c>
      <c r="H861">
        <v>2004</v>
      </c>
      <c r="I861">
        <v>1604</v>
      </c>
      <c r="J861">
        <v>0</v>
      </c>
      <c r="K861">
        <v>400</v>
      </c>
      <c r="M861" s="39" t="s">
        <v>1496</v>
      </c>
      <c r="N861" s="25">
        <f t="shared" si="56"/>
        <v>23</v>
      </c>
      <c r="O861" s="25" t="str">
        <f t="shared" si="57"/>
        <v>martes</v>
      </c>
      <c r="P861" s="27">
        <f t="shared" si="58"/>
        <v>12</v>
      </c>
      <c r="Q861" s="22" t="str">
        <f t="shared" si="59"/>
        <v>diciembre</v>
      </c>
    </row>
    <row r="862" spans="1:19" x14ac:dyDescent="0.25">
      <c r="A862">
        <v>10</v>
      </c>
      <c r="B862" t="s">
        <v>1511</v>
      </c>
      <c r="C862" t="s">
        <v>6</v>
      </c>
      <c r="D862" t="s">
        <v>1512</v>
      </c>
      <c r="E862">
        <v>449478616</v>
      </c>
      <c r="H862">
        <v>2925</v>
      </c>
      <c r="I862">
        <v>1925</v>
      </c>
      <c r="J862">
        <v>0</v>
      </c>
      <c r="K862">
        <v>1000</v>
      </c>
      <c r="M862" s="39" t="s">
        <v>1496</v>
      </c>
      <c r="N862" s="25">
        <f t="shared" si="56"/>
        <v>23</v>
      </c>
      <c r="O862" s="25" t="str">
        <f t="shared" si="57"/>
        <v>martes</v>
      </c>
      <c r="P862" s="27">
        <f t="shared" si="58"/>
        <v>12</v>
      </c>
      <c r="Q862" s="22" t="str">
        <f t="shared" si="59"/>
        <v>diciembre</v>
      </c>
      <c r="R862" t="s">
        <v>1512</v>
      </c>
      <c r="S862">
        <v>12978</v>
      </c>
    </row>
    <row r="863" spans="1:19" x14ac:dyDescent="0.25">
      <c r="A863">
        <v>10</v>
      </c>
      <c r="B863" t="s">
        <v>1513</v>
      </c>
      <c r="C863" t="s">
        <v>155</v>
      </c>
      <c r="D863" t="s">
        <v>201</v>
      </c>
      <c r="E863">
        <v>449476680</v>
      </c>
      <c r="H863">
        <v>2695</v>
      </c>
      <c r="I863">
        <v>2450</v>
      </c>
      <c r="J863">
        <v>0</v>
      </c>
      <c r="K863">
        <v>245</v>
      </c>
      <c r="M863" s="39" t="s">
        <v>1496</v>
      </c>
      <c r="N863" s="25">
        <f t="shared" si="56"/>
        <v>23</v>
      </c>
      <c r="O863" s="25" t="str">
        <f t="shared" si="57"/>
        <v>martes</v>
      </c>
      <c r="P863" s="27">
        <f t="shared" si="58"/>
        <v>12</v>
      </c>
      <c r="Q863" s="22" t="str">
        <f t="shared" si="59"/>
        <v>diciembre</v>
      </c>
    </row>
    <row r="864" spans="1:19" x14ac:dyDescent="0.25">
      <c r="A864">
        <v>8</v>
      </c>
      <c r="B864" t="s">
        <v>1514</v>
      </c>
      <c r="C864" t="s">
        <v>19</v>
      </c>
      <c r="D864" t="s">
        <v>1515</v>
      </c>
      <c r="E864">
        <v>449581420</v>
      </c>
      <c r="H864">
        <v>2160</v>
      </c>
      <c r="I864">
        <v>1700</v>
      </c>
      <c r="J864">
        <v>0</v>
      </c>
      <c r="K864">
        <v>460</v>
      </c>
      <c r="M864" s="39" t="s">
        <v>1516</v>
      </c>
      <c r="N864" s="25">
        <f t="shared" si="56"/>
        <v>24</v>
      </c>
      <c r="O864" s="25" t="str">
        <f t="shared" si="57"/>
        <v>miércoles</v>
      </c>
      <c r="P864" s="27">
        <f t="shared" si="58"/>
        <v>12</v>
      </c>
      <c r="Q864" s="22" t="str">
        <f t="shared" si="59"/>
        <v>diciembre</v>
      </c>
    </row>
    <row r="865" spans="1:19" x14ac:dyDescent="0.25">
      <c r="A865">
        <v>8</v>
      </c>
      <c r="B865" t="s">
        <v>1517</v>
      </c>
      <c r="C865" t="s">
        <v>6</v>
      </c>
      <c r="D865" t="s">
        <v>715</v>
      </c>
      <c r="E865">
        <v>449574966</v>
      </c>
      <c r="H865">
        <v>1600</v>
      </c>
      <c r="I865">
        <v>1600</v>
      </c>
      <c r="J865">
        <v>0</v>
      </c>
      <c r="K865">
        <v>0</v>
      </c>
      <c r="M865" s="39" t="s">
        <v>1516</v>
      </c>
      <c r="N865" s="25">
        <f t="shared" si="56"/>
        <v>24</v>
      </c>
      <c r="O865" s="25" t="str">
        <f t="shared" si="57"/>
        <v>miércoles</v>
      </c>
      <c r="P865" s="27">
        <f t="shared" si="58"/>
        <v>12</v>
      </c>
      <c r="Q865" s="22" t="str">
        <f t="shared" si="59"/>
        <v>diciembre</v>
      </c>
    </row>
    <row r="866" spans="1:19" x14ac:dyDescent="0.25">
      <c r="A866">
        <v>7</v>
      </c>
      <c r="B866" t="s">
        <v>1518</v>
      </c>
      <c r="C866" t="s">
        <v>6</v>
      </c>
      <c r="D866" t="s">
        <v>1519</v>
      </c>
      <c r="E866">
        <v>449569833</v>
      </c>
      <c r="F866" t="s">
        <v>1519</v>
      </c>
      <c r="G866">
        <v>449572965</v>
      </c>
      <c r="H866">
        <v>1800</v>
      </c>
      <c r="I866">
        <v>1800</v>
      </c>
      <c r="J866">
        <v>0</v>
      </c>
      <c r="K866">
        <v>0</v>
      </c>
      <c r="M866" s="39" t="s">
        <v>1516</v>
      </c>
      <c r="N866" s="25">
        <f t="shared" si="56"/>
        <v>24</v>
      </c>
      <c r="O866" s="25" t="str">
        <f t="shared" si="57"/>
        <v>miércoles</v>
      </c>
      <c r="P866" s="27">
        <f t="shared" si="58"/>
        <v>12</v>
      </c>
      <c r="Q866" s="22" t="str">
        <f t="shared" si="59"/>
        <v>diciembre</v>
      </c>
    </row>
    <row r="867" spans="1:19" x14ac:dyDescent="0.25">
      <c r="A867">
        <v>7</v>
      </c>
      <c r="B867" t="s">
        <v>1520</v>
      </c>
      <c r="C867" t="s">
        <v>6</v>
      </c>
      <c r="D867" t="s">
        <v>1521</v>
      </c>
      <c r="E867">
        <v>449564572</v>
      </c>
      <c r="F867" t="s">
        <v>1522</v>
      </c>
      <c r="G867">
        <v>449565697</v>
      </c>
      <c r="H867">
        <v>6020</v>
      </c>
      <c r="I867">
        <v>2000</v>
      </c>
      <c r="J867">
        <v>0</v>
      </c>
      <c r="K867">
        <v>4020</v>
      </c>
      <c r="M867" s="39" t="s">
        <v>1516</v>
      </c>
      <c r="N867" s="25">
        <f t="shared" si="56"/>
        <v>24</v>
      </c>
      <c r="O867" s="25" t="str">
        <f t="shared" si="57"/>
        <v>miércoles</v>
      </c>
      <c r="P867" s="27">
        <f t="shared" si="58"/>
        <v>12</v>
      </c>
      <c r="Q867" s="22" t="str">
        <f t="shared" si="59"/>
        <v>diciembre</v>
      </c>
    </row>
    <row r="868" spans="1:19" x14ac:dyDescent="0.25">
      <c r="A868">
        <v>6</v>
      </c>
      <c r="B868" t="s">
        <v>1523</v>
      </c>
      <c r="C868" t="s">
        <v>6</v>
      </c>
      <c r="D868" t="s">
        <v>1524</v>
      </c>
      <c r="E868">
        <v>449558147</v>
      </c>
      <c r="H868">
        <v>1860</v>
      </c>
      <c r="I868">
        <v>1200</v>
      </c>
      <c r="J868">
        <v>0</v>
      </c>
      <c r="K868">
        <v>660</v>
      </c>
      <c r="M868" s="39" t="s">
        <v>1516</v>
      </c>
      <c r="N868" s="25">
        <f t="shared" si="56"/>
        <v>24</v>
      </c>
      <c r="O868" s="25" t="str">
        <f t="shared" si="57"/>
        <v>miércoles</v>
      </c>
      <c r="P868" s="27">
        <f t="shared" si="58"/>
        <v>12</v>
      </c>
      <c r="Q868" s="22" t="str">
        <f t="shared" si="59"/>
        <v>diciembre</v>
      </c>
    </row>
    <row r="869" spans="1:19" x14ac:dyDescent="0.25">
      <c r="A869">
        <v>6</v>
      </c>
      <c r="B869" t="s">
        <v>1525</v>
      </c>
      <c r="C869" t="s">
        <v>19</v>
      </c>
      <c r="D869" t="s">
        <v>1526</v>
      </c>
      <c r="E869">
        <v>449556807</v>
      </c>
      <c r="H869">
        <v>1200</v>
      </c>
      <c r="I869">
        <v>1200</v>
      </c>
      <c r="J869">
        <v>0</v>
      </c>
      <c r="K869">
        <v>0</v>
      </c>
      <c r="M869" s="39" t="s">
        <v>1516</v>
      </c>
      <c r="N869" s="25">
        <f t="shared" si="56"/>
        <v>24</v>
      </c>
      <c r="O869" s="25" t="str">
        <f t="shared" si="57"/>
        <v>miércoles</v>
      </c>
      <c r="P869" s="27">
        <f t="shared" si="58"/>
        <v>12</v>
      </c>
      <c r="Q869" s="22" t="str">
        <f t="shared" si="59"/>
        <v>diciembre</v>
      </c>
    </row>
    <row r="870" spans="1:19" x14ac:dyDescent="0.25">
      <c r="A870">
        <v>6</v>
      </c>
      <c r="B870" t="s">
        <v>1527</v>
      </c>
      <c r="C870" t="s">
        <v>19</v>
      </c>
      <c r="D870" t="s">
        <v>1528</v>
      </c>
      <c r="E870">
        <v>449551388</v>
      </c>
      <c r="F870" t="s">
        <v>20</v>
      </c>
      <c r="G870">
        <v>449552822</v>
      </c>
      <c r="H870">
        <v>4590</v>
      </c>
      <c r="I870">
        <v>2350</v>
      </c>
      <c r="J870">
        <v>0</v>
      </c>
      <c r="K870">
        <v>2240</v>
      </c>
      <c r="M870" s="39" t="s">
        <v>1516</v>
      </c>
      <c r="N870" s="25">
        <f t="shared" si="56"/>
        <v>24</v>
      </c>
      <c r="O870" s="25" t="str">
        <f t="shared" si="57"/>
        <v>miércoles</v>
      </c>
      <c r="P870" s="27">
        <f t="shared" si="58"/>
        <v>12</v>
      </c>
      <c r="Q870" s="22" t="str">
        <f t="shared" si="59"/>
        <v>diciembre</v>
      </c>
    </row>
    <row r="871" spans="1:19" x14ac:dyDescent="0.25">
      <c r="A871">
        <v>5</v>
      </c>
      <c r="B871" t="s">
        <v>1529</v>
      </c>
      <c r="C871" t="s">
        <v>19</v>
      </c>
      <c r="D871" t="s">
        <v>1530</v>
      </c>
      <c r="E871">
        <v>449548246</v>
      </c>
      <c r="H871">
        <v>1200</v>
      </c>
      <c r="I871">
        <v>1200</v>
      </c>
      <c r="J871">
        <v>0</v>
      </c>
      <c r="K871">
        <v>0</v>
      </c>
      <c r="M871" s="39" t="s">
        <v>1516</v>
      </c>
      <c r="N871" s="25">
        <f t="shared" si="56"/>
        <v>24</v>
      </c>
      <c r="O871" s="25" t="str">
        <f t="shared" si="57"/>
        <v>miércoles</v>
      </c>
      <c r="P871" s="27">
        <f t="shared" si="58"/>
        <v>12</v>
      </c>
      <c r="Q871" s="22" t="str">
        <f t="shared" si="59"/>
        <v>diciembre</v>
      </c>
    </row>
    <row r="872" spans="1:19" x14ac:dyDescent="0.25">
      <c r="A872">
        <v>4</v>
      </c>
      <c r="B872" t="s">
        <v>1531</v>
      </c>
      <c r="C872" t="s">
        <v>6</v>
      </c>
      <c r="D872" t="s">
        <v>241</v>
      </c>
      <c r="E872">
        <v>449544076</v>
      </c>
      <c r="H872">
        <v>2590</v>
      </c>
      <c r="I872">
        <v>2250</v>
      </c>
      <c r="J872">
        <v>0</v>
      </c>
      <c r="K872">
        <v>340</v>
      </c>
      <c r="M872" s="39" t="s">
        <v>1516</v>
      </c>
      <c r="N872" s="25">
        <f t="shared" si="56"/>
        <v>24</v>
      </c>
      <c r="O872" s="25" t="str">
        <f t="shared" si="57"/>
        <v>miércoles</v>
      </c>
      <c r="P872" s="27">
        <f t="shared" si="58"/>
        <v>12</v>
      </c>
      <c r="Q872" s="22" t="str">
        <f t="shared" si="59"/>
        <v>diciembre</v>
      </c>
      <c r="R872" t="s">
        <v>241</v>
      </c>
      <c r="S872">
        <v>6160</v>
      </c>
    </row>
    <row r="873" spans="1:19" x14ac:dyDescent="0.25">
      <c r="A873">
        <v>3</v>
      </c>
      <c r="B873" t="s">
        <v>1532</v>
      </c>
      <c r="C873" t="s">
        <v>6</v>
      </c>
      <c r="D873" t="s">
        <v>183</v>
      </c>
      <c r="E873">
        <v>449543854</v>
      </c>
      <c r="H873">
        <v>5040</v>
      </c>
      <c r="I873">
        <v>1200</v>
      </c>
      <c r="J873">
        <v>0</v>
      </c>
      <c r="K873">
        <v>3840</v>
      </c>
      <c r="M873" s="39" t="s">
        <v>1516</v>
      </c>
      <c r="N873" s="25">
        <f t="shared" si="56"/>
        <v>24</v>
      </c>
      <c r="O873" s="25" t="str">
        <f t="shared" si="57"/>
        <v>miércoles</v>
      </c>
      <c r="P873" s="27">
        <f t="shared" si="58"/>
        <v>12</v>
      </c>
      <c r="Q873" s="22" t="str">
        <f t="shared" si="59"/>
        <v>diciembre</v>
      </c>
      <c r="R873" t="s">
        <v>183</v>
      </c>
      <c r="S873">
        <v>52388</v>
      </c>
    </row>
    <row r="874" spans="1:19" x14ac:dyDescent="0.25">
      <c r="A874">
        <v>3</v>
      </c>
      <c r="B874" t="s">
        <v>1533</v>
      </c>
      <c r="C874" t="s">
        <v>6</v>
      </c>
      <c r="D874" t="s">
        <v>281</v>
      </c>
      <c r="E874">
        <v>449543784</v>
      </c>
      <c r="H874">
        <v>1980</v>
      </c>
      <c r="I874">
        <v>1200</v>
      </c>
      <c r="J874">
        <v>0</v>
      </c>
      <c r="K874">
        <v>780</v>
      </c>
      <c r="M874" s="39" t="s">
        <v>1516</v>
      </c>
      <c r="N874" s="25">
        <f t="shared" si="56"/>
        <v>24</v>
      </c>
      <c r="O874" s="25" t="str">
        <f t="shared" si="57"/>
        <v>miércoles</v>
      </c>
      <c r="P874" s="27">
        <f t="shared" si="58"/>
        <v>12</v>
      </c>
      <c r="Q874" s="22" t="str">
        <f t="shared" si="59"/>
        <v>diciembre</v>
      </c>
    </row>
    <row r="875" spans="1:19" x14ac:dyDescent="0.25">
      <c r="A875">
        <v>3</v>
      </c>
      <c r="B875" t="s">
        <v>1534</v>
      </c>
      <c r="C875" t="s">
        <v>6</v>
      </c>
      <c r="D875" t="s">
        <v>308</v>
      </c>
      <c r="E875">
        <v>449543516</v>
      </c>
      <c r="H875">
        <v>2420</v>
      </c>
      <c r="I875">
        <v>1400</v>
      </c>
      <c r="J875">
        <v>0</v>
      </c>
      <c r="K875">
        <v>1020</v>
      </c>
      <c r="M875" s="39" t="s">
        <v>1516</v>
      </c>
      <c r="N875" s="25">
        <f t="shared" si="56"/>
        <v>24</v>
      </c>
      <c r="O875" s="25" t="str">
        <f t="shared" si="57"/>
        <v>miércoles</v>
      </c>
      <c r="P875" s="27">
        <f t="shared" si="58"/>
        <v>12</v>
      </c>
      <c r="Q875" s="22" t="str">
        <f t="shared" si="59"/>
        <v>diciembre</v>
      </c>
    </row>
    <row r="876" spans="1:19" x14ac:dyDescent="0.25">
      <c r="A876">
        <v>2</v>
      </c>
      <c r="B876" t="s">
        <v>1535</v>
      </c>
      <c r="C876" t="s">
        <v>19</v>
      </c>
      <c r="D876" t="s">
        <v>1536</v>
      </c>
      <c r="E876">
        <v>449543229</v>
      </c>
      <c r="H876">
        <v>1550</v>
      </c>
      <c r="I876">
        <v>1550</v>
      </c>
      <c r="J876">
        <v>0</v>
      </c>
      <c r="K876">
        <v>0</v>
      </c>
      <c r="M876" s="39" t="s">
        <v>1516</v>
      </c>
      <c r="N876" s="25">
        <f t="shared" si="56"/>
        <v>24</v>
      </c>
      <c r="O876" s="25" t="str">
        <f t="shared" si="57"/>
        <v>miércoles</v>
      </c>
      <c r="P876" s="27">
        <f t="shared" si="58"/>
        <v>12</v>
      </c>
      <c r="Q876" s="22" t="str">
        <f t="shared" si="59"/>
        <v>diciembre</v>
      </c>
      <c r="R876" t="s">
        <v>1536</v>
      </c>
      <c r="S876">
        <v>8627</v>
      </c>
    </row>
    <row r="877" spans="1:19" x14ac:dyDescent="0.25">
      <c r="A877">
        <v>2</v>
      </c>
      <c r="B877" t="s">
        <v>1537</v>
      </c>
      <c r="C877" t="s">
        <v>6</v>
      </c>
      <c r="D877" t="s">
        <v>308</v>
      </c>
      <c r="E877">
        <v>449542940</v>
      </c>
      <c r="H877">
        <v>4580</v>
      </c>
      <c r="I877">
        <v>1400</v>
      </c>
      <c r="J877">
        <v>0</v>
      </c>
      <c r="K877">
        <v>3180</v>
      </c>
      <c r="M877" s="39" t="s">
        <v>1516</v>
      </c>
      <c r="N877" s="25">
        <f t="shared" si="56"/>
        <v>24</v>
      </c>
      <c r="O877" s="25" t="str">
        <f t="shared" si="57"/>
        <v>miércoles</v>
      </c>
      <c r="P877" s="27">
        <f t="shared" si="58"/>
        <v>12</v>
      </c>
      <c r="Q877" s="22" t="str">
        <f t="shared" si="59"/>
        <v>diciembre</v>
      </c>
    </row>
    <row r="878" spans="1:19" x14ac:dyDescent="0.25">
      <c r="A878">
        <v>2</v>
      </c>
      <c r="B878" t="s">
        <v>1538</v>
      </c>
      <c r="C878" t="s">
        <v>6</v>
      </c>
      <c r="D878" t="s">
        <v>281</v>
      </c>
      <c r="E878">
        <v>449542867</v>
      </c>
      <c r="H878">
        <v>1250</v>
      </c>
      <c r="I878">
        <v>1250</v>
      </c>
      <c r="J878">
        <v>0</v>
      </c>
      <c r="K878">
        <v>0</v>
      </c>
      <c r="M878" s="39" t="s">
        <v>1516</v>
      </c>
      <c r="N878" s="25">
        <f t="shared" si="56"/>
        <v>24</v>
      </c>
      <c r="O878" s="25" t="str">
        <f t="shared" si="57"/>
        <v>miércoles</v>
      </c>
      <c r="P878" s="27">
        <f t="shared" si="58"/>
        <v>12</v>
      </c>
      <c r="Q878" s="22" t="str">
        <f t="shared" si="59"/>
        <v>diciembre</v>
      </c>
    </row>
    <row r="879" spans="1:19" x14ac:dyDescent="0.25">
      <c r="A879">
        <v>2</v>
      </c>
      <c r="B879" t="s">
        <v>1539</v>
      </c>
      <c r="C879" t="s">
        <v>6</v>
      </c>
      <c r="D879" t="s">
        <v>241</v>
      </c>
      <c r="E879">
        <v>449542251</v>
      </c>
      <c r="H879">
        <v>2200</v>
      </c>
      <c r="I879">
        <v>1200</v>
      </c>
      <c r="J879">
        <v>0</v>
      </c>
      <c r="K879">
        <v>1000</v>
      </c>
      <c r="M879" s="39" t="s">
        <v>1516</v>
      </c>
      <c r="N879" s="25">
        <f t="shared" si="56"/>
        <v>24</v>
      </c>
      <c r="O879" s="25" t="str">
        <f t="shared" si="57"/>
        <v>miércoles</v>
      </c>
      <c r="P879" s="27">
        <f t="shared" si="58"/>
        <v>12</v>
      </c>
      <c r="Q879" s="22" t="str">
        <f t="shared" si="59"/>
        <v>diciembre</v>
      </c>
    </row>
    <row r="880" spans="1:19" x14ac:dyDescent="0.25">
      <c r="A880">
        <v>1</v>
      </c>
      <c r="B880" t="s">
        <v>1540</v>
      </c>
      <c r="C880" t="s">
        <v>6</v>
      </c>
      <c r="D880" t="s">
        <v>630</v>
      </c>
      <c r="E880">
        <v>449541749</v>
      </c>
      <c r="H880">
        <v>2230</v>
      </c>
      <c r="I880">
        <v>1350</v>
      </c>
      <c r="J880">
        <v>0</v>
      </c>
      <c r="K880">
        <v>880</v>
      </c>
      <c r="M880" s="39" t="s">
        <v>1516</v>
      </c>
      <c r="N880" s="25">
        <f t="shared" si="56"/>
        <v>24</v>
      </c>
      <c r="O880" s="25" t="str">
        <f t="shared" si="57"/>
        <v>miércoles</v>
      </c>
      <c r="P880" s="27">
        <f t="shared" si="58"/>
        <v>12</v>
      </c>
      <c r="Q880" s="22" t="str">
        <f t="shared" si="59"/>
        <v>diciembre</v>
      </c>
    </row>
    <row r="881" spans="1:19" ht="14.25" customHeight="1" x14ac:dyDescent="0.25">
      <c r="A881">
        <v>12</v>
      </c>
      <c r="B881" t="s">
        <v>1541</v>
      </c>
      <c r="C881" t="s">
        <v>19</v>
      </c>
      <c r="D881" t="s">
        <v>1231</v>
      </c>
      <c r="E881">
        <v>449682246</v>
      </c>
      <c r="H881">
        <v>2800</v>
      </c>
      <c r="I881">
        <v>2800</v>
      </c>
      <c r="J881">
        <v>0</v>
      </c>
      <c r="K881">
        <v>0</v>
      </c>
      <c r="M881" s="39" t="s">
        <v>1542</v>
      </c>
      <c r="N881" s="25">
        <f t="shared" ref="N881:N894" si="60">DAY(M881)</f>
        <v>25</v>
      </c>
      <c r="O881" s="25" t="str">
        <f t="shared" ref="O881:O894" si="61">TEXT(M881,"DDDD")</f>
        <v>jueves</v>
      </c>
      <c r="P881" s="27">
        <f t="shared" ref="P881:P894" si="62">MONTH(M881)</f>
        <v>12</v>
      </c>
      <c r="Q881" s="22" t="str">
        <f t="shared" ref="Q881:Q894" si="63">TEXT(M881,"MMMM")</f>
        <v>diciembre</v>
      </c>
      <c r="R881" t="s">
        <v>1231</v>
      </c>
      <c r="S881">
        <v>21549</v>
      </c>
    </row>
    <row r="882" spans="1:19" x14ac:dyDescent="0.25">
      <c r="A882">
        <v>12</v>
      </c>
      <c r="B882" t="s">
        <v>1543</v>
      </c>
      <c r="C882" t="s">
        <v>19</v>
      </c>
      <c r="D882" t="s">
        <v>1234</v>
      </c>
      <c r="E882">
        <v>449674143</v>
      </c>
      <c r="F882" t="s">
        <v>1234</v>
      </c>
      <c r="G882">
        <v>449676492</v>
      </c>
      <c r="H882">
        <v>5200</v>
      </c>
      <c r="I882">
        <v>1800</v>
      </c>
      <c r="J882">
        <v>2000</v>
      </c>
      <c r="K882">
        <v>1400</v>
      </c>
      <c r="M882" s="39" t="s">
        <v>1542</v>
      </c>
      <c r="N882" s="25">
        <f t="shared" si="60"/>
        <v>25</v>
      </c>
      <c r="O882" s="25" t="str">
        <f t="shared" si="61"/>
        <v>jueves</v>
      </c>
      <c r="P882" s="27">
        <f t="shared" si="62"/>
        <v>12</v>
      </c>
      <c r="Q882" s="22" t="str">
        <f t="shared" si="63"/>
        <v>diciembre</v>
      </c>
    </row>
    <row r="883" spans="1:19" x14ac:dyDescent="0.25">
      <c r="A883">
        <v>12</v>
      </c>
      <c r="B883" t="s">
        <v>1544</v>
      </c>
      <c r="C883" t="s">
        <v>6</v>
      </c>
      <c r="D883" t="s">
        <v>1545</v>
      </c>
      <c r="E883">
        <v>449668289</v>
      </c>
      <c r="F883" t="s">
        <v>1546</v>
      </c>
      <c r="G883">
        <v>449669184</v>
      </c>
      <c r="H883">
        <v>9540</v>
      </c>
      <c r="I883">
        <v>2100</v>
      </c>
      <c r="J883">
        <v>4000</v>
      </c>
      <c r="K883">
        <v>3440</v>
      </c>
      <c r="M883" s="39" t="s">
        <v>1542</v>
      </c>
      <c r="N883" s="25">
        <f t="shared" si="60"/>
        <v>25</v>
      </c>
      <c r="O883" s="25" t="str">
        <f t="shared" si="61"/>
        <v>jueves</v>
      </c>
      <c r="P883" s="27">
        <f t="shared" si="62"/>
        <v>12</v>
      </c>
      <c r="Q883" s="22" t="str">
        <f t="shared" si="63"/>
        <v>diciembre</v>
      </c>
    </row>
    <row r="884" spans="1:19" x14ac:dyDescent="0.25">
      <c r="A884">
        <v>11</v>
      </c>
      <c r="B884" t="s">
        <v>1547</v>
      </c>
      <c r="C884" t="s">
        <v>6</v>
      </c>
      <c r="D884" t="s">
        <v>448</v>
      </c>
      <c r="E884">
        <v>449652656</v>
      </c>
      <c r="H884">
        <v>6140</v>
      </c>
      <c r="I884">
        <v>1800</v>
      </c>
      <c r="J884">
        <v>2000</v>
      </c>
      <c r="K884">
        <v>2340</v>
      </c>
      <c r="M884" s="39" t="s">
        <v>1542</v>
      </c>
      <c r="N884" s="25">
        <f t="shared" si="60"/>
        <v>25</v>
      </c>
      <c r="O884" s="25" t="str">
        <f t="shared" si="61"/>
        <v>jueves</v>
      </c>
      <c r="P884" s="27">
        <f t="shared" si="62"/>
        <v>12</v>
      </c>
      <c r="Q884" s="22" t="str">
        <f t="shared" si="63"/>
        <v>diciembre</v>
      </c>
    </row>
    <row r="885" spans="1:19" x14ac:dyDescent="0.25">
      <c r="A885">
        <v>11</v>
      </c>
      <c r="B885" t="s">
        <v>1548</v>
      </c>
      <c r="C885" t="s">
        <v>19</v>
      </c>
      <c r="D885" t="s">
        <v>374</v>
      </c>
      <c r="E885">
        <v>449653283</v>
      </c>
      <c r="H885">
        <v>4760</v>
      </c>
      <c r="I885">
        <v>2100</v>
      </c>
      <c r="J885">
        <v>2000</v>
      </c>
      <c r="K885">
        <v>660</v>
      </c>
      <c r="M885" s="39" t="s">
        <v>1542</v>
      </c>
      <c r="N885" s="25">
        <f t="shared" si="60"/>
        <v>25</v>
      </c>
      <c r="O885" s="25" t="str">
        <f t="shared" si="61"/>
        <v>jueves</v>
      </c>
      <c r="P885" s="27">
        <f t="shared" si="62"/>
        <v>12</v>
      </c>
      <c r="Q885" s="22" t="str">
        <f t="shared" si="63"/>
        <v>diciembre</v>
      </c>
      <c r="R885" t="s">
        <v>374</v>
      </c>
      <c r="S885">
        <v>15140</v>
      </c>
    </row>
    <row r="886" spans="1:19" x14ac:dyDescent="0.25">
      <c r="A886">
        <v>10</v>
      </c>
      <c r="B886" t="s">
        <v>1549</v>
      </c>
      <c r="C886" t="s">
        <v>6</v>
      </c>
      <c r="D886" t="s">
        <v>1432</v>
      </c>
      <c r="E886">
        <v>449641163</v>
      </c>
      <c r="H886">
        <v>2520</v>
      </c>
      <c r="I886">
        <v>1200</v>
      </c>
      <c r="J886">
        <v>0</v>
      </c>
      <c r="K886">
        <v>1320</v>
      </c>
      <c r="M886" s="39" t="s">
        <v>1542</v>
      </c>
      <c r="N886" s="25">
        <f t="shared" si="60"/>
        <v>25</v>
      </c>
      <c r="O886" s="25" t="str">
        <f t="shared" si="61"/>
        <v>jueves</v>
      </c>
      <c r="P886" s="27">
        <f t="shared" si="62"/>
        <v>12</v>
      </c>
      <c r="Q886" s="22" t="str">
        <f t="shared" si="63"/>
        <v>diciembre</v>
      </c>
    </row>
    <row r="887" spans="1:19" x14ac:dyDescent="0.25">
      <c r="A887">
        <v>10</v>
      </c>
      <c r="B887" t="s">
        <v>1550</v>
      </c>
      <c r="C887" t="s">
        <v>6</v>
      </c>
      <c r="D887" t="s">
        <v>255</v>
      </c>
      <c r="E887">
        <v>449638752</v>
      </c>
      <c r="H887">
        <v>3660</v>
      </c>
      <c r="I887">
        <v>1200</v>
      </c>
      <c r="J887">
        <v>0</v>
      </c>
      <c r="K887">
        <v>2460</v>
      </c>
      <c r="M887" s="39" t="s">
        <v>1542</v>
      </c>
      <c r="N887" s="25">
        <f t="shared" si="60"/>
        <v>25</v>
      </c>
      <c r="O887" s="25" t="str">
        <f t="shared" si="61"/>
        <v>jueves</v>
      </c>
      <c r="P887" s="27">
        <f t="shared" si="62"/>
        <v>12</v>
      </c>
      <c r="Q887" s="22" t="str">
        <f t="shared" si="63"/>
        <v>diciembre</v>
      </c>
    </row>
    <row r="888" spans="1:19" x14ac:dyDescent="0.25">
      <c r="A888">
        <v>9</v>
      </c>
      <c r="B888" t="s">
        <v>1551</v>
      </c>
      <c r="C888" t="s">
        <v>6</v>
      </c>
      <c r="D888" t="s">
        <v>281</v>
      </c>
      <c r="E888">
        <v>449632005</v>
      </c>
      <c r="F888" t="s">
        <v>1552</v>
      </c>
      <c r="G888">
        <v>449632438</v>
      </c>
      <c r="H888">
        <v>3300</v>
      </c>
      <c r="I888">
        <v>1800</v>
      </c>
      <c r="J888">
        <v>0</v>
      </c>
      <c r="K888">
        <v>1500</v>
      </c>
      <c r="M888" s="39" t="s">
        <v>1542</v>
      </c>
      <c r="N888" s="25">
        <f t="shared" si="60"/>
        <v>25</v>
      </c>
      <c r="O888" s="25" t="str">
        <f t="shared" si="61"/>
        <v>jueves</v>
      </c>
      <c r="P888" s="27">
        <f t="shared" si="62"/>
        <v>12</v>
      </c>
      <c r="Q888" s="22" t="str">
        <f t="shared" si="63"/>
        <v>diciembre</v>
      </c>
    </row>
    <row r="889" spans="1:19" x14ac:dyDescent="0.25">
      <c r="A889">
        <v>9</v>
      </c>
      <c r="B889" t="s">
        <v>1553</v>
      </c>
      <c r="C889" t="s">
        <v>6</v>
      </c>
      <c r="D889" t="s">
        <v>866</v>
      </c>
      <c r="E889">
        <v>449629354</v>
      </c>
      <c r="H889">
        <v>1700</v>
      </c>
      <c r="I889">
        <v>1700</v>
      </c>
      <c r="J889">
        <v>0</v>
      </c>
      <c r="K889">
        <v>0</v>
      </c>
      <c r="M889" s="39" t="s">
        <v>1542</v>
      </c>
      <c r="N889" s="25">
        <f t="shared" si="60"/>
        <v>25</v>
      </c>
      <c r="O889" s="25" t="str">
        <f t="shared" si="61"/>
        <v>jueves</v>
      </c>
      <c r="P889" s="27">
        <f t="shared" si="62"/>
        <v>12</v>
      </c>
      <c r="Q889" s="22" t="str">
        <f t="shared" si="63"/>
        <v>diciembre</v>
      </c>
      <c r="R889" t="s">
        <v>866</v>
      </c>
      <c r="S889">
        <v>44068</v>
      </c>
    </row>
    <row r="890" spans="1:19" x14ac:dyDescent="0.25">
      <c r="A890">
        <v>9</v>
      </c>
      <c r="B890" t="s">
        <v>1554</v>
      </c>
      <c r="C890" t="s">
        <v>6</v>
      </c>
      <c r="D890" t="s">
        <v>1555</v>
      </c>
      <c r="E890">
        <v>449624648</v>
      </c>
      <c r="F890" t="s">
        <v>534</v>
      </c>
      <c r="G890">
        <v>449625478</v>
      </c>
      <c r="H890">
        <v>3130</v>
      </c>
      <c r="I890">
        <v>2250</v>
      </c>
      <c r="J890">
        <v>0</v>
      </c>
      <c r="K890">
        <v>880</v>
      </c>
      <c r="M890" s="39" t="s">
        <v>1542</v>
      </c>
      <c r="N890" s="25">
        <f t="shared" si="60"/>
        <v>25</v>
      </c>
      <c r="O890" s="25" t="str">
        <f t="shared" si="61"/>
        <v>jueves</v>
      </c>
      <c r="P890" s="27">
        <f t="shared" si="62"/>
        <v>12</v>
      </c>
      <c r="Q890" s="22" t="str">
        <f t="shared" si="63"/>
        <v>diciembre</v>
      </c>
    </row>
    <row r="891" spans="1:19" x14ac:dyDescent="0.25">
      <c r="A891">
        <v>8</v>
      </c>
      <c r="B891" t="s">
        <v>1556</v>
      </c>
      <c r="C891" t="s">
        <v>6</v>
      </c>
      <c r="D891" t="s">
        <v>543</v>
      </c>
      <c r="E891">
        <v>449619418</v>
      </c>
      <c r="F891" t="s">
        <v>543</v>
      </c>
      <c r="G891">
        <v>449619480</v>
      </c>
      <c r="H891">
        <v>2780</v>
      </c>
      <c r="I891">
        <v>1800</v>
      </c>
      <c r="J891">
        <v>0</v>
      </c>
      <c r="K891">
        <v>980</v>
      </c>
      <c r="M891" s="39" t="s">
        <v>1542</v>
      </c>
      <c r="N891" s="25">
        <f t="shared" si="60"/>
        <v>25</v>
      </c>
      <c r="O891" s="25" t="str">
        <f t="shared" si="61"/>
        <v>jueves</v>
      </c>
      <c r="P891" s="27">
        <f t="shared" si="62"/>
        <v>12</v>
      </c>
      <c r="Q891" s="22" t="str">
        <f t="shared" si="63"/>
        <v>diciembre</v>
      </c>
    </row>
    <row r="892" spans="1:19" x14ac:dyDescent="0.25">
      <c r="A892">
        <v>8</v>
      </c>
      <c r="B892" t="s">
        <v>1557</v>
      </c>
      <c r="C892" t="s">
        <v>6</v>
      </c>
      <c r="D892" t="s">
        <v>1558</v>
      </c>
      <c r="E892">
        <v>449620372</v>
      </c>
      <c r="H892">
        <v>2000</v>
      </c>
      <c r="I892">
        <v>1400</v>
      </c>
      <c r="J892">
        <v>0</v>
      </c>
      <c r="K892">
        <v>600</v>
      </c>
      <c r="M892" s="39" t="s">
        <v>1542</v>
      </c>
      <c r="N892" s="25">
        <f t="shared" si="60"/>
        <v>25</v>
      </c>
      <c r="O892" s="25" t="str">
        <f t="shared" si="61"/>
        <v>jueves</v>
      </c>
      <c r="P892" s="27">
        <f t="shared" si="62"/>
        <v>12</v>
      </c>
      <c r="Q892" s="22" t="str">
        <f t="shared" si="63"/>
        <v>diciembre</v>
      </c>
    </row>
    <row r="893" spans="1:19" x14ac:dyDescent="0.25">
      <c r="A893">
        <v>8</v>
      </c>
      <c r="B893" t="s">
        <v>1559</v>
      </c>
      <c r="C893" t="s">
        <v>19</v>
      </c>
      <c r="D893" t="s">
        <v>1560</v>
      </c>
      <c r="E893">
        <v>449620776</v>
      </c>
      <c r="H893">
        <v>4780</v>
      </c>
      <c r="I893">
        <v>1200</v>
      </c>
      <c r="J893">
        <v>0</v>
      </c>
      <c r="K893">
        <v>3580</v>
      </c>
      <c r="M893" s="39" t="s">
        <v>1542</v>
      </c>
      <c r="N893" s="25">
        <f t="shared" si="60"/>
        <v>25</v>
      </c>
      <c r="O893" s="25" t="str">
        <f t="shared" si="61"/>
        <v>jueves</v>
      </c>
      <c r="P893" s="27">
        <f t="shared" si="62"/>
        <v>12</v>
      </c>
      <c r="Q893" s="22" t="str">
        <f t="shared" si="63"/>
        <v>diciembre</v>
      </c>
    </row>
    <row r="894" spans="1:19" x14ac:dyDescent="0.25">
      <c r="A894">
        <v>8</v>
      </c>
      <c r="B894" t="s">
        <v>1561</v>
      </c>
      <c r="C894" t="s">
        <v>6</v>
      </c>
      <c r="D894" t="s">
        <v>631</v>
      </c>
      <c r="E894">
        <v>449624155</v>
      </c>
      <c r="H894">
        <v>2460</v>
      </c>
      <c r="I894">
        <v>1200</v>
      </c>
      <c r="J894">
        <v>0</v>
      </c>
      <c r="K894">
        <v>1260</v>
      </c>
      <c r="M894" s="39" t="s">
        <v>1542</v>
      </c>
      <c r="N894" s="25">
        <f t="shared" si="60"/>
        <v>25</v>
      </c>
      <c r="O894" s="25" t="str">
        <f t="shared" si="61"/>
        <v>jueves</v>
      </c>
      <c r="P894" s="27">
        <f t="shared" si="62"/>
        <v>12</v>
      </c>
      <c r="Q894" s="22" t="str">
        <f t="shared" si="63"/>
        <v>diciembre</v>
      </c>
    </row>
    <row r="895" spans="1:19" x14ac:dyDescent="0.25">
      <c r="A895">
        <v>12</v>
      </c>
      <c r="B895" t="s">
        <v>1562</v>
      </c>
      <c r="C895" t="s">
        <v>155</v>
      </c>
      <c r="D895" t="s">
        <v>1563</v>
      </c>
      <c r="E895">
        <v>449892491</v>
      </c>
      <c r="H895">
        <v>3330</v>
      </c>
      <c r="I895">
        <v>2950</v>
      </c>
      <c r="J895">
        <v>100</v>
      </c>
      <c r="K895">
        <v>280</v>
      </c>
      <c r="M895" s="39" t="s">
        <v>1564</v>
      </c>
      <c r="N895" s="25">
        <f t="shared" ref="N895:N932" si="64">DAY(M895)</f>
        <v>27</v>
      </c>
      <c r="O895" s="25" t="str">
        <f t="shared" ref="O895:O932" si="65">TEXT(M895,"DDDD")</f>
        <v>sábado</v>
      </c>
      <c r="P895" s="27">
        <f t="shared" ref="P895:P932" si="66">MONTH(M895)</f>
        <v>12</v>
      </c>
      <c r="Q895" s="22" t="str">
        <f t="shared" ref="Q895:Q932" si="67">TEXT(M895,"MMMM")</f>
        <v>diciembre</v>
      </c>
    </row>
    <row r="896" spans="1:19" x14ac:dyDescent="0.25">
      <c r="A896">
        <v>12</v>
      </c>
      <c r="B896" t="s">
        <v>1565</v>
      </c>
      <c r="C896" t="s">
        <v>6</v>
      </c>
      <c r="D896" t="s">
        <v>281</v>
      </c>
      <c r="E896">
        <v>449886526</v>
      </c>
      <c r="F896" t="s">
        <v>170</v>
      </c>
      <c r="G896">
        <v>449885274</v>
      </c>
      <c r="H896">
        <v>3660</v>
      </c>
      <c r="I896">
        <v>1900</v>
      </c>
      <c r="J896">
        <v>200</v>
      </c>
      <c r="K896">
        <v>1560</v>
      </c>
      <c r="M896" s="39" t="s">
        <v>1564</v>
      </c>
      <c r="N896" s="25">
        <f t="shared" si="64"/>
        <v>27</v>
      </c>
      <c r="O896" s="25" t="str">
        <f t="shared" si="65"/>
        <v>sábado</v>
      </c>
      <c r="P896" s="27">
        <f t="shared" si="66"/>
        <v>12</v>
      </c>
      <c r="Q896" s="22" t="str">
        <f t="shared" si="67"/>
        <v>diciembre</v>
      </c>
    </row>
    <row r="897" spans="1:19" x14ac:dyDescent="0.25">
      <c r="A897">
        <v>12</v>
      </c>
      <c r="B897" t="s">
        <v>1566</v>
      </c>
      <c r="C897" t="s">
        <v>6</v>
      </c>
      <c r="D897" t="s">
        <v>1567</v>
      </c>
      <c r="E897">
        <v>449878185</v>
      </c>
      <c r="H897">
        <v>4760</v>
      </c>
      <c r="I897">
        <v>1200</v>
      </c>
      <c r="J897">
        <v>100</v>
      </c>
      <c r="K897">
        <v>3460</v>
      </c>
      <c r="M897" s="39" t="s">
        <v>1564</v>
      </c>
      <c r="N897" s="25">
        <f t="shared" si="64"/>
        <v>27</v>
      </c>
      <c r="O897" s="25" t="str">
        <f t="shared" si="65"/>
        <v>sábado</v>
      </c>
      <c r="P897" s="27">
        <f t="shared" si="66"/>
        <v>12</v>
      </c>
      <c r="Q897" s="22" t="str">
        <f t="shared" si="67"/>
        <v>diciembre</v>
      </c>
    </row>
    <row r="898" spans="1:19" x14ac:dyDescent="0.25">
      <c r="A898">
        <v>12</v>
      </c>
      <c r="B898" t="s">
        <v>1568</v>
      </c>
      <c r="C898" t="s">
        <v>6</v>
      </c>
      <c r="D898" t="s">
        <v>1569</v>
      </c>
      <c r="E898">
        <v>449874484</v>
      </c>
      <c r="F898" t="s">
        <v>545</v>
      </c>
      <c r="G898">
        <v>449873251</v>
      </c>
      <c r="H898">
        <v>3300</v>
      </c>
      <c r="I898">
        <v>1800</v>
      </c>
      <c r="J898">
        <v>200</v>
      </c>
      <c r="K898">
        <v>1300</v>
      </c>
      <c r="M898" s="39" t="s">
        <v>1564</v>
      </c>
      <c r="N898" s="25">
        <f t="shared" si="64"/>
        <v>27</v>
      </c>
      <c r="O898" s="25" t="str">
        <f t="shared" si="65"/>
        <v>sábado</v>
      </c>
      <c r="P898" s="27">
        <f t="shared" si="66"/>
        <v>12</v>
      </c>
      <c r="Q898" s="22" t="str">
        <f t="shared" si="67"/>
        <v>diciembre</v>
      </c>
      <c r="R898" t="s">
        <v>1569</v>
      </c>
      <c r="S898">
        <v>16390</v>
      </c>
    </row>
    <row r="899" spans="1:19" x14ac:dyDescent="0.25">
      <c r="A899">
        <v>11</v>
      </c>
      <c r="B899" t="s">
        <v>1570</v>
      </c>
      <c r="C899" t="s">
        <v>6</v>
      </c>
      <c r="D899" t="s">
        <v>1571</v>
      </c>
      <c r="E899">
        <v>449864383</v>
      </c>
      <c r="F899" t="s">
        <v>1572</v>
      </c>
      <c r="G899">
        <v>449862608</v>
      </c>
      <c r="H899">
        <v>2500</v>
      </c>
      <c r="I899">
        <v>1950</v>
      </c>
      <c r="J899">
        <v>200</v>
      </c>
      <c r="K899">
        <v>350</v>
      </c>
      <c r="M899" s="39" t="s">
        <v>1564</v>
      </c>
      <c r="N899" s="25">
        <f t="shared" si="64"/>
        <v>27</v>
      </c>
      <c r="O899" s="25" t="str">
        <f t="shared" si="65"/>
        <v>sábado</v>
      </c>
      <c r="P899" s="27">
        <f t="shared" si="66"/>
        <v>12</v>
      </c>
      <c r="Q899" s="22" t="str">
        <f t="shared" si="67"/>
        <v>diciembre</v>
      </c>
    </row>
    <row r="900" spans="1:19" x14ac:dyDescent="0.25">
      <c r="A900">
        <v>11</v>
      </c>
      <c r="B900" t="s">
        <v>1573</v>
      </c>
      <c r="C900" t="s">
        <v>19</v>
      </c>
      <c r="D900" t="s">
        <v>1574</v>
      </c>
      <c r="E900">
        <v>449857924</v>
      </c>
      <c r="F900" t="s">
        <v>1574</v>
      </c>
      <c r="G900">
        <v>449858384</v>
      </c>
      <c r="H900">
        <v>2550</v>
      </c>
      <c r="I900">
        <v>2350</v>
      </c>
      <c r="J900">
        <v>200</v>
      </c>
      <c r="K900">
        <v>0</v>
      </c>
      <c r="M900" s="39" t="s">
        <v>1564</v>
      </c>
      <c r="N900" s="25">
        <f t="shared" si="64"/>
        <v>27</v>
      </c>
      <c r="O900" s="25" t="str">
        <f t="shared" si="65"/>
        <v>sábado</v>
      </c>
      <c r="P900" s="27">
        <f t="shared" si="66"/>
        <v>12</v>
      </c>
      <c r="Q900" s="22" t="str">
        <f t="shared" si="67"/>
        <v>diciembre</v>
      </c>
    </row>
    <row r="901" spans="1:19" x14ac:dyDescent="0.25">
      <c r="A901">
        <v>10</v>
      </c>
      <c r="B901" t="s">
        <v>1575</v>
      </c>
      <c r="C901" t="s">
        <v>19</v>
      </c>
      <c r="D901" t="s">
        <v>1576</v>
      </c>
      <c r="E901">
        <v>449847492</v>
      </c>
      <c r="F901" t="s">
        <v>1577</v>
      </c>
      <c r="G901">
        <v>449848399</v>
      </c>
      <c r="H901">
        <v>5470</v>
      </c>
      <c r="I901">
        <v>3550</v>
      </c>
      <c r="J901">
        <v>0</v>
      </c>
      <c r="K901">
        <v>1920</v>
      </c>
      <c r="M901" s="39" t="s">
        <v>1564</v>
      </c>
      <c r="N901" s="25">
        <f t="shared" si="64"/>
        <v>27</v>
      </c>
      <c r="O901" s="25" t="str">
        <f t="shared" si="65"/>
        <v>sábado</v>
      </c>
      <c r="P901" s="27">
        <f t="shared" si="66"/>
        <v>12</v>
      </c>
      <c r="Q901" s="22" t="str">
        <f t="shared" si="67"/>
        <v>diciembre</v>
      </c>
    </row>
    <row r="902" spans="1:19" x14ac:dyDescent="0.25">
      <c r="A902">
        <v>10</v>
      </c>
      <c r="B902" t="s">
        <v>1578</v>
      </c>
      <c r="C902" t="s">
        <v>155</v>
      </c>
      <c r="D902" t="s">
        <v>675</v>
      </c>
      <c r="E902">
        <v>449844311</v>
      </c>
      <c r="H902">
        <v>3780</v>
      </c>
      <c r="I902">
        <v>3500</v>
      </c>
      <c r="J902">
        <v>0</v>
      </c>
      <c r="K902">
        <v>280</v>
      </c>
      <c r="M902" s="39" t="s">
        <v>1564</v>
      </c>
      <c r="N902" s="25">
        <f t="shared" si="64"/>
        <v>27</v>
      </c>
      <c r="O902" s="25" t="str">
        <f t="shared" si="65"/>
        <v>sábado</v>
      </c>
      <c r="P902" s="27">
        <f t="shared" si="66"/>
        <v>12</v>
      </c>
      <c r="Q902" s="22" t="str">
        <f t="shared" si="67"/>
        <v>diciembre</v>
      </c>
    </row>
    <row r="903" spans="1:19" x14ac:dyDescent="0.25">
      <c r="A903">
        <v>10</v>
      </c>
      <c r="B903" t="s">
        <v>1579</v>
      </c>
      <c r="C903" t="s">
        <v>6</v>
      </c>
      <c r="D903" t="s">
        <v>543</v>
      </c>
      <c r="E903">
        <v>449842785</v>
      </c>
      <c r="H903">
        <v>1740</v>
      </c>
      <c r="I903">
        <v>1200</v>
      </c>
      <c r="J903">
        <v>0</v>
      </c>
      <c r="K903">
        <v>540</v>
      </c>
      <c r="M903" s="39" t="s">
        <v>1564</v>
      </c>
      <c r="N903" s="25">
        <f t="shared" si="64"/>
        <v>27</v>
      </c>
      <c r="O903" s="25" t="str">
        <f t="shared" si="65"/>
        <v>sábado</v>
      </c>
      <c r="P903" s="27">
        <f t="shared" si="66"/>
        <v>12</v>
      </c>
      <c r="Q903" s="22" t="str">
        <f t="shared" si="67"/>
        <v>diciembre</v>
      </c>
      <c r="R903" t="s">
        <v>543</v>
      </c>
      <c r="S903">
        <v>15220</v>
      </c>
    </row>
    <row r="904" spans="1:19" x14ac:dyDescent="0.25">
      <c r="A904">
        <v>9</v>
      </c>
      <c r="B904" t="s">
        <v>1580</v>
      </c>
      <c r="C904" t="s">
        <v>6</v>
      </c>
      <c r="D904" t="s">
        <v>1555</v>
      </c>
      <c r="E904">
        <v>449835487</v>
      </c>
      <c r="H904">
        <v>2200</v>
      </c>
      <c r="I904">
        <v>2200</v>
      </c>
      <c r="J904">
        <v>0</v>
      </c>
      <c r="K904">
        <v>0</v>
      </c>
      <c r="M904" s="39" t="s">
        <v>1564</v>
      </c>
      <c r="N904" s="25">
        <f t="shared" si="64"/>
        <v>27</v>
      </c>
      <c r="O904" s="25" t="str">
        <f t="shared" si="65"/>
        <v>sábado</v>
      </c>
      <c r="P904" s="27">
        <f t="shared" si="66"/>
        <v>12</v>
      </c>
      <c r="Q904" s="22" t="str">
        <f t="shared" si="67"/>
        <v>diciembre</v>
      </c>
    </row>
    <row r="905" spans="1:19" x14ac:dyDescent="0.25">
      <c r="A905">
        <v>6</v>
      </c>
      <c r="B905" t="s">
        <v>1581</v>
      </c>
      <c r="C905" t="s">
        <v>6</v>
      </c>
      <c r="D905" t="s">
        <v>1582</v>
      </c>
      <c r="E905">
        <v>449803244</v>
      </c>
      <c r="H905">
        <v>2700</v>
      </c>
      <c r="I905">
        <v>1200</v>
      </c>
      <c r="J905">
        <v>0</v>
      </c>
      <c r="K905">
        <v>1500</v>
      </c>
      <c r="M905" s="39" t="s">
        <v>1564</v>
      </c>
      <c r="N905" s="25">
        <f t="shared" si="64"/>
        <v>27</v>
      </c>
      <c r="O905" s="25" t="str">
        <f t="shared" si="65"/>
        <v>sábado</v>
      </c>
      <c r="P905" s="27">
        <f t="shared" si="66"/>
        <v>12</v>
      </c>
      <c r="Q905" s="22" t="str">
        <f t="shared" si="67"/>
        <v>diciembre</v>
      </c>
    </row>
    <row r="906" spans="1:19" x14ac:dyDescent="0.25">
      <c r="A906">
        <v>6</v>
      </c>
      <c r="B906" t="s">
        <v>1583</v>
      </c>
      <c r="C906" t="s">
        <v>6</v>
      </c>
      <c r="D906" t="s">
        <v>1584</v>
      </c>
      <c r="E906">
        <v>449802008</v>
      </c>
      <c r="H906">
        <v>2640</v>
      </c>
      <c r="I906">
        <v>1300</v>
      </c>
      <c r="J906">
        <v>0</v>
      </c>
      <c r="K906">
        <v>1340</v>
      </c>
      <c r="M906" s="39" t="s">
        <v>1564</v>
      </c>
      <c r="N906" s="25">
        <f t="shared" si="64"/>
        <v>27</v>
      </c>
      <c r="O906" s="25" t="str">
        <f t="shared" si="65"/>
        <v>sábado</v>
      </c>
      <c r="P906" s="27">
        <f t="shared" si="66"/>
        <v>12</v>
      </c>
      <c r="Q906" s="22" t="str">
        <f t="shared" si="67"/>
        <v>diciembre</v>
      </c>
    </row>
    <row r="907" spans="1:19" x14ac:dyDescent="0.25">
      <c r="A907">
        <v>6</v>
      </c>
      <c r="B907" t="s">
        <v>1585</v>
      </c>
      <c r="C907" t="s">
        <v>19</v>
      </c>
      <c r="D907" t="s">
        <v>792</v>
      </c>
      <c r="E907">
        <v>449800185</v>
      </c>
      <c r="F907" t="s">
        <v>792</v>
      </c>
      <c r="G907">
        <v>449800463</v>
      </c>
      <c r="H907">
        <v>2937</v>
      </c>
      <c r="I907">
        <v>1900</v>
      </c>
      <c r="J907">
        <v>0</v>
      </c>
      <c r="K907">
        <v>1037</v>
      </c>
      <c r="M907" s="39" t="s">
        <v>1564</v>
      </c>
      <c r="N907" s="25">
        <f t="shared" si="64"/>
        <v>27</v>
      </c>
      <c r="O907" s="25" t="str">
        <f t="shared" si="65"/>
        <v>sábado</v>
      </c>
      <c r="P907" s="27">
        <f t="shared" si="66"/>
        <v>12</v>
      </c>
      <c r="Q907" s="22" t="str">
        <f t="shared" si="67"/>
        <v>diciembre</v>
      </c>
    </row>
    <row r="908" spans="1:19" x14ac:dyDescent="0.25">
      <c r="A908">
        <v>5</v>
      </c>
      <c r="B908" t="s">
        <v>1586</v>
      </c>
      <c r="C908" t="s">
        <v>6</v>
      </c>
      <c r="D908" t="s">
        <v>1587</v>
      </c>
      <c r="E908">
        <v>449799710</v>
      </c>
      <c r="H908">
        <v>2750</v>
      </c>
      <c r="I908">
        <v>1950</v>
      </c>
      <c r="J908">
        <v>0</v>
      </c>
      <c r="K908">
        <v>800</v>
      </c>
      <c r="M908" s="39" t="s">
        <v>1564</v>
      </c>
      <c r="N908" s="25">
        <f t="shared" si="64"/>
        <v>27</v>
      </c>
      <c r="O908" s="25" t="str">
        <f t="shared" si="65"/>
        <v>sábado</v>
      </c>
      <c r="P908" s="27">
        <f t="shared" si="66"/>
        <v>12</v>
      </c>
      <c r="Q908" s="22" t="str">
        <f t="shared" si="67"/>
        <v>diciembre</v>
      </c>
    </row>
    <row r="909" spans="1:19" x14ac:dyDescent="0.25">
      <c r="A909">
        <v>5</v>
      </c>
      <c r="B909" t="s">
        <v>1588</v>
      </c>
      <c r="C909" t="s">
        <v>6</v>
      </c>
      <c r="D909" t="s">
        <v>1589</v>
      </c>
      <c r="E909">
        <v>449798751</v>
      </c>
      <c r="F909" t="s">
        <v>1589</v>
      </c>
      <c r="G909">
        <v>449798688</v>
      </c>
      <c r="H909">
        <v>3200</v>
      </c>
      <c r="I909">
        <v>1800</v>
      </c>
      <c r="J909">
        <v>0</v>
      </c>
      <c r="K909">
        <v>1400</v>
      </c>
      <c r="M909" s="39" t="s">
        <v>1564</v>
      </c>
      <c r="N909" s="25">
        <f t="shared" si="64"/>
        <v>27</v>
      </c>
      <c r="O909" s="25" t="str">
        <f t="shared" si="65"/>
        <v>sábado</v>
      </c>
      <c r="P909" s="27">
        <f t="shared" si="66"/>
        <v>12</v>
      </c>
      <c r="Q909" s="22" t="str">
        <f t="shared" si="67"/>
        <v>diciembre</v>
      </c>
    </row>
    <row r="910" spans="1:19" x14ac:dyDescent="0.25">
      <c r="A910">
        <v>11</v>
      </c>
      <c r="B910" t="s">
        <v>1590</v>
      </c>
      <c r="C910" t="s">
        <v>6</v>
      </c>
      <c r="D910" t="s">
        <v>183</v>
      </c>
      <c r="E910">
        <v>449993328</v>
      </c>
      <c r="H910">
        <v>3190</v>
      </c>
      <c r="I910">
        <v>1450</v>
      </c>
      <c r="J910">
        <v>0</v>
      </c>
      <c r="K910">
        <v>1740</v>
      </c>
      <c r="M910" s="39">
        <v>46019</v>
      </c>
      <c r="N910" s="25">
        <f t="shared" ref="N910:N921" si="68">DAY(M910)</f>
        <v>28</v>
      </c>
      <c r="O910" s="25" t="str">
        <f t="shared" ref="O910:O921" si="69">TEXT(M910,"DDDD")</f>
        <v>domingo</v>
      </c>
      <c r="P910" s="27">
        <f t="shared" ref="P910:P921" si="70">MONTH(M910)</f>
        <v>12</v>
      </c>
      <c r="Q910" s="22" t="str">
        <f t="shared" ref="Q910:Q921" si="71">TEXT(M910,"MMMM")</f>
        <v>diciembre</v>
      </c>
    </row>
    <row r="911" spans="1:19" x14ac:dyDescent="0.25">
      <c r="A911">
        <v>11</v>
      </c>
      <c r="B911" t="s">
        <v>1591</v>
      </c>
      <c r="C911" t="s">
        <v>6</v>
      </c>
      <c r="D911" t="s">
        <v>271</v>
      </c>
      <c r="E911">
        <v>449985875</v>
      </c>
      <c r="F911" t="s">
        <v>1592</v>
      </c>
      <c r="G911">
        <v>449986946</v>
      </c>
      <c r="H911">
        <v>4020</v>
      </c>
      <c r="I911">
        <v>2300</v>
      </c>
      <c r="J911">
        <v>0</v>
      </c>
      <c r="K911">
        <v>1720</v>
      </c>
      <c r="M911" s="39">
        <v>46019</v>
      </c>
      <c r="N911" s="25">
        <f t="shared" si="68"/>
        <v>28</v>
      </c>
      <c r="O911" s="25" t="str">
        <f t="shared" si="69"/>
        <v>domingo</v>
      </c>
      <c r="P911" s="27">
        <f t="shared" si="70"/>
        <v>12</v>
      </c>
      <c r="Q911" s="22" t="str">
        <f t="shared" si="71"/>
        <v>diciembre</v>
      </c>
    </row>
    <row r="912" spans="1:19" x14ac:dyDescent="0.25">
      <c r="A912">
        <v>11</v>
      </c>
      <c r="B912" t="s">
        <v>1593</v>
      </c>
      <c r="C912" t="s">
        <v>6</v>
      </c>
      <c r="D912" t="s">
        <v>1594</v>
      </c>
      <c r="E912">
        <v>449977577</v>
      </c>
      <c r="F912" t="s">
        <v>418</v>
      </c>
      <c r="G912">
        <v>449976440</v>
      </c>
      <c r="H912">
        <v>6640</v>
      </c>
      <c r="I912">
        <v>2350</v>
      </c>
      <c r="J912">
        <v>0</v>
      </c>
      <c r="K912">
        <v>4290</v>
      </c>
      <c r="M912" s="39">
        <v>46019</v>
      </c>
      <c r="N912" s="25">
        <f t="shared" si="68"/>
        <v>28</v>
      </c>
      <c r="O912" s="25" t="str">
        <f t="shared" si="69"/>
        <v>domingo</v>
      </c>
      <c r="P912" s="27">
        <f t="shared" si="70"/>
        <v>12</v>
      </c>
      <c r="Q912" s="22" t="str">
        <f t="shared" si="71"/>
        <v>diciembre</v>
      </c>
    </row>
    <row r="913" spans="1:17" x14ac:dyDescent="0.25">
      <c r="A913">
        <v>11</v>
      </c>
      <c r="B913" t="s">
        <v>1595</v>
      </c>
      <c r="C913" t="s">
        <v>6</v>
      </c>
      <c r="D913" t="s">
        <v>548</v>
      </c>
      <c r="E913">
        <v>449968057</v>
      </c>
      <c r="F913" t="s">
        <v>1596</v>
      </c>
      <c r="G913">
        <v>449966455</v>
      </c>
      <c r="H913">
        <v>5030</v>
      </c>
      <c r="I913">
        <v>2450</v>
      </c>
      <c r="J913">
        <v>0</v>
      </c>
      <c r="K913">
        <v>2580</v>
      </c>
      <c r="M913" s="39">
        <v>46019</v>
      </c>
      <c r="N913" s="25">
        <f t="shared" si="68"/>
        <v>28</v>
      </c>
      <c r="O913" s="25" t="str">
        <f t="shared" si="69"/>
        <v>domingo</v>
      </c>
      <c r="P913" s="27">
        <f t="shared" si="70"/>
        <v>12</v>
      </c>
      <c r="Q913" s="22" t="str">
        <f t="shared" si="71"/>
        <v>diciembre</v>
      </c>
    </row>
    <row r="914" spans="1:17" x14ac:dyDescent="0.25">
      <c r="A914">
        <v>11</v>
      </c>
      <c r="B914" t="s">
        <v>1485</v>
      </c>
      <c r="C914" t="s">
        <v>6</v>
      </c>
      <c r="D914" t="s">
        <v>1597</v>
      </c>
      <c r="E914">
        <v>449962124</v>
      </c>
      <c r="F914" t="s">
        <v>796</v>
      </c>
      <c r="G914">
        <v>449962533</v>
      </c>
      <c r="H914">
        <v>3960</v>
      </c>
      <c r="I914">
        <v>1800</v>
      </c>
      <c r="J914">
        <v>0</v>
      </c>
      <c r="K914">
        <v>2160</v>
      </c>
      <c r="M914" s="39">
        <v>46019</v>
      </c>
      <c r="N914" s="25">
        <f t="shared" si="68"/>
        <v>28</v>
      </c>
      <c r="O914" s="25" t="str">
        <f t="shared" si="69"/>
        <v>domingo</v>
      </c>
      <c r="P914" s="27">
        <f t="shared" si="70"/>
        <v>12</v>
      </c>
      <c r="Q914" s="22" t="str">
        <f t="shared" si="71"/>
        <v>diciembre</v>
      </c>
    </row>
    <row r="915" spans="1:17" x14ac:dyDescent="0.25">
      <c r="A915">
        <v>10</v>
      </c>
      <c r="B915" t="s">
        <v>1598</v>
      </c>
      <c r="C915" t="s">
        <v>19</v>
      </c>
      <c r="D915" t="s">
        <v>597</v>
      </c>
      <c r="E915">
        <v>449956884</v>
      </c>
      <c r="F915" t="s">
        <v>1599</v>
      </c>
      <c r="G915">
        <v>449956958</v>
      </c>
      <c r="H915">
        <v>9010</v>
      </c>
      <c r="I915">
        <v>3450</v>
      </c>
      <c r="J915">
        <v>0</v>
      </c>
      <c r="K915">
        <v>5560</v>
      </c>
      <c r="M915" s="39">
        <v>46019</v>
      </c>
      <c r="N915" s="25">
        <f t="shared" si="68"/>
        <v>28</v>
      </c>
      <c r="O915" s="25" t="str">
        <f t="shared" si="69"/>
        <v>domingo</v>
      </c>
      <c r="P915" s="27">
        <f t="shared" si="70"/>
        <v>12</v>
      </c>
      <c r="Q915" s="22" t="str">
        <f t="shared" si="71"/>
        <v>diciembre</v>
      </c>
    </row>
    <row r="916" spans="1:17" x14ac:dyDescent="0.25">
      <c r="A916">
        <v>7</v>
      </c>
      <c r="B916" t="s">
        <v>1600</v>
      </c>
      <c r="C916" t="s">
        <v>19</v>
      </c>
      <c r="D916" t="s">
        <v>1241</v>
      </c>
      <c r="E916">
        <v>449917451</v>
      </c>
      <c r="H916">
        <v>2200</v>
      </c>
      <c r="I916">
        <v>1200</v>
      </c>
      <c r="J916">
        <v>0</v>
      </c>
      <c r="K916">
        <v>1000</v>
      </c>
      <c r="M916" s="39">
        <v>46019</v>
      </c>
      <c r="N916" s="25">
        <f t="shared" si="68"/>
        <v>28</v>
      </c>
      <c r="O916" s="25" t="str">
        <f t="shared" si="69"/>
        <v>domingo</v>
      </c>
      <c r="P916" s="27">
        <f t="shared" si="70"/>
        <v>12</v>
      </c>
      <c r="Q916" s="22" t="str">
        <f t="shared" si="71"/>
        <v>diciembre</v>
      </c>
    </row>
    <row r="917" spans="1:17" x14ac:dyDescent="0.25">
      <c r="A917">
        <v>6</v>
      </c>
      <c r="B917" t="s">
        <v>1601</v>
      </c>
      <c r="C917" t="s">
        <v>19</v>
      </c>
      <c r="D917" t="s">
        <v>1602</v>
      </c>
      <c r="E917">
        <v>449906527</v>
      </c>
      <c r="H917">
        <v>9140</v>
      </c>
      <c r="I917">
        <v>5000</v>
      </c>
      <c r="J917">
        <v>0</v>
      </c>
      <c r="K917">
        <v>4140</v>
      </c>
      <c r="M917" s="39">
        <v>46019</v>
      </c>
      <c r="N917" s="25">
        <f t="shared" si="68"/>
        <v>28</v>
      </c>
      <c r="O917" s="25" t="str">
        <f t="shared" si="69"/>
        <v>domingo</v>
      </c>
      <c r="P917" s="27">
        <f t="shared" si="70"/>
        <v>12</v>
      </c>
      <c r="Q917" s="22" t="str">
        <f t="shared" si="71"/>
        <v>diciembre</v>
      </c>
    </row>
    <row r="918" spans="1:17" x14ac:dyDescent="0.25">
      <c r="A918">
        <v>6</v>
      </c>
      <c r="B918" t="s">
        <v>1603</v>
      </c>
      <c r="C918" t="s">
        <v>6</v>
      </c>
      <c r="D918" t="s">
        <v>1604</v>
      </c>
      <c r="E918">
        <v>449909748</v>
      </c>
      <c r="H918">
        <v>2430</v>
      </c>
      <c r="I918">
        <v>1450</v>
      </c>
      <c r="J918">
        <v>0</v>
      </c>
      <c r="K918">
        <v>980</v>
      </c>
      <c r="M918" s="39">
        <v>46019</v>
      </c>
      <c r="N918" s="25">
        <f t="shared" si="68"/>
        <v>28</v>
      </c>
      <c r="O918" s="25" t="str">
        <f t="shared" si="69"/>
        <v>domingo</v>
      </c>
      <c r="P918" s="27">
        <f t="shared" si="70"/>
        <v>12</v>
      </c>
      <c r="Q918" s="22" t="str">
        <f t="shared" si="71"/>
        <v>diciembre</v>
      </c>
    </row>
    <row r="919" spans="1:17" x14ac:dyDescent="0.25">
      <c r="A919">
        <v>5</v>
      </c>
      <c r="B919" t="s">
        <v>1605</v>
      </c>
      <c r="C919" t="s">
        <v>6</v>
      </c>
      <c r="D919" t="s">
        <v>1606</v>
      </c>
      <c r="E919">
        <v>449909088</v>
      </c>
      <c r="H919">
        <v>1200</v>
      </c>
      <c r="I919">
        <v>1200</v>
      </c>
      <c r="J919">
        <v>0</v>
      </c>
      <c r="K919">
        <v>0</v>
      </c>
      <c r="M919" s="39">
        <v>46019</v>
      </c>
      <c r="N919" s="25">
        <f t="shared" si="68"/>
        <v>28</v>
      </c>
      <c r="O919" s="25" t="str">
        <f t="shared" si="69"/>
        <v>domingo</v>
      </c>
      <c r="P919" s="27">
        <f t="shared" si="70"/>
        <v>12</v>
      </c>
      <c r="Q919" s="22" t="str">
        <f t="shared" si="71"/>
        <v>diciembre</v>
      </c>
    </row>
    <row r="920" spans="1:17" x14ac:dyDescent="0.25">
      <c r="A920">
        <v>5</v>
      </c>
      <c r="B920" t="s">
        <v>1607</v>
      </c>
      <c r="C920" t="s">
        <v>19</v>
      </c>
      <c r="D920" t="s">
        <v>1608</v>
      </c>
      <c r="E920">
        <v>449908619</v>
      </c>
      <c r="H920">
        <v>3580</v>
      </c>
      <c r="I920">
        <v>1200</v>
      </c>
      <c r="J920">
        <v>0</v>
      </c>
      <c r="K920">
        <v>2380</v>
      </c>
      <c r="M920" s="39">
        <v>46019</v>
      </c>
      <c r="N920" s="25">
        <f t="shared" si="68"/>
        <v>28</v>
      </c>
      <c r="O920" s="25" t="str">
        <f t="shared" si="69"/>
        <v>domingo</v>
      </c>
      <c r="P920" s="27">
        <f t="shared" si="70"/>
        <v>12</v>
      </c>
      <c r="Q920" s="22" t="str">
        <f t="shared" si="71"/>
        <v>diciembre</v>
      </c>
    </row>
    <row r="921" spans="1:17" x14ac:dyDescent="0.25">
      <c r="A921">
        <v>5</v>
      </c>
      <c r="B921" t="s">
        <v>1609</v>
      </c>
      <c r="C921" t="s">
        <v>6</v>
      </c>
      <c r="D921" t="s">
        <v>1604</v>
      </c>
      <c r="E921">
        <v>449908490</v>
      </c>
      <c r="H921">
        <v>2400</v>
      </c>
      <c r="I921">
        <v>2400</v>
      </c>
      <c r="J921">
        <v>0</v>
      </c>
      <c r="K921">
        <v>0</v>
      </c>
      <c r="M921" s="39">
        <v>46019</v>
      </c>
      <c r="N921" s="25">
        <f t="shared" si="68"/>
        <v>28</v>
      </c>
      <c r="O921" s="25" t="str">
        <f t="shared" si="69"/>
        <v>domingo</v>
      </c>
      <c r="P921" s="27">
        <f t="shared" si="70"/>
        <v>12</v>
      </c>
      <c r="Q921" s="22" t="str">
        <f t="shared" si="71"/>
        <v>diciembre</v>
      </c>
    </row>
    <row r="922" spans="1:17" x14ac:dyDescent="0.25">
      <c r="A922">
        <v>11</v>
      </c>
      <c r="B922" t="s">
        <v>1610</v>
      </c>
      <c r="C922" t="s">
        <v>6</v>
      </c>
      <c r="D922" t="s">
        <v>1611</v>
      </c>
      <c r="E922">
        <v>450077986</v>
      </c>
      <c r="H922">
        <v>1400</v>
      </c>
      <c r="I922">
        <v>1200</v>
      </c>
      <c r="J922">
        <v>0</v>
      </c>
      <c r="K922">
        <v>200</v>
      </c>
      <c r="M922" s="39">
        <v>46020</v>
      </c>
      <c r="N922" s="25">
        <f t="shared" si="64"/>
        <v>29</v>
      </c>
      <c r="O922" s="25" t="str">
        <f t="shared" si="65"/>
        <v>lunes</v>
      </c>
      <c r="P922" s="27">
        <f t="shared" si="66"/>
        <v>12</v>
      </c>
      <c r="Q922" s="22" t="str">
        <f t="shared" si="67"/>
        <v>diciembre</v>
      </c>
    </row>
    <row r="923" spans="1:17" x14ac:dyDescent="0.25">
      <c r="A923">
        <v>11</v>
      </c>
      <c r="B923" t="s">
        <v>1612</v>
      </c>
      <c r="C923" t="s">
        <v>6</v>
      </c>
      <c r="D923" t="s">
        <v>350</v>
      </c>
      <c r="E923">
        <v>450072640</v>
      </c>
      <c r="F923" t="s">
        <v>1613</v>
      </c>
      <c r="G923">
        <v>450072406</v>
      </c>
      <c r="H923">
        <v>2150</v>
      </c>
      <c r="I923">
        <v>1850</v>
      </c>
      <c r="J923">
        <v>0</v>
      </c>
      <c r="K923">
        <v>300</v>
      </c>
      <c r="M923" s="39">
        <v>46020</v>
      </c>
      <c r="N923" s="25">
        <f t="shared" si="64"/>
        <v>29</v>
      </c>
      <c r="O923" s="25" t="str">
        <f t="shared" si="65"/>
        <v>lunes</v>
      </c>
      <c r="P923" s="27">
        <f t="shared" si="66"/>
        <v>12</v>
      </c>
      <c r="Q923" s="22" t="str">
        <f t="shared" si="67"/>
        <v>diciembre</v>
      </c>
    </row>
    <row r="924" spans="1:17" x14ac:dyDescent="0.25">
      <c r="A924">
        <v>11</v>
      </c>
      <c r="B924" t="s">
        <v>1614</v>
      </c>
      <c r="C924" t="s">
        <v>6</v>
      </c>
      <c r="D924" t="s">
        <v>1306</v>
      </c>
      <c r="E924">
        <v>450066878</v>
      </c>
      <c r="H924">
        <v>2570</v>
      </c>
      <c r="I924">
        <v>1250</v>
      </c>
      <c r="J924">
        <v>0</v>
      </c>
      <c r="K924">
        <v>1320</v>
      </c>
      <c r="M924" s="39">
        <v>46020</v>
      </c>
      <c r="N924" s="25">
        <f t="shared" si="64"/>
        <v>29</v>
      </c>
      <c r="O924" s="25" t="str">
        <f t="shared" si="65"/>
        <v>lunes</v>
      </c>
      <c r="P924" s="27">
        <f t="shared" si="66"/>
        <v>12</v>
      </c>
      <c r="Q924" s="22" t="str">
        <f t="shared" si="67"/>
        <v>diciembre</v>
      </c>
    </row>
    <row r="925" spans="1:17" x14ac:dyDescent="0.25">
      <c r="A925">
        <v>11</v>
      </c>
      <c r="B925" t="s">
        <v>1615</v>
      </c>
      <c r="C925" t="s">
        <v>19</v>
      </c>
      <c r="D925" t="s">
        <v>914</v>
      </c>
      <c r="E925">
        <v>450064333</v>
      </c>
      <c r="H925">
        <v>2057</v>
      </c>
      <c r="I925">
        <v>1950</v>
      </c>
      <c r="J925">
        <v>0</v>
      </c>
      <c r="K925">
        <v>107</v>
      </c>
      <c r="M925" s="39">
        <v>46020</v>
      </c>
      <c r="N925" s="25">
        <f t="shared" si="64"/>
        <v>29</v>
      </c>
      <c r="O925" s="25" t="str">
        <f t="shared" si="65"/>
        <v>lunes</v>
      </c>
      <c r="P925" s="27">
        <f t="shared" si="66"/>
        <v>12</v>
      </c>
      <c r="Q925" s="22" t="str">
        <f t="shared" si="67"/>
        <v>diciembre</v>
      </c>
    </row>
    <row r="926" spans="1:17" x14ac:dyDescent="0.25">
      <c r="A926">
        <v>10</v>
      </c>
      <c r="B926" t="s">
        <v>1616</v>
      </c>
      <c r="C926" t="s">
        <v>19</v>
      </c>
      <c r="D926" t="s">
        <v>487</v>
      </c>
      <c r="E926">
        <v>450061563</v>
      </c>
      <c r="H926">
        <v>1200</v>
      </c>
      <c r="I926">
        <v>1200</v>
      </c>
      <c r="J926">
        <v>0</v>
      </c>
      <c r="K926">
        <v>0</v>
      </c>
      <c r="M926" s="39">
        <v>46020</v>
      </c>
      <c r="N926" s="25">
        <f t="shared" si="64"/>
        <v>29</v>
      </c>
      <c r="O926" s="25" t="str">
        <f t="shared" si="65"/>
        <v>lunes</v>
      </c>
      <c r="P926" s="27">
        <f t="shared" si="66"/>
        <v>12</v>
      </c>
      <c r="Q926" s="22" t="str">
        <f t="shared" si="67"/>
        <v>diciembre</v>
      </c>
    </row>
    <row r="927" spans="1:17" x14ac:dyDescent="0.25">
      <c r="A927">
        <v>12</v>
      </c>
      <c r="B927" t="s">
        <v>1617</v>
      </c>
      <c r="C927" t="s">
        <v>19</v>
      </c>
      <c r="D927" t="s">
        <v>1618</v>
      </c>
      <c r="E927">
        <v>450203608</v>
      </c>
      <c r="H927">
        <v>2100</v>
      </c>
      <c r="I927">
        <v>2100</v>
      </c>
      <c r="J927">
        <v>0</v>
      </c>
      <c r="K927">
        <v>0</v>
      </c>
      <c r="M927" s="39">
        <v>46021</v>
      </c>
      <c r="N927" s="25">
        <f t="shared" si="64"/>
        <v>30</v>
      </c>
      <c r="O927" s="25" t="str">
        <f t="shared" si="65"/>
        <v>martes</v>
      </c>
      <c r="P927" s="27">
        <f t="shared" si="66"/>
        <v>12</v>
      </c>
      <c r="Q927" s="22" t="str">
        <f t="shared" si="67"/>
        <v>diciembre</v>
      </c>
    </row>
    <row r="928" spans="1:17" x14ac:dyDescent="0.25">
      <c r="A928">
        <v>11</v>
      </c>
      <c r="B928" t="s">
        <v>1619</v>
      </c>
      <c r="C928" t="s">
        <v>19</v>
      </c>
      <c r="D928" t="s">
        <v>1620</v>
      </c>
      <c r="E928">
        <v>450182368</v>
      </c>
      <c r="H928">
        <v>2810</v>
      </c>
      <c r="I928">
        <v>1750</v>
      </c>
      <c r="J928">
        <v>100</v>
      </c>
      <c r="K928">
        <v>960</v>
      </c>
      <c r="M928" s="39">
        <v>46021</v>
      </c>
      <c r="N928" s="25">
        <f t="shared" si="64"/>
        <v>30</v>
      </c>
      <c r="O928" s="25" t="str">
        <f t="shared" si="65"/>
        <v>martes</v>
      </c>
      <c r="P928" s="27">
        <f t="shared" si="66"/>
        <v>12</v>
      </c>
      <c r="Q928" s="22" t="str">
        <f t="shared" si="67"/>
        <v>diciembre</v>
      </c>
    </row>
    <row r="929" spans="1:19" x14ac:dyDescent="0.25">
      <c r="A929">
        <v>11</v>
      </c>
      <c r="B929" t="s">
        <v>1621</v>
      </c>
      <c r="C929" t="s">
        <v>6</v>
      </c>
      <c r="D929" t="s">
        <v>1622</v>
      </c>
      <c r="E929">
        <v>450182368</v>
      </c>
      <c r="H929">
        <v>7170</v>
      </c>
      <c r="I929">
        <v>1750</v>
      </c>
      <c r="J929">
        <v>100</v>
      </c>
      <c r="K929">
        <v>5320</v>
      </c>
      <c r="M929" s="39">
        <v>46021</v>
      </c>
      <c r="N929" s="25">
        <f t="shared" si="64"/>
        <v>30</v>
      </c>
      <c r="O929" s="25" t="str">
        <f t="shared" si="65"/>
        <v>martes</v>
      </c>
      <c r="P929" s="27">
        <f t="shared" si="66"/>
        <v>12</v>
      </c>
      <c r="Q929" s="22" t="str">
        <f t="shared" si="67"/>
        <v>diciembre</v>
      </c>
    </row>
    <row r="930" spans="1:19" x14ac:dyDescent="0.25">
      <c r="A930">
        <v>3</v>
      </c>
      <c r="B930" t="s">
        <v>1623</v>
      </c>
      <c r="C930" t="s">
        <v>6</v>
      </c>
      <c r="D930" t="s">
        <v>184</v>
      </c>
      <c r="E930">
        <v>450226268</v>
      </c>
      <c r="H930">
        <v>4020</v>
      </c>
      <c r="I930">
        <v>1200</v>
      </c>
      <c r="J930">
        <v>0</v>
      </c>
      <c r="K930">
        <v>2820</v>
      </c>
      <c r="M930" s="39">
        <v>46022</v>
      </c>
      <c r="N930" s="25">
        <f t="shared" si="64"/>
        <v>31</v>
      </c>
      <c r="O930" s="25" t="str">
        <f t="shared" si="65"/>
        <v>miércoles</v>
      </c>
      <c r="P930" s="27">
        <f t="shared" si="66"/>
        <v>12</v>
      </c>
      <c r="Q930" s="22" t="str">
        <f t="shared" si="67"/>
        <v>diciembre</v>
      </c>
    </row>
    <row r="931" spans="1:19" x14ac:dyDescent="0.25">
      <c r="A931">
        <v>2</v>
      </c>
      <c r="B931" t="s">
        <v>1624</v>
      </c>
      <c r="C931" t="s">
        <v>6</v>
      </c>
      <c r="D931" t="s">
        <v>184</v>
      </c>
      <c r="E931">
        <v>450225156</v>
      </c>
      <c r="H931">
        <v>1200</v>
      </c>
      <c r="I931">
        <v>1200</v>
      </c>
      <c r="J931">
        <v>0</v>
      </c>
      <c r="K931">
        <v>0</v>
      </c>
      <c r="M931" s="39">
        <v>46022</v>
      </c>
      <c r="N931" s="25">
        <f t="shared" si="64"/>
        <v>31</v>
      </c>
      <c r="O931" s="25" t="str">
        <f t="shared" si="65"/>
        <v>miércoles</v>
      </c>
      <c r="P931" s="27">
        <f t="shared" si="66"/>
        <v>12</v>
      </c>
      <c r="Q931" s="22" t="str">
        <f t="shared" si="67"/>
        <v>diciembre</v>
      </c>
    </row>
    <row r="932" spans="1:19" x14ac:dyDescent="0.25">
      <c r="A932">
        <v>2</v>
      </c>
      <c r="B932" t="s">
        <v>1625</v>
      </c>
      <c r="C932" t="s">
        <v>6</v>
      </c>
      <c r="D932" t="s">
        <v>184</v>
      </c>
      <c r="E932">
        <v>450224627</v>
      </c>
      <c r="H932">
        <v>3460</v>
      </c>
      <c r="I932">
        <v>1200</v>
      </c>
      <c r="J932">
        <v>0</v>
      </c>
      <c r="K932">
        <v>2260</v>
      </c>
      <c r="M932" s="39">
        <v>46022</v>
      </c>
      <c r="N932" s="25">
        <f t="shared" si="64"/>
        <v>31</v>
      </c>
      <c r="O932" s="25" t="str">
        <f t="shared" si="65"/>
        <v>miércoles</v>
      </c>
      <c r="P932" s="27">
        <f t="shared" si="66"/>
        <v>12</v>
      </c>
      <c r="Q932" s="22" t="str">
        <f t="shared" si="67"/>
        <v>diciembre</v>
      </c>
    </row>
    <row r="933" spans="1:19" x14ac:dyDescent="0.25">
      <c r="A933">
        <v>1</v>
      </c>
      <c r="B933" t="s">
        <v>1626</v>
      </c>
      <c r="C933" t="s">
        <v>6</v>
      </c>
      <c r="D933" t="s">
        <v>184</v>
      </c>
      <c r="E933">
        <v>450223647</v>
      </c>
      <c r="H933">
        <v>4200</v>
      </c>
      <c r="I933">
        <v>1200</v>
      </c>
      <c r="J933">
        <v>0</v>
      </c>
      <c r="K933">
        <v>3000</v>
      </c>
      <c r="M933" s="39">
        <v>46022</v>
      </c>
      <c r="N933" s="25">
        <f t="shared" ref="N933:N934" si="72">DAY(M933)</f>
        <v>31</v>
      </c>
      <c r="O933" s="25" t="str">
        <f t="shared" ref="O933:O934" si="73">TEXT(M933,"DDDD")</f>
        <v>miércoles</v>
      </c>
      <c r="P933" s="27">
        <f t="shared" ref="P933:P934" si="74">MONTH(M933)</f>
        <v>12</v>
      </c>
      <c r="Q933" s="22" t="str">
        <f t="shared" ref="Q933:Q934" si="75">TEXT(M933,"MMMM")</f>
        <v>diciembre</v>
      </c>
    </row>
    <row r="934" spans="1:19" x14ac:dyDescent="0.25">
      <c r="A934">
        <v>1</v>
      </c>
      <c r="B934" t="s">
        <v>1627</v>
      </c>
      <c r="C934" t="s">
        <v>6</v>
      </c>
      <c r="D934" t="s">
        <v>184</v>
      </c>
      <c r="E934">
        <v>450223647</v>
      </c>
      <c r="H934">
        <v>4200</v>
      </c>
      <c r="I934">
        <v>1200</v>
      </c>
      <c r="J934">
        <v>0</v>
      </c>
      <c r="K934">
        <v>3000</v>
      </c>
      <c r="M934" s="39">
        <v>46022</v>
      </c>
      <c r="N934" s="25">
        <f t="shared" si="72"/>
        <v>31</v>
      </c>
      <c r="O934" s="25" t="str">
        <f t="shared" si="73"/>
        <v>miércoles</v>
      </c>
      <c r="P934" s="27">
        <f t="shared" si="74"/>
        <v>12</v>
      </c>
      <c r="Q934" s="22" t="str">
        <f t="shared" si="75"/>
        <v>diciembre</v>
      </c>
    </row>
    <row r="935" spans="1:19" x14ac:dyDescent="0.25">
      <c r="A935">
        <v>11</v>
      </c>
      <c r="B935" t="s">
        <v>1643</v>
      </c>
      <c r="C935" t="s">
        <v>6</v>
      </c>
      <c r="D935" t="s">
        <v>576</v>
      </c>
      <c r="E935">
        <v>450342754</v>
      </c>
      <c r="H935">
        <v>3370</v>
      </c>
      <c r="I935">
        <v>1950</v>
      </c>
      <c r="J935">
        <v>0</v>
      </c>
      <c r="K935">
        <v>1420</v>
      </c>
      <c r="M935" s="39" t="s">
        <v>1644</v>
      </c>
      <c r="N935" s="25">
        <f t="shared" ref="N935:N956" si="76">DAY(M935)</f>
        <v>1</v>
      </c>
      <c r="O935" s="25" t="str">
        <f t="shared" ref="O935:O956" si="77">TEXT(M935,"DDDD")</f>
        <v>jueves</v>
      </c>
      <c r="P935" s="27">
        <f t="shared" ref="P935:P956" si="78">MONTH(M935)</f>
        <v>1</v>
      </c>
      <c r="Q935" s="22" t="str">
        <f t="shared" ref="Q935:Q956" si="79">TEXT(M935,"MMMM")</f>
        <v>enero</v>
      </c>
      <c r="R935" t="s">
        <v>576</v>
      </c>
      <c r="S935">
        <v>26222</v>
      </c>
    </row>
    <row r="936" spans="1:19" x14ac:dyDescent="0.25">
      <c r="A936">
        <v>11</v>
      </c>
      <c r="B936" t="s">
        <v>1645</v>
      </c>
      <c r="C936" t="s">
        <v>6</v>
      </c>
      <c r="D936" t="s">
        <v>1646</v>
      </c>
      <c r="E936">
        <v>450339164</v>
      </c>
      <c r="F936" t="s">
        <v>1647</v>
      </c>
      <c r="G936">
        <v>450338611</v>
      </c>
      <c r="H936">
        <v>5280</v>
      </c>
      <c r="I936">
        <v>2600</v>
      </c>
      <c r="J936">
        <v>0</v>
      </c>
      <c r="K936">
        <v>2680</v>
      </c>
      <c r="M936" s="39" t="s">
        <v>1644</v>
      </c>
      <c r="N936" s="25">
        <f t="shared" si="76"/>
        <v>1</v>
      </c>
      <c r="O936" s="25" t="str">
        <f t="shared" si="77"/>
        <v>jueves</v>
      </c>
      <c r="P936" s="27">
        <f t="shared" si="78"/>
        <v>1</v>
      </c>
      <c r="Q936" s="22" t="str">
        <f t="shared" si="79"/>
        <v>enero</v>
      </c>
      <c r="R936" t="s">
        <v>1646</v>
      </c>
      <c r="S936">
        <v>28360</v>
      </c>
    </row>
    <row r="937" spans="1:19" x14ac:dyDescent="0.25">
      <c r="A937">
        <v>10</v>
      </c>
      <c r="B937" t="s">
        <v>1648</v>
      </c>
      <c r="C937" t="s">
        <v>6</v>
      </c>
      <c r="D937" t="s">
        <v>184</v>
      </c>
      <c r="E937">
        <v>450337545</v>
      </c>
      <c r="H937">
        <v>1700</v>
      </c>
      <c r="I937">
        <v>1200</v>
      </c>
      <c r="J937">
        <v>0</v>
      </c>
      <c r="K937">
        <v>500</v>
      </c>
      <c r="M937" s="39" t="s">
        <v>1644</v>
      </c>
      <c r="N937" s="25">
        <f t="shared" si="76"/>
        <v>1</v>
      </c>
      <c r="O937" s="25" t="str">
        <f t="shared" si="77"/>
        <v>jueves</v>
      </c>
      <c r="P937" s="27">
        <f t="shared" si="78"/>
        <v>1</v>
      </c>
      <c r="Q937" s="22" t="str">
        <f t="shared" si="79"/>
        <v>enero</v>
      </c>
    </row>
    <row r="938" spans="1:19" x14ac:dyDescent="0.25">
      <c r="A938">
        <v>10</v>
      </c>
      <c r="B938" t="s">
        <v>1578</v>
      </c>
      <c r="C938" t="s">
        <v>6</v>
      </c>
      <c r="D938" t="s">
        <v>1649</v>
      </c>
      <c r="E938">
        <v>450334133</v>
      </c>
      <c r="H938">
        <v>2000</v>
      </c>
      <c r="I938">
        <v>1200</v>
      </c>
      <c r="J938">
        <v>0</v>
      </c>
      <c r="K938">
        <v>800</v>
      </c>
      <c r="M938" s="39" t="s">
        <v>1644</v>
      </c>
      <c r="N938" s="25">
        <f t="shared" si="76"/>
        <v>1</v>
      </c>
      <c r="O938" s="25" t="str">
        <f t="shared" si="77"/>
        <v>jueves</v>
      </c>
      <c r="P938" s="27">
        <f t="shared" si="78"/>
        <v>1</v>
      </c>
      <c r="Q938" s="22" t="str">
        <f t="shared" si="79"/>
        <v>enero</v>
      </c>
    </row>
    <row r="939" spans="1:19" x14ac:dyDescent="0.25">
      <c r="A939">
        <v>9</v>
      </c>
      <c r="B939" t="s">
        <v>1650</v>
      </c>
      <c r="C939" t="s">
        <v>6</v>
      </c>
      <c r="D939" t="s">
        <v>1651</v>
      </c>
      <c r="E939">
        <v>450329237</v>
      </c>
      <c r="H939">
        <v>2120</v>
      </c>
      <c r="I939">
        <v>1200</v>
      </c>
      <c r="J939">
        <v>0</v>
      </c>
      <c r="K939">
        <v>920</v>
      </c>
      <c r="M939" s="39" t="s">
        <v>1644</v>
      </c>
      <c r="N939" s="25">
        <f t="shared" si="76"/>
        <v>1</v>
      </c>
      <c r="O939" s="25" t="str">
        <f t="shared" si="77"/>
        <v>jueves</v>
      </c>
      <c r="P939" s="27">
        <f t="shared" si="78"/>
        <v>1</v>
      </c>
      <c r="Q939" s="22" t="str">
        <f t="shared" si="79"/>
        <v>enero</v>
      </c>
    </row>
    <row r="940" spans="1:19" x14ac:dyDescent="0.25">
      <c r="A940">
        <v>9</v>
      </c>
      <c r="B940" t="s">
        <v>1652</v>
      </c>
      <c r="C940" t="s">
        <v>6</v>
      </c>
      <c r="D940" t="s">
        <v>1653</v>
      </c>
      <c r="E940">
        <v>450328258</v>
      </c>
      <c r="H940">
        <v>1400</v>
      </c>
      <c r="I940">
        <v>1200</v>
      </c>
      <c r="J940">
        <v>0</v>
      </c>
      <c r="K940">
        <v>200</v>
      </c>
      <c r="M940" s="39" t="s">
        <v>1644</v>
      </c>
      <c r="N940" s="25">
        <f t="shared" si="76"/>
        <v>1</v>
      </c>
      <c r="O940" s="25" t="str">
        <f t="shared" si="77"/>
        <v>jueves</v>
      </c>
      <c r="P940" s="27">
        <f t="shared" si="78"/>
        <v>1</v>
      </c>
      <c r="Q940" s="22" t="str">
        <f t="shared" si="79"/>
        <v>enero</v>
      </c>
    </row>
    <row r="941" spans="1:19" x14ac:dyDescent="0.25">
      <c r="A941">
        <v>9</v>
      </c>
      <c r="B941" t="s">
        <v>1654</v>
      </c>
      <c r="C941" t="s">
        <v>6</v>
      </c>
      <c r="D941" t="s">
        <v>1270</v>
      </c>
      <c r="E941">
        <v>450324951</v>
      </c>
      <c r="H941">
        <v>1740</v>
      </c>
      <c r="I941">
        <v>1200</v>
      </c>
      <c r="J941">
        <v>0</v>
      </c>
      <c r="K941">
        <v>540</v>
      </c>
      <c r="M941" s="39" t="s">
        <v>1644</v>
      </c>
      <c r="N941" s="25">
        <f t="shared" si="76"/>
        <v>1</v>
      </c>
      <c r="O941" s="25" t="str">
        <f t="shared" si="77"/>
        <v>jueves</v>
      </c>
      <c r="P941" s="27">
        <f t="shared" si="78"/>
        <v>1</v>
      </c>
      <c r="Q941" s="22" t="str">
        <f t="shared" si="79"/>
        <v>enero</v>
      </c>
    </row>
    <row r="942" spans="1:19" x14ac:dyDescent="0.25">
      <c r="A942">
        <v>9</v>
      </c>
      <c r="B942" t="s">
        <v>1655</v>
      </c>
      <c r="C942" t="s">
        <v>6</v>
      </c>
      <c r="D942" t="s">
        <v>1656</v>
      </c>
      <c r="E942">
        <v>450323354</v>
      </c>
      <c r="H942">
        <v>1700</v>
      </c>
      <c r="I942">
        <v>1200</v>
      </c>
      <c r="J942">
        <v>0</v>
      </c>
      <c r="K942">
        <v>500</v>
      </c>
      <c r="M942" s="39" t="s">
        <v>1644</v>
      </c>
      <c r="N942" s="25">
        <f t="shared" si="76"/>
        <v>1</v>
      </c>
      <c r="O942" s="25" t="str">
        <f t="shared" si="77"/>
        <v>jueves</v>
      </c>
      <c r="P942" s="27">
        <f t="shared" si="78"/>
        <v>1</v>
      </c>
      <c r="Q942" s="22" t="str">
        <f t="shared" si="79"/>
        <v>enero</v>
      </c>
    </row>
    <row r="943" spans="1:19" x14ac:dyDescent="0.25">
      <c r="A943">
        <v>9</v>
      </c>
      <c r="B943" t="s">
        <v>1657</v>
      </c>
      <c r="C943" t="s">
        <v>6</v>
      </c>
      <c r="D943" t="s">
        <v>1658</v>
      </c>
      <c r="E943">
        <v>450322778</v>
      </c>
      <c r="H943">
        <v>3100</v>
      </c>
      <c r="I943">
        <v>1500</v>
      </c>
      <c r="J943">
        <v>0</v>
      </c>
      <c r="K943">
        <v>1600</v>
      </c>
      <c r="M943" s="39" t="s">
        <v>1644</v>
      </c>
      <c r="N943" s="25">
        <f t="shared" si="76"/>
        <v>1</v>
      </c>
      <c r="O943" s="25" t="str">
        <f t="shared" si="77"/>
        <v>jueves</v>
      </c>
      <c r="P943" s="27">
        <f t="shared" si="78"/>
        <v>1</v>
      </c>
      <c r="Q943" s="22" t="str">
        <f t="shared" si="79"/>
        <v>enero</v>
      </c>
    </row>
    <row r="944" spans="1:19" x14ac:dyDescent="0.25">
      <c r="A944">
        <v>9</v>
      </c>
      <c r="B944" t="s">
        <v>1659</v>
      </c>
      <c r="C944" t="s">
        <v>6</v>
      </c>
      <c r="D944" t="s">
        <v>1660</v>
      </c>
      <c r="E944">
        <v>450322239</v>
      </c>
      <c r="H944">
        <v>1600</v>
      </c>
      <c r="I944">
        <v>1200</v>
      </c>
      <c r="J944">
        <v>0</v>
      </c>
      <c r="K944">
        <v>400</v>
      </c>
      <c r="M944" s="39" t="s">
        <v>1644</v>
      </c>
      <c r="N944" s="25">
        <f t="shared" si="76"/>
        <v>1</v>
      </c>
      <c r="O944" s="25" t="str">
        <f t="shared" si="77"/>
        <v>jueves</v>
      </c>
      <c r="P944" s="27">
        <f t="shared" si="78"/>
        <v>1</v>
      </c>
      <c r="Q944" s="22" t="str">
        <f t="shared" si="79"/>
        <v>enero</v>
      </c>
    </row>
    <row r="945" spans="1:17" x14ac:dyDescent="0.25">
      <c r="A945">
        <v>9</v>
      </c>
      <c r="B945" t="s">
        <v>1661</v>
      </c>
      <c r="C945" t="s">
        <v>6</v>
      </c>
      <c r="D945" t="s">
        <v>1662</v>
      </c>
      <c r="E945">
        <v>450319694</v>
      </c>
      <c r="H945">
        <v>1700</v>
      </c>
      <c r="I945">
        <v>1700</v>
      </c>
      <c r="J945">
        <v>0</v>
      </c>
      <c r="K945">
        <v>0</v>
      </c>
      <c r="M945" s="39" t="s">
        <v>1644</v>
      </c>
      <c r="N945" s="25">
        <f t="shared" si="76"/>
        <v>1</v>
      </c>
      <c r="O945" s="25" t="str">
        <f t="shared" si="77"/>
        <v>jueves</v>
      </c>
      <c r="P945" s="27">
        <f t="shared" si="78"/>
        <v>1</v>
      </c>
      <c r="Q945" s="22" t="str">
        <f t="shared" si="79"/>
        <v>enero</v>
      </c>
    </row>
    <row r="946" spans="1:17" x14ac:dyDescent="0.25">
      <c r="A946">
        <v>9</v>
      </c>
      <c r="B946" t="s">
        <v>1663</v>
      </c>
      <c r="C946" t="s">
        <v>19</v>
      </c>
      <c r="D946" t="s">
        <v>1664</v>
      </c>
      <c r="E946">
        <v>450316840</v>
      </c>
      <c r="F946" t="s">
        <v>1665</v>
      </c>
      <c r="G946">
        <v>450317911</v>
      </c>
      <c r="H946">
        <v>2500</v>
      </c>
      <c r="I946">
        <v>1800</v>
      </c>
      <c r="J946">
        <v>0</v>
      </c>
      <c r="K946">
        <v>700</v>
      </c>
      <c r="M946" s="39" t="s">
        <v>1644</v>
      </c>
      <c r="N946" s="25">
        <f t="shared" si="76"/>
        <v>1</v>
      </c>
      <c r="O946" s="25" t="str">
        <f t="shared" si="77"/>
        <v>jueves</v>
      </c>
      <c r="P946" s="27">
        <f t="shared" si="78"/>
        <v>1</v>
      </c>
      <c r="Q946" s="22" t="str">
        <f t="shared" si="79"/>
        <v>enero</v>
      </c>
    </row>
    <row r="947" spans="1:17" x14ac:dyDescent="0.25">
      <c r="A947">
        <v>9</v>
      </c>
      <c r="B947" t="s">
        <v>1666</v>
      </c>
      <c r="C947" t="s">
        <v>19</v>
      </c>
      <c r="D947" t="s">
        <v>1664</v>
      </c>
      <c r="E947">
        <v>450315791</v>
      </c>
      <c r="H947">
        <v>1900</v>
      </c>
      <c r="I947">
        <v>1900</v>
      </c>
      <c r="J947">
        <v>0</v>
      </c>
      <c r="K947">
        <v>0</v>
      </c>
      <c r="M947" s="39" t="s">
        <v>1644</v>
      </c>
      <c r="N947" s="25">
        <f t="shared" si="76"/>
        <v>1</v>
      </c>
      <c r="O947" s="25" t="str">
        <f t="shared" si="77"/>
        <v>jueves</v>
      </c>
      <c r="P947" s="27">
        <f t="shared" si="78"/>
        <v>1</v>
      </c>
      <c r="Q947" s="22" t="str">
        <f t="shared" si="79"/>
        <v>enero</v>
      </c>
    </row>
    <row r="948" spans="1:17" x14ac:dyDescent="0.25">
      <c r="A948">
        <v>8</v>
      </c>
      <c r="B948" t="s">
        <v>1667</v>
      </c>
      <c r="C948" t="s">
        <v>6</v>
      </c>
      <c r="D948" t="s">
        <v>1660</v>
      </c>
      <c r="E948">
        <v>450314448</v>
      </c>
      <c r="H948">
        <v>1360</v>
      </c>
      <c r="I948">
        <v>1200</v>
      </c>
      <c r="J948">
        <v>0</v>
      </c>
      <c r="K948">
        <v>160</v>
      </c>
      <c r="M948" s="39" t="s">
        <v>1644</v>
      </c>
      <c r="N948" s="25">
        <f t="shared" si="76"/>
        <v>1</v>
      </c>
      <c r="O948" s="25" t="str">
        <f t="shared" si="77"/>
        <v>jueves</v>
      </c>
      <c r="P948" s="27">
        <f t="shared" si="78"/>
        <v>1</v>
      </c>
      <c r="Q948" s="22" t="str">
        <f t="shared" si="79"/>
        <v>enero</v>
      </c>
    </row>
    <row r="949" spans="1:17" x14ac:dyDescent="0.25">
      <c r="A949">
        <v>8</v>
      </c>
      <c r="B949" t="s">
        <v>1668</v>
      </c>
      <c r="C949" t="s">
        <v>6</v>
      </c>
      <c r="D949" t="s">
        <v>1669</v>
      </c>
      <c r="E949">
        <v>450313366</v>
      </c>
      <c r="H949">
        <v>4420</v>
      </c>
      <c r="I949">
        <v>1300</v>
      </c>
      <c r="J949">
        <v>0</v>
      </c>
      <c r="K949">
        <v>3120</v>
      </c>
      <c r="M949" s="39" t="s">
        <v>1644</v>
      </c>
      <c r="N949" s="25">
        <f t="shared" si="76"/>
        <v>1</v>
      </c>
      <c r="O949" s="25" t="str">
        <f t="shared" si="77"/>
        <v>jueves</v>
      </c>
      <c r="P949" s="27">
        <f t="shared" si="78"/>
        <v>1</v>
      </c>
      <c r="Q949" s="22" t="str">
        <f t="shared" si="79"/>
        <v>enero</v>
      </c>
    </row>
    <row r="950" spans="1:17" x14ac:dyDescent="0.25">
      <c r="A950">
        <v>8</v>
      </c>
      <c r="B950" t="s">
        <v>1670</v>
      </c>
      <c r="C950" t="s">
        <v>6</v>
      </c>
      <c r="D950" t="s">
        <v>1671</v>
      </c>
      <c r="E950">
        <v>450312607</v>
      </c>
      <c r="H950">
        <v>2820</v>
      </c>
      <c r="I950">
        <v>1200</v>
      </c>
      <c r="J950">
        <v>0</v>
      </c>
      <c r="K950">
        <v>1620</v>
      </c>
      <c r="M950" s="39" t="s">
        <v>1644</v>
      </c>
      <c r="N950" s="25">
        <f t="shared" si="76"/>
        <v>1</v>
      </c>
      <c r="O950" s="25" t="str">
        <f t="shared" si="77"/>
        <v>jueves</v>
      </c>
      <c r="P950" s="27">
        <f t="shared" si="78"/>
        <v>1</v>
      </c>
      <c r="Q950" s="22" t="str">
        <f t="shared" si="79"/>
        <v>enero</v>
      </c>
    </row>
    <row r="951" spans="1:17" x14ac:dyDescent="0.25">
      <c r="A951">
        <v>7</v>
      </c>
      <c r="B951" t="s">
        <v>1672</v>
      </c>
      <c r="C951" t="s">
        <v>6</v>
      </c>
      <c r="D951" t="s">
        <v>1673</v>
      </c>
      <c r="E951">
        <v>450310997</v>
      </c>
      <c r="H951">
        <v>1550</v>
      </c>
      <c r="I951">
        <v>1200</v>
      </c>
      <c r="J951">
        <v>0</v>
      </c>
      <c r="K951">
        <v>350</v>
      </c>
      <c r="M951" s="39" t="s">
        <v>1644</v>
      </c>
      <c r="N951" s="25">
        <f t="shared" si="76"/>
        <v>1</v>
      </c>
      <c r="O951" s="25" t="str">
        <f t="shared" si="77"/>
        <v>jueves</v>
      </c>
      <c r="P951" s="27">
        <f t="shared" si="78"/>
        <v>1</v>
      </c>
      <c r="Q951" s="22" t="str">
        <f t="shared" si="79"/>
        <v>enero</v>
      </c>
    </row>
    <row r="952" spans="1:17" x14ac:dyDescent="0.25">
      <c r="A952">
        <v>7</v>
      </c>
      <c r="B952" t="s">
        <v>1674</v>
      </c>
      <c r="C952" t="s">
        <v>19</v>
      </c>
      <c r="D952" t="s">
        <v>1675</v>
      </c>
      <c r="E952">
        <v>450309463</v>
      </c>
      <c r="H952">
        <v>1850</v>
      </c>
      <c r="I952">
        <v>1850</v>
      </c>
      <c r="J952">
        <v>0</v>
      </c>
      <c r="K952">
        <v>0</v>
      </c>
      <c r="M952" s="39" t="s">
        <v>1644</v>
      </c>
      <c r="N952" s="25">
        <f t="shared" si="76"/>
        <v>1</v>
      </c>
      <c r="O952" s="25" t="str">
        <f t="shared" si="77"/>
        <v>jueves</v>
      </c>
      <c r="P952" s="27">
        <f t="shared" si="78"/>
        <v>1</v>
      </c>
      <c r="Q952" s="22" t="str">
        <f t="shared" si="79"/>
        <v>enero</v>
      </c>
    </row>
    <row r="953" spans="1:17" x14ac:dyDescent="0.25">
      <c r="A953">
        <v>7</v>
      </c>
      <c r="B953" t="s">
        <v>1676</v>
      </c>
      <c r="C953" t="s">
        <v>6</v>
      </c>
      <c r="D953" t="s">
        <v>1677</v>
      </c>
      <c r="E953">
        <v>450309387</v>
      </c>
      <c r="H953">
        <v>1500</v>
      </c>
      <c r="I953">
        <v>1200</v>
      </c>
      <c r="J953">
        <v>0</v>
      </c>
      <c r="K953">
        <v>300</v>
      </c>
      <c r="M953" s="39" t="s">
        <v>1644</v>
      </c>
      <c r="N953" s="25">
        <f t="shared" si="76"/>
        <v>1</v>
      </c>
      <c r="O953" s="25" t="str">
        <f t="shared" si="77"/>
        <v>jueves</v>
      </c>
      <c r="P953" s="27">
        <f t="shared" si="78"/>
        <v>1</v>
      </c>
      <c r="Q953" s="22" t="str">
        <f t="shared" si="79"/>
        <v>enero</v>
      </c>
    </row>
    <row r="954" spans="1:17" x14ac:dyDescent="0.25">
      <c r="A954">
        <v>6</v>
      </c>
      <c r="B954" t="s">
        <v>1678</v>
      </c>
      <c r="C954" t="s">
        <v>19</v>
      </c>
      <c r="D954" t="s">
        <v>206</v>
      </c>
      <c r="E954">
        <v>450309434</v>
      </c>
      <c r="H954">
        <v>1400</v>
      </c>
      <c r="I954">
        <v>1200</v>
      </c>
      <c r="J954">
        <v>0</v>
      </c>
      <c r="K954">
        <v>200</v>
      </c>
      <c r="M954" s="39" t="s">
        <v>1644</v>
      </c>
      <c r="N954" s="25">
        <f t="shared" si="76"/>
        <v>1</v>
      </c>
      <c r="O954" s="25" t="str">
        <f t="shared" si="77"/>
        <v>jueves</v>
      </c>
      <c r="P954" s="27">
        <f t="shared" si="78"/>
        <v>1</v>
      </c>
      <c r="Q954" s="22" t="str">
        <f t="shared" si="79"/>
        <v>enero</v>
      </c>
    </row>
    <row r="955" spans="1:17" x14ac:dyDescent="0.25">
      <c r="A955">
        <v>6</v>
      </c>
      <c r="B955" t="s">
        <v>744</v>
      </c>
      <c r="C955" t="s">
        <v>6</v>
      </c>
      <c r="D955" t="s">
        <v>1679</v>
      </c>
      <c r="E955">
        <v>450308920</v>
      </c>
      <c r="H955">
        <v>5940</v>
      </c>
      <c r="I955">
        <v>1200</v>
      </c>
      <c r="J955">
        <v>3000</v>
      </c>
      <c r="K955">
        <v>1740</v>
      </c>
      <c r="M955" s="39" t="s">
        <v>1644</v>
      </c>
      <c r="N955" s="25">
        <f t="shared" si="76"/>
        <v>1</v>
      </c>
      <c r="O955" s="25" t="str">
        <f t="shared" si="77"/>
        <v>jueves</v>
      </c>
      <c r="P955" s="27">
        <f t="shared" si="78"/>
        <v>1</v>
      </c>
      <c r="Q955" s="22" t="str">
        <f t="shared" si="79"/>
        <v>enero</v>
      </c>
    </row>
    <row r="956" spans="1:17" x14ac:dyDescent="0.25">
      <c r="A956">
        <v>6</v>
      </c>
      <c r="B956" t="s">
        <v>1680</v>
      </c>
      <c r="C956" t="s">
        <v>6</v>
      </c>
      <c r="D956" t="s">
        <v>1229</v>
      </c>
      <c r="E956">
        <v>450308615</v>
      </c>
      <c r="H956">
        <v>4610</v>
      </c>
      <c r="I956">
        <v>1350</v>
      </c>
      <c r="J956">
        <v>3000</v>
      </c>
      <c r="K956">
        <v>260</v>
      </c>
      <c r="M956" s="39" t="s">
        <v>1644</v>
      </c>
      <c r="N956" s="25">
        <f t="shared" si="76"/>
        <v>1</v>
      </c>
      <c r="O956" s="25" t="str">
        <f t="shared" si="77"/>
        <v>jueves</v>
      </c>
      <c r="P956" s="27">
        <f t="shared" si="78"/>
        <v>1</v>
      </c>
      <c r="Q956" s="22" t="str">
        <f t="shared" si="79"/>
        <v>enero</v>
      </c>
    </row>
    <row r="957" spans="1:17" x14ac:dyDescent="0.25">
      <c r="A957">
        <v>11</v>
      </c>
      <c r="B957" t="s">
        <v>1681</v>
      </c>
      <c r="C957" t="s">
        <v>6</v>
      </c>
      <c r="D957" t="s">
        <v>195</v>
      </c>
      <c r="E957">
        <v>450445010</v>
      </c>
      <c r="H957">
        <v>3660</v>
      </c>
      <c r="I957">
        <v>1200</v>
      </c>
      <c r="J957">
        <v>100</v>
      </c>
      <c r="K957">
        <v>2360</v>
      </c>
      <c r="M957" s="39" t="s">
        <v>1682</v>
      </c>
      <c r="N957" s="25">
        <f t="shared" ref="N957:N994" si="80">DAY(M957)</f>
        <v>2</v>
      </c>
      <c r="O957" s="25" t="str">
        <f t="shared" ref="O957:O994" si="81">TEXT(M957,"DDDD")</f>
        <v>viernes</v>
      </c>
      <c r="P957" s="27">
        <f t="shared" ref="P957:P994" si="82">MONTH(M957)</f>
        <v>1</v>
      </c>
      <c r="Q957" s="22" t="str">
        <f t="shared" ref="Q957:Q994" si="83">TEXT(M957,"MMMM")</f>
        <v>enero</v>
      </c>
    </row>
    <row r="958" spans="1:17" x14ac:dyDescent="0.25">
      <c r="A958">
        <v>12</v>
      </c>
      <c r="B958" t="s">
        <v>1683</v>
      </c>
      <c r="C958" t="s">
        <v>19</v>
      </c>
      <c r="D958" t="s">
        <v>1330</v>
      </c>
      <c r="E958">
        <v>450451533</v>
      </c>
      <c r="H958">
        <v>2000</v>
      </c>
      <c r="I958">
        <v>1200</v>
      </c>
      <c r="J958">
        <v>100</v>
      </c>
      <c r="K958">
        <v>700</v>
      </c>
      <c r="M958" s="39" t="s">
        <v>1682</v>
      </c>
      <c r="N958" s="25">
        <f t="shared" si="80"/>
        <v>2</v>
      </c>
      <c r="O958" s="25" t="str">
        <f t="shared" si="81"/>
        <v>viernes</v>
      </c>
      <c r="P958" s="27">
        <f t="shared" si="82"/>
        <v>1</v>
      </c>
      <c r="Q958" s="22" t="str">
        <f t="shared" si="83"/>
        <v>enero</v>
      </c>
    </row>
    <row r="959" spans="1:17" x14ac:dyDescent="0.25">
      <c r="A959">
        <v>12</v>
      </c>
      <c r="B959" t="s">
        <v>1206</v>
      </c>
      <c r="C959" t="s">
        <v>6</v>
      </c>
      <c r="D959" t="s">
        <v>195</v>
      </c>
      <c r="E959">
        <v>450457459</v>
      </c>
      <c r="F959" t="s">
        <v>195</v>
      </c>
      <c r="G959">
        <v>450458015</v>
      </c>
      <c r="H959">
        <v>3560</v>
      </c>
      <c r="I959">
        <v>1800</v>
      </c>
      <c r="J959">
        <v>200</v>
      </c>
      <c r="K959">
        <v>1560</v>
      </c>
      <c r="M959" s="39" t="s">
        <v>1682</v>
      </c>
      <c r="N959" s="25">
        <f t="shared" si="80"/>
        <v>2</v>
      </c>
      <c r="O959" s="25" t="str">
        <f t="shared" si="81"/>
        <v>viernes</v>
      </c>
      <c r="P959" s="27">
        <f t="shared" si="82"/>
        <v>1</v>
      </c>
      <c r="Q959" s="22" t="str">
        <f t="shared" si="83"/>
        <v>enero</v>
      </c>
    </row>
    <row r="960" spans="1:17" x14ac:dyDescent="0.25">
      <c r="A960">
        <v>12</v>
      </c>
      <c r="B960" t="s">
        <v>1685</v>
      </c>
      <c r="C960" t="s">
        <v>6</v>
      </c>
      <c r="D960" t="s">
        <v>1135</v>
      </c>
      <c r="E960">
        <v>450461754</v>
      </c>
      <c r="H960">
        <v>6830</v>
      </c>
      <c r="I960">
        <v>1750</v>
      </c>
      <c r="J960">
        <v>100</v>
      </c>
      <c r="K960">
        <v>4980</v>
      </c>
      <c r="M960" s="39" t="s">
        <v>1682</v>
      </c>
      <c r="N960" s="25">
        <f t="shared" si="80"/>
        <v>2</v>
      </c>
      <c r="O960" s="25" t="str">
        <f t="shared" si="81"/>
        <v>viernes</v>
      </c>
      <c r="P960" s="27">
        <f t="shared" si="82"/>
        <v>1</v>
      </c>
      <c r="Q960" s="22" t="str">
        <f t="shared" si="83"/>
        <v>enero</v>
      </c>
    </row>
    <row r="961" spans="1:19" x14ac:dyDescent="0.25">
      <c r="A961">
        <v>12</v>
      </c>
      <c r="B961" t="s">
        <v>1370</v>
      </c>
      <c r="C961" t="s">
        <v>6</v>
      </c>
      <c r="D961" t="s">
        <v>1686</v>
      </c>
      <c r="E961">
        <v>450466743</v>
      </c>
      <c r="F961" t="s">
        <v>1684</v>
      </c>
      <c r="G961">
        <v>450466620</v>
      </c>
      <c r="H961">
        <v>3200</v>
      </c>
      <c r="I961">
        <v>1800</v>
      </c>
      <c r="J961">
        <v>200</v>
      </c>
      <c r="K961">
        <v>1200</v>
      </c>
      <c r="M961" s="39" t="s">
        <v>1682</v>
      </c>
      <c r="N961" s="25">
        <f t="shared" si="80"/>
        <v>2</v>
      </c>
      <c r="O961" s="25" t="str">
        <f t="shared" si="81"/>
        <v>viernes</v>
      </c>
      <c r="P961" s="27">
        <f t="shared" si="82"/>
        <v>1</v>
      </c>
      <c r="Q961" s="22" t="str">
        <f t="shared" si="83"/>
        <v>enero</v>
      </c>
    </row>
    <row r="962" spans="1:19" x14ac:dyDescent="0.25">
      <c r="A962">
        <v>12</v>
      </c>
      <c r="B962" t="s">
        <v>1687</v>
      </c>
      <c r="C962" t="s">
        <v>6</v>
      </c>
      <c r="D962" t="s">
        <v>1688</v>
      </c>
      <c r="E962">
        <v>450469376</v>
      </c>
      <c r="H962">
        <v>2460</v>
      </c>
      <c r="I962">
        <v>1500</v>
      </c>
      <c r="J962">
        <v>100</v>
      </c>
      <c r="K962">
        <v>860</v>
      </c>
      <c r="M962" s="39" t="s">
        <v>1682</v>
      </c>
      <c r="N962" s="25">
        <f t="shared" si="80"/>
        <v>2</v>
      </c>
      <c r="O962" s="25" t="str">
        <f t="shared" si="81"/>
        <v>viernes</v>
      </c>
      <c r="P962" s="27">
        <f t="shared" si="82"/>
        <v>1</v>
      </c>
      <c r="Q962" s="22" t="str">
        <f t="shared" si="83"/>
        <v>enero</v>
      </c>
    </row>
    <row r="963" spans="1:19" x14ac:dyDescent="0.25">
      <c r="A963">
        <v>3</v>
      </c>
      <c r="B963" t="s">
        <v>1689</v>
      </c>
      <c r="C963" t="s">
        <v>6</v>
      </c>
      <c r="D963" t="s">
        <v>1085</v>
      </c>
      <c r="E963">
        <v>450478545</v>
      </c>
      <c r="H963">
        <v>1200</v>
      </c>
      <c r="I963">
        <v>1200</v>
      </c>
      <c r="J963">
        <v>0</v>
      </c>
      <c r="K963">
        <v>0</v>
      </c>
      <c r="M963" s="39" t="s">
        <v>1690</v>
      </c>
      <c r="N963" s="25">
        <f t="shared" si="80"/>
        <v>3</v>
      </c>
      <c r="O963" s="25" t="str">
        <f t="shared" si="81"/>
        <v>sábado</v>
      </c>
      <c r="P963" s="27">
        <f t="shared" si="82"/>
        <v>1</v>
      </c>
      <c r="Q963" s="22" t="str">
        <f t="shared" si="83"/>
        <v>enero</v>
      </c>
      <c r="R963" t="s">
        <v>1085</v>
      </c>
      <c r="S963">
        <v>30802</v>
      </c>
    </row>
    <row r="964" spans="1:19" x14ac:dyDescent="0.25">
      <c r="A964">
        <v>3</v>
      </c>
      <c r="B964" t="s">
        <v>1691</v>
      </c>
      <c r="C964" t="s">
        <v>19</v>
      </c>
      <c r="D964" t="s">
        <v>178</v>
      </c>
      <c r="E964">
        <v>450478475</v>
      </c>
      <c r="H964">
        <v>2160</v>
      </c>
      <c r="I964">
        <v>2000</v>
      </c>
      <c r="J964">
        <v>0</v>
      </c>
      <c r="K964">
        <v>160</v>
      </c>
      <c r="M964" s="39" t="s">
        <v>1690</v>
      </c>
      <c r="N964" s="25">
        <f t="shared" si="80"/>
        <v>3</v>
      </c>
      <c r="O964" s="25" t="str">
        <f t="shared" si="81"/>
        <v>sábado</v>
      </c>
      <c r="P964" s="27">
        <f t="shared" si="82"/>
        <v>1</v>
      </c>
      <c r="Q964" s="22" t="str">
        <f t="shared" si="83"/>
        <v>enero</v>
      </c>
    </row>
    <row r="965" spans="1:19" x14ac:dyDescent="0.25">
      <c r="A965">
        <v>3</v>
      </c>
      <c r="B965" t="s">
        <v>1692</v>
      </c>
      <c r="C965" t="s">
        <v>6</v>
      </c>
      <c r="D965" t="s">
        <v>183</v>
      </c>
      <c r="E965">
        <v>450478402</v>
      </c>
      <c r="H965">
        <v>1200</v>
      </c>
      <c r="I965">
        <v>1200</v>
      </c>
      <c r="J965">
        <v>0</v>
      </c>
      <c r="K965">
        <v>0</v>
      </c>
      <c r="M965" s="39" t="s">
        <v>1690</v>
      </c>
      <c r="N965" s="25">
        <f t="shared" si="80"/>
        <v>3</v>
      </c>
      <c r="O965" s="25" t="str">
        <f t="shared" si="81"/>
        <v>sábado</v>
      </c>
      <c r="P965" s="27">
        <f t="shared" si="82"/>
        <v>1</v>
      </c>
      <c r="Q965" s="22" t="str">
        <f t="shared" si="83"/>
        <v>enero</v>
      </c>
    </row>
    <row r="966" spans="1:19" x14ac:dyDescent="0.25">
      <c r="A966">
        <v>3</v>
      </c>
      <c r="B966" t="s">
        <v>1404</v>
      </c>
      <c r="C966" t="s">
        <v>19</v>
      </c>
      <c r="D966" t="s">
        <v>178</v>
      </c>
      <c r="E966">
        <v>450478067</v>
      </c>
      <c r="H966">
        <v>2180</v>
      </c>
      <c r="I966">
        <v>1500</v>
      </c>
      <c r="J966">
        <v>0</v>
      </c>
      <c r="K966">
        <v>680</v>
      </c>
      <c r="M966" s="39" t="s">
        <v>1690</v>
      </c>
      <c r="N966" s="25">
        <f t="shared" si="80"/>
        <v>3</v>
      </c>
      <c r="O966" s="25" t="str">
        <f t="shared" si="81"/>
        <v>sábado</v>
      </c>
      <c r="P966" s="27">
        <f t="shared" si="82"/>
        <v>1</v>
      </c>
      <c r="Q966" s="22" t="str">
        <f t="shared" si="83"/>
        <v>enero</v>
      </c>
    </row>
    <row r="967" spans="1:19" x14ac:dyDescent="0.25">
      <c r="A967">
        <v>2</v>
      </c>
      <c r="B967" t="s">
        <v>1693</v>
      </c>
      <c r="C967" t="s">
        <v>6</v>
      </c>
      <c r="D967" t="s">
        <v>415</v>
      </c>
      <c r="E967">
        <v>450477812</v>
      </c>
      <c r="H967">
        <v>2340</v>
      </c>
      <c r="I967">
        <v>1200</v>
      </c>
      <c r="J967">
        <v>0</v>
      </c>
      <c r="K967">
        <v>1140</v>
      </c>
      <c r="M967" s="39" t="s">
        <v>1690</v>
      </c>
      <c r="N967" s="25">
        <f t="shared" si="80"/>
        <v>3</v>
      </c>
      <c r="O967" s="25" t="str">
        <f t="shared" si="81"/>
        <v>sábado</v>
      </c>
      <c r="P967" s="27">
        <f t="shared" si="82"/>
        <v>1</v>
      </c>
      <c r="Q967" s="22" t="str">
        <f t="shared" si="83"/>
        <v>enero</v>
      </c>
    </row>
    <row r="968" spans="1:19" x14ac:dyDescent="0.25">
      <c r="A968">
        <v>2</v>
      </c>
      <c r="B968" t="s">
        <v>1694</v>
      </c>
      <c r="C968" t="s">
        <v>6</v>
      </c>
      <c r="D968" t="s">
        <v>183</v>
      </c>
      <c r="E968">
        <v>450477641</v>
      </c>
      <c r="F968" t="s">
        <v>183</v>
      </c>
      <c r="G968">
        <v>450477724</v>
      </c>
      <c r="H968">
        <v>2980</v>
      </c>
      <c r="I968">
        <v>1800</v>
      </c>
      <c r="J968">
        <v>0</v>
      </c>
      <c r="K968">
        <v>1180</v>
      </c>
      <c r="M968" s="39" t="s">
        <v>1690</v>
      </c>
      <c r="N968" s="25">
        <f t="shared" si="80"/>
        <v>3</v>
      </c>
      <c r="O968" s="25" t="str">
        <f t="shared" si="81"/>
        <v>sábado</v>
      </c>
      <c r="P968" s="27">
        <f t="shared" si="82"/>
        <v>1</v>
      </c>
      <c r="Q968" s="22" t="str">
        <f t="shared" si="83"/>
        <v>enero</v>
      </c>
    </row>
    <row r="969" spans="1:19" x14ac:dyDescent="0.25">
      <c r="A969">
        <v>2</v>
      </c>
      <c r="B969" t="s">
        <v>1695</v>
      </c>
      <c r="C969" t="s">
        <v>6</v>
      </c>
      <c r="D969" t="s">
        <v>1696</v>
      </c>
      <c r="E969">
        <v>450477550</v>
      </c>
      <c r="H969">
        <v>1350</v>
      </c>
      <c r="I969">
        <v>1350</v>
      </c>
      <c r="J969">
        <v>0</v>
      </c>
      <c r="K969">
        <v>0</v>
      </c>
      <c r="M969" s="39" t="s">
        <v>1690</v>
      </c>
      <c r="N969" s="25">
        <f t="shared" si="80"/>
        <v>3</v>
      </c>
      <c r="O969" s="25" t="str">
        <f t="shared" si="81"/>
        <v>sábado</v>
      </c>
      <c r="P969" s="27">
        <f t="shared" si="82"/>
        <v>1</v>
      </c>
      <c r="Q969" s="22" t="str">
        <f t="shared" si="83"/>
        <v>enero</v>
      </c>
    </row>
    <row r="970" spans="1:19" x14ac:dyDescent="0.25">
      <c r="A970">
        <v>1</v>
      </c>
      <c r="B970" t="s">
        <v>1626</v>
      </c>
      <c r="C970" t="s">
        <v>19</v>
      </c>
      <c r="D970" t="s">
        <v>1502</v>
      </c>
      <c r="E970">
        <v>450476067</v>
      </c>
      <c r="H970">
        <v>1201</v>
      </c>
      <c r="I970">
        <v>1200</v>
      </c>
      <c r="J970">
        <v>0</v>
      </c>
      <c r="K970">
        <v>1</v>
      </c>
      <c r="M970" s="39" t="s">
        <v>1690</v>
      </c>
      <c r="N970" s="25">
        <f t="shared" si="80"/>
        <v>3</v>
      </c>
      <c r="O970" s="25" t="str">
        <f t="shared" si="81"/>
        <v>sábado</v>
      </c>
      <c r="P970" s="27">
        <f t="shared" si="82"/>
        <v>1</v>
      </c>
      <c r="Q970" s="22" t="str">
        <f t="shared" si="83"/>
        <v>enero</v>
      </c>
    </row>
    <row r="971" spans="1:19" x14ac:dyDescent="0.25">
      <c r="A971">
        <v>1</v>
      </c>
      <c r="B971" t="s">
        <v>1697</v>
      </c>
      <c r="C971" t="s">
        <v>6</v>
      </c>
      <c r="D971" t="s">
        <v>281</v>
      </c>
      <c r="E971">
        <v>450474963</v>
      </c>
      <c r="F971" t="s">
        <v>281</v>
      </c>
      <c r="G971">
        <v>450475097</v>
      </c>
      <c r="H971">
        <v>3120</v>
      </c>
      <c r="I971">
        <v>1800</v>
      </c>
      <c r="J971">
        <v>0</v>
      </c>
      <c r="K971">
        <v>1320</v>
      </c>
      <c r="M971" s="39" t="s">
        <v>1690</v>
      </c>
      <c r="N971" s="25">
        <f t="shared" si="80"/>
        <v>3</v>
      </c>
      <c r="O971" s="25" t="str">
        <f t="shared" si="81"/>
        <v>sábado</v>
      </c>
      <c r="P971" s="27">
        <f t="shared" si="82"/>
        <v>1</v>
      </c>
      <c r="Q971" s="22" t="str">
        <f t="shared" si="83"/>
        <v>enero</v>
      </c>
    </row>
    <row r="972" spans="1:19" x14ac:dyDescent="0.25">
      <c r="A972">
        <v>1</v>
      </c>
      <c r="B972" t="s">
        <v>1698</v>
      </c>
      <c r="C972" t="s">
        <v>6</v>
      </c>
      <c r="D972" t="s">
        <v>195</v>
      </c>
      <c r="E972">
        <v>450473836</v>
      </c>
      <c r="H972">
        <v>1200</v>
      </c>
      <c r="I972">
        <v>1200</v>
      </c>
      <c r="J972">
        <v>0</v>
      </c>
      <c r="K972">
        <v>0</v>
      </c>
      <c r="M972" s="39" t="s">
        <v>1690</v>
      </c>
      <c r="N972" s="25">
        <f t="shared" si="80"/>
        <v>3</v>
      </c>
      <c r="O972" s="25" t="str">
        <f t="shared" si="81"/>
        <v>sábado</v>
      </c>
      <c r="P972" s="27">
        <f t="shared" si="82"/>
        <v>1</v>
      </c>
      <c r="Q972" s="22" t="str">
        <f t="shared" si="83"/>
        <v>enero</v>
      </c>
      <c r="R972" t="s">
        <v>195</v>
      </c>
      <c r="S972">
        <v>21980</v>
      </c>
    </row>
    <row r="973" spans="1:19" x14ac:dyDescent="0.25">
      <c r="A973">
        <v>12</v>
      </c>
      <c r="B973" t="s">
        <v>1699</v>
      </c>
      <c r="C973" t="s">
        <v>6</v>
      </c>
      <c r="D973" t="s">
        <v>394</v>
      </c>
      <c r="E973">
        <v>450664738</v>
      </c>
      <c r="F973" t="s">
        <v>1700</v>
      </c>
      <c r="G973">
        <v>450665463</v>
      </c>
      <c r="H973">
        <v>4080</v>
      </c>
      <c r="I973">
        <v>1800</v>
      </c>
      <c r="J973">
        <v>200</v>
      </c>
      <c r="K973">
        <v>2080</v>
      </c>
      <c r="M973" s="39" t="s">
        <v>1701</v>
      </c>
      <c r="N973" s="25">
        <f t="shared" si="80"/>
        <v>4</v>
      </c>
      <c r="O973" s="25" t="str">
        <f t="shared" si="81"/>
        <v>domingo</v>
      </c>
      <c r="P973" s="27">
        <f t="shared" si="82"/>
        <v>1</v>
      </c>
      <c r="Q973" s="22" t="str">
        <f t="shared" si="83"/>
        <v>enero</v>
      </c>
    </row>
    <row r="974" spans="1:19" x14ac:dyDescent="0.25">
      <c r="A974">
        <v>11</v>
      </c>
      <c r="B974" t="s">
        <v>1702</v>
      </c>
      <c r="C974" t="s">
        <v>6</v>
      </c>
      <c r="D974" t="s">
        <v>1703</v>
      </c>
      <c r="E974">
        <v>450637049</v>
      </c>
      <c r="H974">
        <v>2670</v>
      </c>
      <c r="I974">
        <v>1250</v>
      </c>
      <c r="J974">
        <v>100</v>
      </c>
      <c r="K974">
        <v>1320</v>
      </c>
      <c r="M974" s="39" t="s">
        <v>1701</v>
      </c>
      <c r="N974" s="25">
        <f t="shared" si="80"/>
        <v>4</v>
      </c>
      <c r="O974" s="25" t="str">
        <f t="shared" si="81"/>
        <v>domingo</v>
      </c>
      <c r="P974" s="27">
        <f t="shared" si="82"/>
        <v>1</v>
      </c>
      <c r="Q974" s="22" t="str">
        <f t="shared" si="83"/>
        <v>enero</v>
      </c>
    </row>
    <row r="975" spans="1:19" x14ac:dyDescent="0.25">
      <c r="A975">
        <v>11</v>
      </c>
      <c r="B975" t="s">
        <v>1704</v>
      </c>
      <c r="C975" t="s">
        <v>19</v>
      </c>
      <c r="D975" t="s">
        <v>1705</v>
      </c>
      <c r="E975">
        <v>450624899</v>
      </c>
      <c r="H975">
        <v>5000</v>
      </c>
      <c r="I975">
        <v>5000</v>
      </c>
      <c r="J975">
        <v>0</v>
      </c>
      <c r="K975">
        <v>0</v>
      </c>
      <c r="M975" s="39" t="s">
        <v>1701</v>
      </c>
      <c r="N975" s="25">
        <f t="shared" si="80"/>
        <v>4</v>
      </c>
      <c r="O975" s="25" t="str">
        <f t="shared" si="81"/>
        <v>domingo</v>
      </c>
      <c r="P975" s="27">
        <f t="shared" si="82"/>
        <v>1</v>
      </c>
      <c r="Q975" s="22" t="str">
        <f t="shared" si="83"/>
        <v>enero</v>
      </c>
    </row>
    <row r="976" spans="1:19" x14ac:dyDescent="0.25">
      <c r="A976">
        <v>10</v>
      </c>
      <c r="B976" t="s">
        <v>1706</v>
      </c>
      <c r="C976" t="s">
        <v>6</v>
      </c>
      <c r="D976" t="s">
        <v>1707</v>
      </c>
      <c r="E976">
        <v>450619589</v>
      </c>
      <c r="H976">
        <v>2710</v>
      </c>
      <c r="I976">
        <v>1350</v>
      </c>
      <c r="J976">
        <v>0</v>
      </c>
      <c r="K976">
        <v>1360</v>
      </c>
      <c r="M976" s="39" t="s">
        <v>1701</v>
      </c>
      <c r="N976" s="25">
        <f t="shared" si="80"/>
        <v>4</v>
      </c>
      <c r="O976" s="25" t="str">
        <f t="shared" si="81"/>
        <v>domingo</v>
      </c>
      <c r="P976" s="27">
        <f t="shared" si="82"/>
        <v>1</v>
      </c>
      <c r="Q976" s="22" t="str">
        <f t="shared" si="83"/>
        <v>enero</v>
      </c>
    </row>
    <row r="977" spans="1:19" x14ac:dyDescent="0.25">
      <c r="A977">
        <v>11</v>
      </c>
      <c r="B977" t="s">
        <v>1708</v>
      </c>
      <c r="C977" t="s">
        <v>6</v>
      </c>
      <c r="D977" t="s">
        <v>184</v>
      </c>
      <c r="E977">
        <v>450757461</v>
      </c>
      <c r="H977">
        <v>2100</v>
      </c>
      <c r="I977">
        <v>1200</v>
      </c>
      <c r="J977">
        <v>0</v>
      </c>
      <c r="K977">
        <v>900</v>
      </c>
      <c r="M977" s="39" t="s">
        <v>1709</v>
      </c>
      <c r="N977" s="25">
        <f t="shared" si="80"/>
        <v>5</v>
      </c>
      <c r="O977" s="25" t="str">
        <f t="shared" si="81"/>
        <v>lunes</v>
      </c>
      <c r="P977" s="27">
        <f t="shared" si="82"/>
        <v>1</v>
      </c>
      <c r="Q977" s="22" t="str">
        <f t="shared" si="83"/>
        <v>enero</v>
      </c>
    </row>
    <row r="978" spans="1:19" x14ac:dyDescent="0.25">
      <c r="A978">
        <v>11</v>
      </c>
      <c r="B978" t="s">
        <v>1710</v>
      </c>
      <c r="C978" t="s">
        <v>6</v>
      </c>
      <c r="D978" t="s">
        <v>1707</v>
      </c>
      <c r="E978">
        <v>450754229</v>
      </c>
      <c r="H978">
        <v>1200</v>
      </c>
      <c r="I978">
        <v>1200</v>
      </c>
      <c r="J978">
        <v>0</v>
      </c>
      <c r="K978">
        <v>0</v>
      </c>
      <c r="M978" s="39" t="s">
        <v>1709</v>
      </c>
      <c r="N978" s="25">
        <f t="shared" si="80"/>
        <v>5</v>
      </c>
      <c r="O978" s="25" t="str">
        <f t="shared" si="81"/>
        <v>lunes</v>
      </c>
      <c r="P978" s="27">
        <f t="shared" si="82"/>
        <v>1</v>
      </c>
      <c r="Q978" s="22" t="str">
        <f t="shared" si="83"/>
        <v>enero</v>
      </c>
    </row>
    <row r="979" spans="1:19" x14ac:dyDescent="0.25">
      <c r="A979">
        <v>11</v>
      </c>
      <c r="B979" t="s">
        <v>1711</v>
      </c>
      <c r="C979" t="s">
        <v>6</v>
      </c>
      <c r="D979" t="s">
        <v>1712</v>
      </c>
      <c r="E979">
        <v>450751640</v>
      </c>
      <c r="H979">
        <v>1980</v>
      </c>
      <c r="I979">
        <v>1200</v>
      </c>
      <c r="J979">
        <v>0</v>
      </c>
      <c r="K979">
        <v>780</v>
      </c>
      <c r="M979" s="39" t="s">
        <v>1709</v>
      </c>
      <c r="N979" s="25">
        <f t="shared" si="80"/>
        <v>5</v>
      </c>
      <c r="O979" s="25" t="str">
        <f t="shared" si="81"/>
        <v>lunes</v>
      </c>
      <c r="P979" s="27">
        <f t="shared" si="82"/>
        <v>1</v>
      </c>
      <c r="Q979" s="22" t="str">
        <f t="shared" si="83"/>
        <v>enero</v>
      </c>
    </row>
    <row r="980" spans="1:19" x14ac:dyDescent="0.25">
      <c r="A980">
        <v>11</v>
      </c>
      <c r="B980" t="s">
        <v>1713</v>
      </c>
      <c r="C980" t="s">
        <v>6</v>
      </c>
      <c r="D980" t="s">
        <v>394</v>
      </c>
      <c r="E980">
        <v>450746578</v>
      </c>
      <c r="F980" t="s">
        <v>1647</v>
      </c>
      <c r="G980">
        <v>450746488</v>
      </c>
      <c r="H980">
        <v>5840</v>
      </c>
      <c r="I980">
        <v>1800</v>
      </c>
      <c r="J980">
        <v>0</v>
      </c>
      <c r="K980">
        <v>4040</v>
      </c>
      <c r="M980" s="39" t="s">
        <v>1709</v>
      </c>
      <c r="N980" s="25">
        <f t="shared" si="80"/>
        <v>5</v>
      </c>
      <c r="O980" s="25" t="str">
        <f t="shared" si="81"/>
        <v>lunes</v>
      </c>
      <c r="P980" s="27">
        <f t="shared" si="82"/>
        <v>1</v>
      </c>
      <c r="Q980" s="22" t="str">
        <f t="shared" si="83"/>
        <v>enero</v>
      </c>
    </row>
    <row r="981" spans="1:19" x14ac:dyDescent="0.25">
      <c r="A981">
        <v>11</v>
      </c>
      <c r="B981" t="s">
        <v>1714</v>
      </c>
      <c r="C981" t="s">
        <v>19</v>
      </c>
      <c r="D981" t="s">
        <v>1715</v>
      </c>
      <c r="E981">
        <v>450745172</v>
      </c>
      <c r="H981">
        <v>1200</v>
      </c>
      <c r="I981">
        <v>1200</v>
      </c>
      <c r="J981">
        <v>0</v>
      </c>
      <c r="K981">
        <v>0</v>
      </c>
      <c r="M981" s="39" t="s">
        <v>1709</v>
      </c>
      <c r="N981" s="25">
        <f t="shared" si="80"/>
        <v>5</v>
      </c>
      <c r="O981" s="25" t="str">
        <f t="shared" si="81"/>
        <v>lunes</v>
      </c>
      <c r="P981" s="27">
        <f t="shared" si="82"/>
        <v>1</v>
      </c>
      <c r="Q981" s="22" t="str">
        <f t="shared" si="83"/>
        <v>enero</v>
      </c>
    </row>
    <row r="982" spans="1:19" x14ac:dyDescent="0.25">
      <c r="A982">
        <v>10</v>
      </c>
      <c r="B982" t="s">
        <v>1716</v>
      </c>
      <c r="C982" t="s">
        <v>6</v>
      </c>
      <c r="D982" t="s">
        <v>1717</v>
      </c>
      <c r="E982">
        <v>450735171</v>
      </c>
      <c r="H982">
        <v>2850</v>
      </c>
      <c r="I982">
        <v>1250</v>
      </c>
      <c r="J982">
        <v>0</v>
      </c>
      <c r="K982">
        <v>1600</v>
      </c>
      <c r="M982" s="39" t="s">
        <v>1709</v>
      </c>
      <c r="N982" s="25">
        <f t="shared" si="80"/>
        <v>5</v>
      </c>
      <c r="O982" s="25" t="str">
        <f t="shared" si="81"/>
        <v>lunes</v>
      </c>
      <c r="P982" s="27">
        <f t="shared" si="82"/>
        <v>1</v>
      </c>
      <c r="Q982" s="22" t="str">
        <f t="shared" si="83"/>
        <v>enero</v>
      </c>
    </row>
    <row r="983" spans="1:19" x14ac:dyDescent="0.25">
      <c r="A983">
        <v>10</v>
      </c>
      <c r="B983" t="s">
        <v>1718</v>
      </c>
      <c r="C983" t="s">
        <v>6</v>
      </c>
      <c r="D983" t="s">
        <v>1719</v>
      </c>
      <c r="E983">
        <v>450732745</v>
      </c>
      <c r="F983" t="s">
        <v>619</v>
      </c>
      <c r="G983">
        <v>450730909</v>
      </c>
      <c r="H983">
        <v>2580</v>
      </c>
      <c r="I983">
        <v>1800</v>
      </c>
      <c r="J983">
        <v>0</v>
      </c>
      <c r="K983">
        <v>780</v>
      </c>
      <c r="M983" s="39" t="s">
        <v>1709</v>
      </c>
      <c r="N983" s="25">
        <f t="shared" si="80"/>
        <v>5</v>
      </c>
      <c r="O983" s="25" t="str">
        <f t="shared" si="81"/>
        <v>lunes</v>
      </c>
      <c r="P983" s="27">
        <f t="shared" si="82"/>
        <v>1</v>
      </c>
      <c r="Q983" s="22" t="str">
        <f t="shared" si="83"/>
        <v>enero</v>
      </c>
      <c r="R983" t="s">
        <v>1719</v>
      </c>
      <c r="S983">
        <v>27432</v>
      </c>
    </row>
    <row r="984" spans="1:19" x14ac:dyDescent="0.25">
      <c r="A984">
        <v>10</v>
      </c>
      <c r="B984" t="s">
        <v>1720</v>
      </c>
      <c r="C984" t="s">
        <v>19</v>
      </c>
      <c r="D984" t="s">
        <v>246</v>
      </c>
      <c r="E984">
        <v>450724496</v>
      </c>
      <c r="F984" t="s">
        <v>246</v>
      </c>
      <c r="G984">
        <v>450726226</v>
      </c>
      <c r="H984">
        <v>7260</v>
      </c>
      <c r="I984">
        <v>5500</v>
      </c>
      <c r="J984">
        <v>0</v>
      </c>
      <c r="K984">
        <v>1760</v>
      </c>
      <c r="M984" s="39" t="s">
        <v>1709</v>
      </c>
      <c r="N984" s="25">
        <f t="shared" si="80"/>
        <v>5</v>
      </c>
      <c r="O984" s="25" t="str">
        <f t="shared" si="81"/>
        <v>lunes</v>
      </c>
      <c r="P984" s="27">
        <f t="shared" si="82"/>
        <v>1</v>
      </c>
      <c r="Q984" s="22" t="str">
        <f t="shared" si="83"/>
        <v>enero</v>
      </c>
    </row>
    <row r="985" spans="1:19" x14ac:dyDescent="0.25">
      <c r="A985">
        <v>3</v>
      </c>
      <c r="B985" t="s">
        <v>1721</v>
      </c>
      <c r="C985" t="s">
        <v>6</v>
      </c>
      <c r="D985" t="s">
        <v>551</v>
      </c>
      <c r="E985">
        <v>450765739</v>
      </c>
      <c r="H985">
        <v>1200</v>
      </c>
      <c r="I985">
        <v>1200</v>
      </c>
      <c r="J985">
        <v>0</v>
      </c>
      <c r="K985">
        <v>0</v>
      </c>
      <c r="M985" s="39">
        <v>46028</v>
      </c>
      <c r="N985" s="25">
        <f t="shared" si="80"/>
        <v>6</v>
      </c>
      <c r="O985" s="25" t="str">
        <f t="shared" si="81"/>
        <v>martes</v>
      </c>
      <c r="P985" s="27">
        <f t="shared" si="82"/>
        <v>1</v>
      </c>
      <c r="Q985" s="22" t="str">
        <f t="shared" si="83"/>
        <v>enero</v>
      </c>
      <c r="R985" t="s">
        <v>551</v>
      </c>
      <c r="S985">
        <v>9339</v>
      </c>
    </row>
    <row r="986" spans="1:19" x14ac:dyDescent="0.25">
      <c r="A986">
        <v>3</v>
      </c>
      <c r="B986" t="s">
        <v>1722</v>
      </c>
      <c r="C986" t="s">
        <v>19</v>
      </c>
      <c r="D986" t="s">
        <v>1723</v>
      </c>
      <c r="E986">
        <v>450765702</v>
      </c>
      <c r="H986">
        <v>2380</v>
      </c>
      <c r="I986">
        <v>1200</v>
      </c>
      <c r="J986">
        <v>0</v>
      </c>
      <c r="K986">
        <v>1180</v>
      </c>
      <c r="M986" s="39">
        <v>46028</v>
      </c>
      <c r="N986" s="25">
        <f t="shared" si="80"/>
        <v>6</v>
      </c>
      <c r="O986" s="25" t="str">
        <f t="shared" si="81"/>
        <v>martes</v>
      </c>
      <c r="P986" s="27">
        <f t="shared" si="82"/>
        <v>1</v>
      </c>
      <c r="Q986" s="22" t="str">
        <f t="shared" si="83"/>
        <v>enero</v>
      </c>
    </row>
    <row r="987" spans="1:19" x14ac:dyDescent="0.25">
      <c r="A987">
        <v>3</v>
      </c>
      <c r="B987" t="s">
        <v>1724</v>
      </c>
      <c r="C987" t="s">
        <v>6</v>
      </c>
      <c r="D987" t="s">
        <v>1725</v>
      </c>
      <c r="E987">
        <v>450765577</v>
      </c>
      <c r="H987">
        <v>2510</v>
      </c>
      <c r="I987">
        <v>1850</v>
      </c>
      <c r="J987">
        <v>0</v>
      </c>
      <c r="K987">
        <v>660</v>
      </c>
      <c r="M987" s="39">
        <v>46028</v>
      </c>
      <c r="N987" s="25">
        <f t="shared" si="80"/>
        <v>6</v>
      </c>
      <c r="O987" s="25" t="str">
        <f t="shared" si="81"/>
        <v>martes</v>
      </c>
      <c r="P987" s="27">
        <f t="shared" si="82"/>
        <v>1</v>
      </c>
      <c r="Q987" s="22" t="str">
        <f t="shared" si="83"/>
        <v>enero</v>
      </c>
    </row>
    <row r="988" spans="1:19" x14ac:dyDescent="0.25">
      <c r="A988">
        <v>3</v>
      </c>
      <c r="B988" t="s">
        <v>1726</v>
      </c>
      <c r="C988" t="s">
        <v>6</v>
      </c>
      <c r="D988" t="s">
        <v>551</v>
      </c>
      <c r="E988">
        <v>450765467</v>
      </c>
      <c r="F988" t="s">
        <v>1519</v>
      </c>
      <c r="G988">
        <v>450765523</v>
      </c>
      <c r="H988">
        <v>2800</v>
      </c>
      <c r="I988">
        <v>1800</v>
      </c>
      <c r="J988">
        <v>0</v>
      </c>
      <c r="K988">
        <v>1000</v>
      </c>
      <c r="M988" s="39">
        <v>46028</v>
      </c>
      <c r="N988" s="25">
        <f t="shared" si="80"/>
        <v>6</v>
      </c>
      <c r="O988" s="25" t="str">
        <f t="shared" si="81"/>
        <v>martes</v>
      </c>
      <c r="P988" s="27">
        <f t="shared" si="82"/>
        <v>1</v>
      </c>
      <c r="Q988" s="22" t="str">
        <f t="shared" si="83"/>
        <v>enero</v>
      </c>
    </row>
    <row r="989" spans="1:19" x14ac:dyDescent="0.25">
      <c r="A989">
        <v>2</v>
      </c>
      <c r="B989" t="s">
        <v>1727</v>
      </c>
      <c r="C989" t="s">
        <v>6</v>
      </c>
      <c r="D989" t="s">
        <v>476</v>
      </c>
      <c r="E989">
        <v>450764911</v>
      </c>
      <c r="H989">
        <v>4000</v>
      </c>
      <c r="I989">
        <v>1200</v>
      </c>
      <c r="J989">
        <v>0</v>
      </c>
      <c r="K989">
        <v>2800</v>
      </c>
      <c r="M989" s="39">
        <v>46028</v>
      </c>
      <c r="N989" s="25">
        <f t="shared" si="80"/>
        <v>6</v>
      </c>
      <c r="O989" s="25" t="str">
        <f t="shared" si="81"/>
        <v>martes</v>
      </c>
      <c r="P989" s="27">
        <f t="shared" si="82"/>
        <v>1</v>
      </c>
      <c r="Q989" s="22" t="str">
        <f t="shared" si="83"/>
        <v>enero</v>
      </c>
    </row>
    <row r="990" spans="1:19" x14ac:dyDescent="0.25">
      <c r="A990">
        <v>2</v>
      </c>
      <c r="B990" t="s">
        <v>1728</v>
      </c>
      <c r="C990" t="s">
        <v>6</v>
      </c>
      <c r="D990" t="s">
        <v>474</v>
      </c>
      <c r="E990">
        <v>450764710</v>
      </c>
      <c r="H990">
        <v>2680</v>
      </c>
      <c r="I990">
        <v>2400</v>
      </c>
      <c r="J990">
        <v>0</v>
      </c>
      <c r="K990">
        <v>280</v>
      </c>
      <c r="M990" s="39">
        <v>46028</v>
      </c>
      <c r="N990" s="25">
        <f t="shared" si="80"/>
        <v>6</v>
      </c>
      <c r="O990" s="25" t="str">
        <f t="shared" si="81"/>
        <v>martes</v>
      </c>
      <c r="P990" s="27">
        <f t="shared" si="82"/>
        <v>1</v>
      </c>
      <c r="Q990" s="22" t="str">
        <f t="shared" si="83"/>
        <v>enero</v>
      </c>
      <c r="R990" t="s">
        <v>474</v>
      </c>
      <c r="S990">
        <v>7770</v>
      </c>
    </row>
    <row r="991" spans="1:19" x14ac:dyDescent="0.25">
      <c r="A991">
        <v>1</v>
      </c>
      <c r="B991" t="s">
        <v>1626</v>
      </c>
      <c r="C991" t="s">
        <v>6</v>
      </c>
      <c r="D991" t="s">
        <v>599</v>
      </c>
      <c r="E991">
        <v>450764388</v>
      </c>
      <c r="H991">
        <v>3260</v>
      </c>
      <c r="I991">
        <v>1200</v>
      </c>
      <c r="J991">
        <v>0</v>
      </c>
      <c r="K991">
        <v>2060</v>
      </c>
      <c r="M991" s="39">
        <v>46028</v>
      </c>
      <c r="N991" s="25">
        <f t="shared" si="80"/>
        <v>6</v>
      </c>
      <c r="O991" s="25" t="str">
        <f t="shared" si="81"/>
        <v>martes</v>
      </c>
      <c r="P991" s="27">
        <f t="shared" si="82"/>
        <v>1</v>
      </c>
      <c r="Q991" s="22" t="str">
        <f t="shared" si="83"/>
        <v>enero</v>
      </c>
    </row>
    <row r="992" spans="1:19" x14ac:dyDescent="0.25">
      <c r="A992">
        <v>1</v>
      </c>
      <c r="B992" t="s">
        <v>1729</v>
      </c>
      <c r="C992" t="s">
        <v>6</v>
      </c>
      <c r="D992" t="s">
        <v>195</v>
      </c>
      <c r="E992">
        <v>450764195</v>
      </c>
      <c r="H992">
        <v>1200</v>
      </c>
      <c r="I992">
        <v>1200</v>
      </c>
      <c r="J992">
        <v>0</v>
      </c>
      <c r="K992">
        <v>0</v>
      </c>
      <c r="M992" s="39">
        <v>46028</v>
      </c>
      <c r="N992" s="25">
        <f t="shared" si="80"/>
        <v>6</v>
      </c>
      <c r="O992" s="25" t="str">
        <f t="shared" si="81"/>
        <v>martes</v>
      </c>
      <c r="P992" s="27">
        <f t="shared" si="82"/>
        <v>1</v>
      </c>
      <c r="Q992" s="22" t="str">
        <f t="shared" si="83"/>
        <v>enero</v>
      </c>
    </row>
    <row r="993" spans="1:19" x14ac:dyDescent="0.25">
      <c r="A993">
        <v>1</v>
      </c>
      <c r="B993" t="s">
        <v>1730</v>
      </c>
      <c r="C993" t="s">
        <v>6</v>
      </c>
      <c r="D993" t="s">
        <v>184</v>
      </c>
      <c r="E993">
        <v>450763676</v>
      </c>
      <c r="H993">
        <v>1200</v>
      </c>
      <c r="I993">
        <v>1200</v>
      </c>
      <c r="J993">
        <v>0</v>
      </c>
      <c r="K993">
        <v>0</v>
      </c>
      <c r="M993" s="39">
        <v>46028</v>
      </c>
      <c r="N993" s="25">
        <f t="shared" si="80"/>
        <v>6</v>
      </c>
      <c r="O993" s="25" t="str">
        <f t="shared" si="81"/>
        <v>martes</v>
      </c>
      <c r="P993" s="27">
        <f t="shared" si="82"/>
        <v>1</v>
      </c>
      <c r="Q993" s="22" t="str">
        <f t="shared" si="83"/>
        <v>enero</v>
      </c>
    </row>
    <row r="994" spans="1:19" x14ac:dyDescent="0.25">
      <c r="A994">
        <v>1</v>
      </c>
      <c r="B994" t="s">
        <v>1698</v>
      </c>
      <c r="C994" t="s">
        <v>6</v>
      </c>
      <c r="D994" t="s">
        <v>184</v>
      </c>
      <c r="E994">
        <v>450762211</v>
      </c>
      <c r="F994" t="s">
        <v>184</v>
      </c>
      <c r="G994">
        <v>450762285</v>
      </c>
      <c r="H994">
        <v>4640</v>
      </c>
      <c r="I994">
        <v>1800</v>
      </c>
      <c r="J994">
        <v>0</v>
      </c>
      <c r="K994">
        <v>2840</v>
      </c>
      <c r="M994" s="39">
        <v>46028</v>
      </c>
      <c r="N994" s="25">
        <f t="shared" si="80"/>
        <v>6</v>
      </c>
      <c r="O994" s="25" t="str">
        <f t="shared" si="81"/>
        <v>martes</v>
      </c>
      <c r="P994" s="27">
        <f t="shared" si="82"/>
        <v>1</v>
      </c>
      <c r="Q994" s="22" t="str">
        <f t="shared" si="83"/>
        <v>enero</v>
      </c>
    </row>
    <row r="995" spans="1:19" x14ac:dyDescent="0.25">
      <c r="A995">
        <v>8</v>
      </c>
      <c r="B995" t="s">
        <v>1559</v>
      </c>
      <c r="C995" t="s">
        <v>6</v>
      </c>
      <c r="D995" t="s">
        <v>237</v>
      </c>
      <c r="E995">
        <v>450885459</v>
      </c>
      <c r="F995" t="s">
        <v>237</v>
      </c>
      <c r="G995">
        <v>450886084</v>
      </c>
      <c r="H995">
        <v>1800</v>
      </c>
      <c r="I995">
        <v>1800</v>
      </c>
      <c r="J995">
        <v>0</v>
      </c>
      <c r="K995">
        <v>0</v>
      </c>
      <c r="M995" s="39">
        <v>46029</v>
      </c>
      <c r="N995" s="25">
        <f t="shared" ref="N995" si="84">DAY(M995)</f>
        <v>7</v>
      </c>
      <c r="O995" s="25" t="str">
        <f t="shared" ref="O995" si="85">TEXT(M995,"DDDD")</f>
        <v>miércoles</v>
      </c>
      <c r="P995" s="27">
        <f t="shared" ref="P995" si="86">MONTH(M995)</f>
        <v>1</v>
      </c>
      <c r="Q995" s="22" t="str">
        <f t="shared" ref="Q995" si="87">TEXT(M995,"MMMM")</f>
        <v>enero</v>
      </c>
      <c r="R995" t="s">
        <v>237</v>
      </c>
      <c r="S995">
        <f>949.11+23280</f>
        <v>24229.11</v>
      </c>
    </row>
    <row r="996" spans="1:19" x14ac:dyDescent="0.25">
      <c r="A996">
        <v>7</v>
      </c>
      <c r="B996" t="s">
        <v>1731</v>
      </c>
      <c r="C996" t="s">
        <v>19</v>
      </c>
      <c r="D996" t="s">
        <v>1732</v>
      </c>
      <c r="E996">
        <v>450864985</v>
      </c>
      <c r="H996">
        <v>6600</v>
      </c>
      <c r="I996">
        <v>5000</v>
      </c>
      <c r="J996">
        <v>0</v>
      </c>
      <c r="K996">
        <v>1600</v>
      </c>
      <c r="M996" s="39">
        <v>46029</v>
      </c>
      <c r="N996" s="25">
        <f t="shared" ref="N996:N1010" si="88">DAY(M996)</f>
        <v>7</v>
      </c>
      <c r="O996" s="25" t="str">
        <f t="shared" ref="O996:O1010" si="89">TEXT(M996,"DDDD")</f>
        <v>miércoles</v>
      </c>
      <c r="P996" s="27">
        <f t="shared" ref="P996:P1010" si="90">MONTH(M996)</f>
        <v>1</v>
      </c>
      <c r="Q996" s="22" t="str">
        <f t="shared" ref="Q996:Q1010" si="91">TEXT(M996,"MMMM")</f>
        <v>enero</v>
      </c>
    </row>
    <row r="997" spans="1:19" x14ac:dyDescent="0.25">
      <c r="A997">
        <v>6</v>
      </c>
      <c r="B997" t="s">
        <v>1733</v>
      </c>
      <c r="C997" t="s">
        <v>6</v>
      </c>
      <c r="D997" t="s">
        <v>1734</v>
      </c>
      <c r="E997">
        <v>450864930</v>
      </c>
      <c r="H997">
        <v>1720</v>
      </c>
      <c r="I997">
        <v>1200</v>
      </c>
      <c r="J997">
        <v>0</v>
      </c>
      <c r="K997">
        <v>520</v>
      </c>
      <c r="M997" s="39">
        <v>46029</v>
      </c>
      <c r="N997" s="25">
        <f t="shared" si="88"/>
        <v>7</v>
      </c>
      <c r="O997" s="25" t="str">
        <f t="shared" si="89"/>
        <v>miércoles</v>
      </c>
      <c r="P997" s="27">
        <f t="shared" si="90"/>
        <v>1</v>
      </c>
      <c r="Q997" s="22" t="str">
        <f t="shared" si="91"/>
        <v>enero</v>
      </c>
    </row>
    <row r="998" spans="1:19" x14ac:dyDescent="0.25">
      <c r="A998">
        <v>6</v>
      </c>
      <c r="B998" t="s">
        <v>1585</v>
      </c>
      <c r="C998" t="s">
        <v>6</v>
      </c>
      <c r="D998" t="s">
        <v>1735</v>
      </c>
      <c r="E998">
        <v>450863266</v>
      </c>
      <c r="H998">
        <v>1200</v>
      </c>
      <c r="I998">
        <v>1200</v>
      </c>
      <c r="J998">
        <v>0</v>
      </c>
      <c r="K998">
        <v>0</v>
      </c>
      <c r="M998" s="39">
        <v>46029</v>
      </c>
      <c r="N998" s="25">
        <f t="shared" si="88"/>
        <v>7</v>
      </c>
      <c r="O998" s="25" t="str">
        <f t="shared" si="89"/>
        <v>miércoles</v>
      </c>
      <c r="P998" s="27">
        <f t="shared" si="90"/>
        <v>1</v>
      </c>
      <c r="Q998" s="22" t="str">
        <f t="shared" si="91"/>
        <v>enero</v>
      </c>
    </row>
    <row r="999" spans="1:19" x14ac:dyDescent="0.25">
      <c r="A999">
        <v>5</v>
      </c>
      <c r="B999" t="s">
        <v>1736</v>
      </c>
      <c r="C999" t="s">
        <v>6</v>
      </c>
      <c r="D999" t="s">
        <v>1737</v>
      </c>
      <c r="E999">
        <v>450861932</v>
      </c>
      <c r="F999" t="s">
        <v>1737</v>
      </c>
      <c r="G999">
        <v>450861984</v>
      </c>
      <c r="H999">
        <v>6560</v>
      </c>
      <c r="I999">
        <v>1800</v>
      </c>
      <c r="J999">
        <v>0</v>
      </c>
      <c r="K999">
        <v>4760</v>
      </c>
      <c r="M999" s="39">
        <v>46029</v>
      </c>
      <c r="N999" s="25">
        <f t="shared" si="88"/>
        <v>7</v>
      </c>
      <c r="O999" s="25" t="str">
        <f t="shared" si="89"/>
        <v>miércoles</v>
      </c>
      <c r="P999" s="27">
        <f t="shared" si="90"/>
        <v>1</v>
      </c>
      <c r="Q999" s="22" t="str">
        <f t="shared" si="91"/>
        <v>enero</v>
      </c>
    </row>
    <row r="1000" spans="1:19" x14ac:dyDescent="0.25">
      <c r="A1000">
        <v>5</v>
      </c>
      <c r="B1000" t="s">
        <v>1738</v>
      </c>
      <c r="C1000" t="s">
        <v>6</v>
      </c>
      <c r="D1000" t="s">
        <v>1739</v>
      </c>
      <c r="E1000">
        <v>450861034</v>
      </c>
      <c r="H1000">
        <v>2260</v>
      </c>
      <c r="I1000">
        <v>1200</v>
      </c>
      <c r="J1000">
        <v>0</v>
      </c>
      <c r="K1000">
        <v>1060</v>
      </c>
      <c r="M1000" s="39">
        <v>46029</v>
      </c>
      <c r="N1000" s="25">
        <f t="shared" si="88"/>
        <v>7</v>
      </c>
      <c r="O1000" s="25" t="str">
        <f t="shared" si="89"/>
        <v>miércoles</v>
      </c>
      <c r="P1000" s="27">
        <f t="shared" si="90"/>
        <v>1</v>
      </c>
      <c r="Q1000" s="22" t="str">
        <f t="shared" si="91"/>
        <v>enero</v>
      </c>
    </row>
    <row r="1001" spans="1:19" x14ac:dyDescent="0.25">
      <c r="A1001">
        <v>5</v>
      </c>
      <c r="B1001" t="s">
        <v>1740</v>
      </c>
      <c r="C1001" t="s">
        <v>6</v>
      </c>
      <c r="D1001" t="s">
        <v>1741</v>
      </c>
      <c r="E1001">
        <v>450860593</v>
      </c>
      <c r="H1001">
        <v>2190</v>
      </c>
      <c r="I1001">
        <v>1850</v>
      </c>
      <c r="J1001">
        <v>0</v>
      </c>
      <c r="K1001">
        <v>340</v>
      </c>
      <c r="M1001" s="39">
        <v>46029</v>
      </c>
      <c r="N1001" s="25">
        <f t="shared" si="88"/>
        <v>7</v>
      </c>
      <c r="O1001" s="25" t="str">
        <f t="shared" si="89"/>
        <v>miércoles</v>
      </c>
      <c r="P1001" s="27">
        <f t="shared" si="90"/>
        <v>1</v>
      </c>
      <c r="Q1001" s="22" t="str">
        <f t="shared" si="91"/>
        <v>enero</v>
      </c>
    </row>
    <row r="1002" spans="1:19" x14ac:dyDescent="0.25">
      <c r="A1002">
        <v>5</v>
      </c>
      <c r="B1002" t="s">
        <v>1736</v>
      </c>
      <c r="C1002" t="s">
        <v>6</v>
      </c>
      <c r="D1002" t="s">
        <v>1737</v>
      </c>
      <c r="E1002">
        <v>450861932</v>
      </c>
      <c r="F1002" t="s">
        <v>1737</v>
      </c>
      <c r="G1002">
        <v>450861984</v>
      </c>
      <c r="H1002">
        <v>6560</v>
      </c>
      <c r="I1002">
        <v>1800</v>
      </c>
      <c r="J1002">
        <v>0</v>
      </c>
      <c r="K1002">
        <v>4760</v>
      </c>
      <c r="M1002" s="39">
        <v>46029</v>
      </c>
      <c r="N1002" s="25">
        <f t="shared" si="88"/>
        <v>7</v>
      </c>
      <c r="O1002" s="25" t="str">
        <f t="shared" si="89"/>
        <v>miércoles</v>
      </c>
      <c r="P1002" s="27">
        <f t="shared" si="90"/>
        <v>1</v>
      </c>
      <c r="Q1002" s="22" t="str">
        <f t="shared" si="91"/>
        <v>enero</v>
      </c>
    </row>
    <row r="1003" spans="1:19" x14ac:dyDescent="0.25">
      <c r="A1003">
        <v>5</v>
      </c>
      <c r="B1003" t="s">
        <v>1738</v>
      </c>
      <c r="C1003" t="s">
        <v>6</v>
      </c>
      <c r="D1003" t="s">
        <v>1739</v>
      </c>
      <c r="E1003">
        <v>450861034</v>
      </c>
      <c r="H1003">
        <v>2260</v>
      </c>
      <c r="I1003">
        <v>1200</v>
      </c>
      <c r="J1003">
        <v>0</v>
      </c>
      <c r="K1003">
        <v>1060</v>
      </c>
      <c r="M1003" s="39">
        <v>46029</v>
      </c>
      <c r="N1003" s="25">
        <f t="shared" si="88"/>
        <v>7</v>
      </c>
      <c r="O1003" s="25" t="str">
        <f t="shared" si="89"/>
        <v>miércoles</v>
      </c>
      <c r="P1003" s="27">
        <f t="shared" si="90"/>
        <v>1</v>
      </c>
      <c r="Q1003" s="22" t="str">
        <f t="shared" si="91"/>
        <v>enero</v>
      </c>
    </row>
    <row r="1004" spans="1:19" x14ac:dyDescent="0.25">
      <c r="A1004">
        <v>5</v>
      </c>
      <c r="B1004" t="s">
        <v>1740</v>
      </c>
      <c r="C1004" t="s">
        <v>6</v>
      </c>
      <c r="D1004" t="s">
        <v>1741</v>
      </c>
      <c r="E1004">
        <v>450860593</v>
      </c>
      <c r="H1004">
        <v>2190</v>
      </c>
      <c r="I1004">
        <v>1850</v>
      </c>
      <c r="J1004">
        <v>0</v>
      </c>
      <c r="K1004">
        <v>340</v>
      </c>
      <c r="M1004" s="39">
        <v>46029</v>
      </c>
      <c r="N1004" s="25">
        <f t="shared" si="88"/>
        <v>7</v>
      </c>
      <c r="O1004" s="25" t="str">
        <f t="shared" si="89"/>
        <v>miércoles</v>
      </c>
      <c r="P1004" s="27">
        <f t="shared" si="90"/>
        <v>1</v>
      </c>
      <c r="Q1004" s="22" t="str">
        <f t="shared" si="91"/>
        <v>enero</v>
      </c>
    </row>
    <row r="1005" spans="1:19" x14ac:dyDescent="0.25">
      <c r="A1005">
        <v>4</v>
      </c>
      <c r="B1005" t="s">
        <v>1742</v>
      </c>
      <c r="C1005" t="s">
        <v>6</v>
      </c>
      <c r="D1005" t="s">
        <v>1743</v>
      </c>
      <c r="E1005">
        <v>450860356</v>
      </c>
      <c r="H1005">
        <v>1200</v>
      </c>
      <c r="I1005">
        <v>1200</v>
      </c>
      <c r="J1005">
        <v>0</v>
      </c>
      <c r="K1005">
        <v>0</v>
      </c>
      <c r="M1005" s="39">
        <v>46029</v>
      </c>
      <c r="N1005" s="25">
        <f t="shared" si="88"/>
        <v>7</v>
      </c>
      <c r="O1005" s="25" t="str">
        <f t="shared" si="89"/>
        <v>miércoles</v>
      </c>
      <c r="P1005" s="27">
        <f t="shared" si="90"/>
        <v>1</v>
      </c>
      <c r="Q1005" s="22" t="str">
        <f t="shared" si="91"/>
        <v>enero</v>
      </c>
    </row>
    <row r="1006" spans="1:19" x14ac:dyDescent="0.25">
      <c r="A1006">
        <v>4</v>
      </c>
      <c r="B1006" t="s">
        <v>1744</v>
      </c>
      <c r="C1006" t="s">
        <v>19</v>
      </c>
      <c r="D1006" t="s">
        <v>1745</v>
      </c>
      <c r="E1006">
        <v>450860073</v>
      </c>
      <c r="H1006">
        <v>2930</v>
      </c>
      <c r="I1006">
        <v>1650</v>
      </c>
      <c r="J1006">
        <v>0</v>
      </c>
      <c r="K1006">
        <v>1280</v>
      </c>
      <c r="M1006" s="39">
        <v>46029</v>
      </c>
      <c r="N1006" s="25">
        <f t="shared" si="88"/>
        <v>7</v>
      </c>
      <c r="O1006" s="25" t="str">
        <f t="shared" si="89"/>
        <v>miércoles</v>
      </c>
      <c r="P1006" s="27">
        <f t="shared" si="90"/>
        <v>1</v>
      </c>
      <c r="Q1006" s="22" t="str">
        <f t="shared" si="91"/>
        <v>enero</v>
      </c>
    </row>
    <row r="1007" spans="1:19" x14ac:dyDescent="0.25">
      <c r="A1007">
        <v>4</v>
      </c>
      <c r="B1007" t="s">
        <v>1746</v>
      </c>
      <c r="C1007" t="s">
        <v>6</v>
      </c>
      <c r="D1007" t="s">
        <v>241</v>
      </c>
      <c r="E1007">
        <v>450860029</v>
      </c>
      <c r="H1007">
        <v>2650</v>
      </c>
      <c r="I1007">
        <v>2400</v>
      </c>
      <c r="J1007">
        <v>0</v>
      </c>
      <c r="K1007">
        <v>250</v>
      </c>
      <c r="M1007" s="39">
        <v>46029</v>
      </c>
      <c r="N1007" s="25">
        <f t="shared" si="88"/>
        <v>7</v>
      </c>
      <c r="O1007" s="25" t="str">
        <f t="shared" si="89"/>
        <v>miércoles</v>
      </c>
      <c r="P1007" s="27">
        <f t="shared" si="90"/>
        <v>1</v>
      </c>
      <c r="Q1007" s="22" t="str">
        <f t="shared" si="91"/>
        <v>enero</v>
      </c>
    </row>
    <row r="1008" spans="1:19" x14ac:dyDescent="0.25">
      <c r="A1008">
        <v>4</v>
      </c>
      <c r="B1008" t="s">
        <v>1742</v>
      </c>
      <c r="C1008" t="s">
        <v>6</v>
      </c>
      <c r="D1008" t="s">
        <v>1743</v>
      </c>
      <c r="E1008">
        <v>450860356</v>
      </c>
      <c r="H1008">
        <v>1200</v>
      </c>
      <c r="I1008">
        <v>1200</v>
      </c>
      <c r="J1008">
        <v>0</v>
      </c>
      <c r="K1008">
        <v>0</v>
      </c>
      <c r="M1008" s="39">
        <v>46029</v>
      </c>
      <c r="N1008" s="25">
        <f t="shared" si="88"/>
        <v>7</v>
      </c>
      <c r="O1008" s="25" t="str">
        <f t="shared" si="89"/>
        <v>miércoles</v>
      </c>
      <c r="P1008" s="27">
        <f t="shared" si="90"/>
        <v>1</v>
      </c>
      <c r="Q1008" s="22" t="str">
        <f t="shared" si="91"/>
        <v>enero</v>
      </c>
    </row>
    <row r="1009" spans="1:19" x14ac:dyDescent="0.25">
      <c r="A1009">
        <v>4</v>
      </c>
      <c r="B1009" t="s">
        <v>1744</v>
      </c>
      <c r="C1009" t="s">
        <v>19</v>
      </c>
      <c r="D1009" t="s">
        <v>1745</v>
      </c>
      <c r="E1009">
        <v>450860073</v>
      </c>
      <c r="H1009">
        <v>2930</v>
      </c>
      <c r="I1009">
        <v>1650</v>
      </c>
      <c r="J1009">
        <v>0</v>
      </c>
      <c r="K1009">
        <v>1280</v>
      </c>
      <c r="M1009" s="39">
        <v>46029</v>
      </c>
      <c r="N1009" s="25">
        <f t="shared" si="88"/>
        <v>7</v>
      </c>
      <c r="O1009" s="25" t="str">
        <f t="shared" si="89"/>
        <v>miércoles</v>
      </c>
      <c r="P1009" s="27">
        <f t="shared" si="90"/>
        <v>1</v>
      </c>
      <c r="Q1009" s="22" t="str">
        <f t="shared" si="91"/>
        <v>enero</v>
      </c>
    </row>
    <row r="1010" spans="1:19" x14ac:dyDescent="0.25">
      <c r="A1010">
        <v>4</v>
      </c>
      <c r="B1010" t="s">
        <v>1746</v>
      </c>
      <c r="C1010" t="s">
        <v>6</v>
      </c>
      <c r="D1010" t="s">
        <v>241</v>
      </c>
      <c r="E1010">
        <v>450860029</v>
      </c>
      <c r="H1010">
        <v>2650</v>
      </c>
      <c r="I1010">
        <v>2400</v>
      </c>
      <c r="J1010">
        <v>0</v>
      </c>
      <c r="K1010">
        <v>250</v>
      </c>
      <c r="M1010" s="39">
        <v>46029</v>
      </c>
      <c r="N1010" s="25">
        <f t="shared" si="88"/>
        <v>7</v>
      </c>
      <c r="O1010" s="25" t="str">
        <f t="shared" si="89"/>
        <v>miércoles</v>
      </c>
      <c r="P1010" s="27">
        <f t="shared" si="90"/>
        <v>1</v>
      </c>
      <c r="Q1010" s="22" t="str">
        <f t="shared" si="91"/>
        <v>enero</v>
      </c>
    </row>
    <row r="1011" spans="1:19" x14ac:dyDescent="0.25">
      <c r="A1011">
        <v>12</v>
      </c>
      <c r="B1011" t="s">
        <v>1708</v>
      </c>
      <c r="C1011" t="s">
        <v>19</v>
      </c>
      <c r="D1011" t="s">
        <v>416</v>
      </c>
      <c r="E1011">
        <v>451040406</v>
      </c>
      <c r="H1011">
        <v>1201</v>
      </c>
      <c r="I1011">
        <v>1200</v>
      </c>
      <c r="J1011">
        <v>0</v>
      </c>
      <c r="K1011">
        <v>1</v>
      </c>
      <c r="M1011" s="39" t="s">
        <v>1747</v>
      </c>
      <c r="N1011" s="25">
        <f t="shared" ref="N1011:N1016" si="92">DAY(M1011)</f>
        <v>8</v>
      </c>
      <c r="O1011" s="25" t="str">
        <f t="shared" ref="O1011:O1016" si="93">TEXT(M1011,"DDDD")</f>
        <v>jueves</v>
      </c>
      <c r="P1011" s="27">
        <f t="shared" ref="P1011:P1016" si="94">MONTH(M1011)</f>
        <v>1</v>
      </c>
      <c r="Q1011" s="22" t="str">
        <f t="shared" ref="Q1011:Q1016" si="95">TEXT(M1011,"MMMM")</f>
        <v>enero</v>
      </c>
    </row>
    <row r="1012" spans="1:19" x14ac:dyDescent="0.25">
      <c r="A1012">
        <v>11</v>
      </c>
      <c r="B1012" t="s">
        <v>1748</v>
      </c>
      <c r="C1012" t="s">
        <v>6</v>
      </c>
      <c r="D1012" t="s">
        <v>1749</v>
      </c>
      <c r="E1012">
        <v>451031462</v>
      </c>
      <c r="H1012">
        <v>2300</v>
      </c>
      <c r="I1012">
        <v>2100</v>
      </c>
      <c r="J1012">
        <v>0</v>
      </c>
      <c r="K1012">
        <v>200</v>
      </c>
      <c r="M1012" s="39" t="s">
        <v>1747</v>
      </c>
      <c r="N1012" s="25">
        <f t="shared" si="92"/>
        <v>8</v>
      </c>
      <c r="O1012" s="25" t="str">
        <f t="shared" si="93"/>
        <v>jueves</v>
      </c>
      <c r="P1012" s="27">
        <f t="shared" si="94"/>
        <v>1</v>
      </c>
      <c r="Q1012" s="22" t="str">
        <f t="shared" si="95"/>
        <v>enero</v>
      </c>
    </row>
    <row r="1013" spans="1:19" x14ac:dyDescent="0.25">
      <c r="A1013">
        <v>11</v>
      </c>
      <c r="B1013" t="s">
        <v>1750</v>
      </c>
      <c r="C1013" t="s">
        <v>6</v>
      </c>
      <c r="D1013" t="s">
        <v>479</v>
      </c>
      <c r="E1013">
        <v>451024091</v>
      </c>
      <c r="F1013" t="s">
        <v>1751</v>
      </c>
      <c r="G1013">
        <v>451023917</v>
      </c>
      <c r="H1013">
        <v>2410</v>
      </c>
      <c r="I1013">
        <v>1950</v>
      </c>
      <c r="J1013">
        <v>0</v>
      </c>
      <c r="K1013">
        <v>460</v>
      </c>
      <c r="M1013" s="39" t="s">
        <v>1747</v>
      </c>
      <c r="N1013" s="25">
        <f t="shared" si="92"/>
        <v>8</v>
      </c>
      <c r="O1013" s="25" t="str">
        <f t="shared" si="93"/>
        <v>jueves</v>
      </c>
      <c r="P1013" s="27">
        <f t="shared" si="94"/>
        <v>1</v>
      </c>
      <c r="Q1013" s="22" t="str">
        <f t="shared" si="95"/>
        <v>enero</v>
      </c>
    </row>
    <row r="1014" spans="1:19" x14ac:dyDescent="0.25">
      <c r="A1014">
        <v>11</v>
      </c>
      <c r="B1014" t="s">
        <v>1716</v>
      </c>
      <c r="C1014" t="s">
        <v>6</v>
      </c>
      <c r="D1014" t="s">
        <v>1752</v>
      </c>
      <c r="E1014">
        <v>451019092</v>
      </c>
      <c r="H1014">
        <v>3300</v>
      </c>
      <c r="I1014">
        <v>1300</v>
      </c>
      <c r="J1014">
        <v>0</v>
      </c>
      <c r="K1014">
        <v>2000</v>
      </c>
      <c r="M1014" s="39" t="s">
        <v>1747</v>
      </c>
      <c r="N1014" s="25">
        <f t="shared" si="92"/>
        <v>8</v>
      </c>
      <c r="O1014" s="25" t="str">
        <f t="shared" si="93"/>
        <v>jueves</v>
      </c>
      <c r="P1014" s="27">
        <f t="shared" si="94"/>
        <v>1</v>
      </c>
      <c r="Q1014" s="22" t="str">
        <f t="shared" si="95"/>
        <v>enero</v>
      </c>
    </row>
    <row r="1015" spans="1:19" x14ac:dyDescent="0.25">
      <c r="A1015">
        <v>11</v>
      </c>
      <c r="B1015" t="s">
        <v>1612</v>
      </c>
      <c r="C1015" t="s">
        <v>6</v>
      </c>
      <c r="D1015" t="s">
        <v>1196</v>
      </c>
      <c r="E1015">
        <v>451014781</v>
      </c>
      <c r="H1015">
        <v>1700</v>
      </c>
      <c r="I1015">
        <v>1200</v>
      </c>
      <c r="J1015">
        <v>0</v>
      </c>
      <c r="K1015">
        <v>500</v>
      </c>
      <c r="M1015" s="39" t="s">
        <v>1747</v>
      </c>
      <c r="N1015" s="25">
        <f t="shared" si="92"/>
        <v>8</v>
      </c>
      <c r="O1015" s="25" t="str">
        <f t="shared" si="93"/>
        <v>jueves</v>
      </c>
      <c r="P1015" s="27">
        <f t="shared" si="94"/>
        <v>1</v>
      </c>
      <c r="Q1015" s="22" t="str">
        <f t="shared" si="95"/>
        <v>enero</v>
      </c>
    </row>
    <row r="1016" spans="1:19" x14ac:dyDescent="0.25">
      <c r="A1016">
        <v>11</v>
      </c>
      <c r="B1016" t="s">
        <v>1753</v>
      </c>
      <c r="C1016" t="s">
        <v>6</v>
      </c>
      <c r="D1016" t="s">
        <v>1684</v>
      </c>
      <c r="E1016">
        <v>451007503</v>
      </c>
      <c r="F1016" t="s">
        <v>1754</v>
      </c>
      <c r="G1016">
        <v>451009445</v>
      </c>
      <c r="H1016">
        <v>4730</v>
      </c>
      <c r="I1016">
        <v>1950</v>
      </c>
      <c r="J1016">
        <v>0</v>
      </c>
      <c r="K1016">
        <v>2780</v>
      </c>
      <c r="M1016" s="39" t="s">
        <v>1747</v>
      </c>
      <c r="N1016" s="25">
        <f t="shared" si="92"/>
        <v>8</v>
      </c>
      <c r="O1016" s="25" t="str">
        <f t="shared" si="93"/>
        <v>jueves</v>
      </c>
      <c r="P1016" s="27">
        <f t="shared" si="94"/>
        <v>1</v>
      </c>
      <c r="Q1016" s="22" t="str">
        <f t="shared" si="95"/>
        <v>enero</v>
      </c>
    </row>
    <row r="1017" spans="1:19" x14ac:dyDescent="0.25">
      <c r="A1017">
        <v>10</v>
      </c>
      <c r="B1017" t="s">
        <v>1761</v>
      </c>
      <c r="C1017" t="s">
        <v>19</v>
      </c>
      <c r="D1017" t="s">
        <v>453</v>
      </c>
      <c r="E1017">
        <v>451206070</v>
      </c>
      <c r="H1017">
        <v>8420</v>
      </c>
      <c r="I1017">
        <v>5000</v>
      </c>
      <c r="J1017">
        <v>0</v>
      </c>
      <c r="K1017">
        <v>3420</v>
      </c>
      <c r="M1017" s="39" t="s">
        <v>1747</v>
      </c>
      <c r="N1017" s="25">
        <f t="shared" ref="N1017:N1034" si="96">DAY(M1017)</f>
        <v>8</v>
      </c>
      <c r="O1017" s="25" t="str">
        <f t="shared" ref="O1017:O1034" si="97">TEXT(M1017,"DDDD")</f>
        <v>jueves</v>
      </c>
      <c r="P1017" s="27">
        <f t="shared" ref="P1017:P1034" si="98">MONTH(M1017)</f>
        <v>1</v>
      </c>
      <c r="Q1017" s="22" t="str">
        <f t="shared" ref="Q1017:Q1034" si="99">TEXT(M1017,"MMMM")</f>
        <v>enero</v>
      </c>
    </row>
    <row r="1018" spans="1:19" x14ac:dyDescent="0.25">
      <c r="A1018">
        <v>9</v>
      </c>
      <c r="B1018" t="s">
        <v>1762</v>
      </c>
      <c r="C1018" t="s">
        <v>19</v>
      </c>
      <c r="D1018" t="s">
        <v>584</v>
      </c>
      <c r="E1018">
        <v>451206401</v>
      </c>
      <c r="H1018">
        <v>1250</v>
      </c>
      <c r="I1018">
        <v>1250</v>
      </c>
      <c r="J1018">
        <v>0</v>
      </c>
      <c r="K1018">
        <v>0</v>
      </c>
      <c r="M1018" s="39" t="s">
        <v>1747</v>
      </c>
      <c r="N1018" s="25">
        <f t="shared" si="96"/>
        <v>8</v>
      </c>
      <c r="O1018" s="25" t="str">
        <f t="shared" si="97"/>
        <v>jueves</v>
      </c>
      <c r="P1018" s="27">
        <f t="shared" si="98"/>
        <v>1</v>
      </c>
      <c r="Q1018" s="22" t="str">
        <f t="shared" si="99"/>
        <v>enero</v>
      </c>
    </row>
    <row r="1019" spans="1:19" x14ac:dyDescent="0.25">
      <c r="A1019">
        <v>7</v>
      </c>
      <c r="B1019" t="s">
        <v>1518</v>
      </c>
      <c r="C1019" t="s">
        <v>19</v>
      </c>
      <c r="D1019" t="s">
        <v>230</v>
      </c>
      <c r="E1019">
        <v>451181380</v>
      </c>
      <c r="H1019">
        <v>1550</v>
      </c>
      <c r="I1019">
        <v>1200</v>
      </c>
      <c r="J1019">
        <v>0</v>
      </c>
      <c r="K1019">
        <v>350</v>
      </c>
      <c r="M1019" s="39" t="s">
        <v>1747</v>
      </c>
      <c r="N1019" s="25">
        <f t="shared" si="96"/>
        <v>8</v>
      </c>
      <c r="O1019" s="25" t="str">
        <f t="shared" si="97"/>
        <v>jueves</v>
      </c>
      <c r="P1019" s="27">
        <f t="shared" si="98"/>
        <v>1</v>
      </c>
      <c r="Q1019" s="22" t="str">
        <f t="shared" si="99"/>
        <v>enero</v>
      </c>
    </row>
    <row r="1020" spans="1:19" x14ac:dyDescent="0.25">
      <c r="A1020">
        <v>7</v>
      </c>
      <c r="B1020" t="s">
        <v>1763</v>
      </c>
      <c r="C1020" t="s">
        <v>6</v>
      </c>
      <c r="D1020" t="s">
        <v>485</v>
      </c>
      <c r="E1020">
        <v>451177214</v>
      </c>
      <c r="F1020" t="s">
        <v>1100</v>
      </c>
      <c r="G1020" t="s">
        <v>1764</v>
      </c>
      <c r="H1020">
        <v>2380</v>
      </c>
      <c r="I1020">
        <v>1800</v>
      </c>
      <c r="J1020">
        <v>0</v>
      </c>
      <c r="K1020">
        <v>580</v>
      </c>
      <c r="M1020" s="39" t="s">
        <v>1747</v>
      </c>
      <c r="N1020" s="25">
        <f t="shared" si="96"/>
        <v>8</v>
      </c>
      <c r="O1020" s="25" t="str">
        <f t="shared" si="97"/>
        <v>jueves</v>
      </c>
      <c r="P1020" s="27">
        <f t="shared" si="98"/>
        <v>1</v>
      </c>
      <c r="Q1020" s="22" t="str">
        <f t="shared" si="99"/>
        <v>enero</v>
      </c>
      <c r="R1020" t="s">
        <v>485</v>
      </c>
      <c r="S1020">
        <v>33732</v>
      </c>
    </row>
    <row r="1021" spans="1:19" x14ac:dyDescent="0.25">
      <c r="A1021">
        <v>7</v>
      </c>
      <c r="B1021" t="s">
        <v>1765</v>
      </c>
      <c r="C1021" t="s">
        <v>19</v>
      </c>
      <c r="D1021" t="s">
        <v>1171</v>
      </c>
      <c r="E1021">
        <v>451171619</v>
      </c>
      <c r="H1021">
        <v>3200</v>
      </c>
      <c r="I1021">
        <v>2700</v>
      </c>
      <c r="J1021">
        <v>0</v>
      </c>
      <c r="K1021">
        <v>500</v>
      </c>
      <c r="M1021" s="39" t="s">
        <v>1747</v>
      </c>
      <c r="N1021" s="25">
        <f t="shared" si="96"/>
        <v>8</v>
      </c>
      <c r="O1021" s="25" t="str">
        <f t="shared" si="97"/>
        <v>jueves</v>
      </c>
      <c r="P1021" s="27">
        <f t="shared" si="98"/>
        <v>1</v>
      </c>
      <c r="Q1021" s="22" t="str">
        <f t="shared" si="99"/>
        <v>enero</v>
      </c>
    </row>
    <row r="1022" spans="1:19" x14ac:dyDescent="0.25">
      <c r="A1022">
        <v>6</v>
      </c>
      <c r="B1022" t="s">
        <v>1766</v>
      </c>
      <c r="C1022" t="s">
        <v>6</v>
      </c>
      <c r="D1022" t="s">
        <v>1767</v>
      </c>
      <c r="E1022">
        <v>451170694</v>
      </c>
      <c r="H1022">
        <v>1350</v>
      </c>
      <c r="I1022">
        <v>1350</v>
      </c>
      <c r="J1022">
        <v>0</v>
      </c>
      <c r="K1022">
        <v>0</v>
      </c>
      <c r="M1022" s="39" t="s">
        <v>1747</v>
      </c>
      <c r="N1022" s="25">
        <f t="shared" si="96"/>
        <v>8</v>
      </c>
      <c r="O1022" s="25" t="str">
        <f t="shared" si="97"/>
        <v>jueves</v>
      </c>
      <c r="P1022" s="27">
        <f t="shared" si="98"/>
        <v>1</v>
      </c>
      <c r="Q1022" s="22" t="str">
        <f t="shared" si="99"/>
        <v>enero</v>
      </c>
    </row>
    <row r="1023" spans="1:19" x14ac:dyDescent="0.25">
      <c r="A1023">
        <v>6</v>
      </c>
      <c r="B1023" t="s">
        <v>1768</v>
      </c>
      <c r="C1023" t="s">
        <v>6</v>
      </c>
      <c r="D1023" t="s">
        <v>1769</v>
      </c>
      <c r="E1023">
        <v>451169830</v>
      </c>
      <c r="H1023">
        <v>2650</v>
      </c>
      <c r="I1023">
        <v>1550</v>
      </c>
      <c r="J1023">
        <v>0</v>
      </c>
      <c r="K1023">
        <v>1100</v>
      </c>
      <c r="M1023" s="39" t="s">
        <v>1747</v>
      </c>
      <c r="N1023" s="25">
        <f t="shared" si="96"/>
        <v>8</v>
      </c>
      <c r="O1023" s="25" t="str">
        <f t="shared" si="97"/>
        <v>jueves</v>
      </c>
      <c r="P1023" s="27">
        <f t="shared" si="98"/>
        <v>1</v>
      </c>
      <c r="Q1023" s="22" t="str">
        <f t="shared" si="99"/>
        <v>enero</v>
      </c>
    </row>
    <row r="1024" spans="1:19" x14ac:dyDescent="0.25">
      <c r="A1024">
        <v>6</v>
      </c>
      <c r="B1024" t="s">
        <v>1770</v>
      </c>
      <c r="C1024" t="s">
        <v>19</v>
      </c>
      <c r="D1024" t="s">
        <v>1771</v>
      </c>
      <c r="E1024">
        <v>451168859</v>
      </c>
      <c r="H1024">
        <v>2100</v>
      </c>
      <c r="I1024">
        <v>1800</v>
      </c>
      <c r="J1024">
        <v>0</v>
      </c>
      <c r="K1024">
        <v>300</v>
      </c>
      <c r="M1024" s="39" t="s">
        <v>1747</v>
      </c>
      <c r="N1024" s="25">
        <f t="shared" si="96"/>
        <v>8</v>
      </c>
      <c r="O1024" s="25" t="str">
        <f t="shared" si="97"/>
        <v>jueves</v>
      </c>
      <c r="P1024" s="27">
        <f t="shared" si="98"/>
        <v>1</v>
      </c>
      <c r="Q1024" s="22" t="str">
        <f t="shared" si="99"/>
        <v>enero</v>
      </c>
    </row>
    <row r="1025" spans="1:19" x14ac:dyDescent="0.25">
      <c r="A1025">
        <v>6</v>
      </c>
      <c r="B1025" t="s">
        <v>1772</v>
      </c>
      <c r="C1025" t="s">
        <v>6</v>
      </c>
      <c r="D1025" t="s">
        <v>1773</v>
      </c>
      <c r="E1025">
        <v>451167815</v>
      </c>
      <c r="H1025">
        <v>3340</v>
      </c>
      <c r="I1025">
        <v>1200</v>
      </c>
      <c r="J1025">
        <v>0</v>
      </c>
      <c r="K1025">
        <v>2140</v>
      </c>
      <c r="M1025" s="39" t="s">
        <v>1747</v>
      </c>
      <c r="N1025" s="25">
        <f t="shared" si="96"/>
        <v>8</v>
      </c>
      <c r="O1025" s="25" t="str">
        <f t="shared" si="97"/>
        <v>jueves</v>
      </c>
      <c r="P1025" s="27">
        <f t="shared" si="98"/>
        <v>1</v>
      </c>
      <c r="Q1025" s="22" t="str">
        <f t="shared" si="99"/>
        <v>enero</v>
      </c>
    </row>
    <row r="1026" spans="1:19" x14ac:dyDescent="0.25">
      <c r="A1026">
        <v>6</v>
      </c>
      <c r="B1026" t="s">
        <v>1774</v>
      </c>
      <c r="C1026" t="s">
        <v>19</v>
      </c>
      <c r="D1026" t="s">
        <v>815</v>
      </c>
      <c r="E1026">
        <v>451166621</v>
      </c>
      <c r="H1026">
        <v>3860</v>
      </c>
      <c r="I1026">
        <v>2000</v>
      </c>
      <c r="J1026">
        <v>0</v>
      </c>
      <c r="K1026">
        <v>1860</v>
      </c>
      <c r="M1026" s="39" t="s">
        <v>1747</v>
      </c>
      <c r="N1026" s="25">
        <f t="shared" si="96"/>
        <v>8</v>
      </c>
      <c r="O1026" s="25" t="str">
        <f t="shared" si="97"/>
        <v>jueves</v>
      </c>
      <c r="P1026" s="27">
        <f t="shared" si="98"/>
        <v>1</v>
      </c>
      <c r="Q1026" s="22" t="str">
        <f t="shared" si="99"/>
        <v>enero</v>
      </c>
    </row>
    <row r="1027" spans="1:19" x14ac:dyDescent="0.25">
      <c r="A1027">
        <v>5</v>
      </c>
      <c r="B1027" t="s">
        <v>1775</v>
      </c>
      <c r="C1027" t="s">
        <v>6</v>
      </c>
      <c r="D1027" t="s">
        <v>1085</v>
      </c>
      <c r="E1027">
        <v>451163753</v>
      </c>
      <c r="H1027">
        <v>3120</v>
      </c>
      <c r="I1027">
        <v>2000</v>
      </c>
      <c r="J1027">
        <v>0</v>
      </c>
      <c r="K1027">
        <v>1120</v>
      </c>
      <c r="M1027" s="39" t="s">
        <v>1747</v>
      </c>
      <c r="N1027" s="25">
        <f t="shared" si="96"/>
        <v>8</v>
      </c>
      <c r="O1027" s="25" t="str">
        <f t="shared" si="97"/>
        <v>jueves</v>
      </c>
      <c r="P1027" s="27">
        <f t="shared" si="98"/>
        <v>1</v>
      </c>
      <c r="Q1027" s="22" t="str">
        <f t="shared" si="99"/>
        <v>enero</v>
      </c>
    </row>
    <row r="1028" spans="1:19" x14ac:dyDescent="0.25">
      <c r="A1028">
        <v>5</v>
      </c>
      <c r="B1028" t="s">
        <v>1776</v>
      </c>
      <c r="C1028" t="s">
        <v>6</v>
      </c>
      <c r="D1028" t="s">
        <v>241</v>
      </c>
      <c r="E1028">
        <v>451163606</v>
      </c>
      <c r="H1028">
        <v>2280</v>
      </c>
      <c r="I1028">
        <v>1200</v>
      </c>
      <c r="J1028">
        <v>0</v>
      </c>
      <c r="K1028">
        <v>1080</v>
      </c>
      <c r="M1028" s="39" t="s">
        <v>1747</v>
      </c>
      <c r="N1028" s="25">
        <f t="shared" si="96"/>
        <v>8</v>
      </c>
      <c r="O1028" s="25" t="str">
        <f t="shared" si="97"/>
        <v>jueves</v>
      </c>
      <c r="P1028" s="27">
        <f t="shared" si="98"/>
        <v>1</v>
      </c>
      <c r="Q1028" s="22" t="str">
        <f t="shared" si="99"/>
        <v>enero</v>
      </c>
    </row>
    <row r="1029" spans="1:19" x14ac:dyDescent="0.25">
      <c r="A1029">
        <v>4</v>
      </c>
      <c r="B1029" t="s">
        <v>1777</v>
      </c>
      <c r="C1029" t="s">
        <v>6</v>
      </c>
      <c r="D1029" t="s">
        <v>1651</v>
      </c>
      <c r="E1029">
        <v>451163417</v>
      </c>
      <c r="H1029">
        <v>1480</v>
      </c>
      <c r="I1029">
        <v>1200</v>
      </c>
      <c r="J1029">
        <v>0</v>
      </c>
      <c r="K1029">
        <v>280</v>
      </c>
      <c r="M1029" s="39" t="s">
        <v>1747</v>
      </c>
      <c r="N1029" s="25">
        <f t="shared" si="96"/>
        <v>8</v>
      </c>
      <c r="O1029" s="25" t="str">
        <f t="shared" si="97"/>
        <v>jueves</v>
      </c>
      <c r="P1029" s="27">
        <f t="shared" si="98"/>
        <v>1</v>
      </c>
      <c r="Q1029" s="22" t="str">
        <f t="shared" si="99"/>
        <v>enero</v>
      </c>
    </row>
    <row r="1030" spans="1:19" x14ac:dyDescent="0.25">
      <c r="A1030">
        <v>4</v>
      </c>
      <c r="B1030" t="s">
        <v>1778</v>
      </c>
      <c r="C1030" t="s">
        <v>6</v>
      </c>
      <c r="D1030" t="s">
        <v>631</v>
      </c>
      <c r="E1030">
        <v>451163375</v>
      </c>
      <c r="H1030">
        <v>2160</v>
      </c>
      <c r="I1030">
        <v>1200</v>
      </c>
      <c r="J1030">
        <v>0</v>
      </c>
      <c r="K1030">
        <v>960</v>
      </c>
      <c r="M1030" s="39" t="s">
        <v>1747</v>
      </c>
      <c r="N1030" s="25">
        <f t="shared" si="96"/>
        <v>8</v>
      </c>
      <c r="O1030" s="25" t="str">
        <f t="shared" si="97"/>
        <v>jueves</v>
      </c>
      <c r="P1030" s="27">
        <f t="shared" si="98"/>
        <v>1</v>
      </c>
      <c r="Q1030" s="22" t="str">
        <f t="shared" si="99"/>
        <v>enero</v>
      </c>
    </row>
    <row r="1031" spans="1:19" x14ac:dyDescent="0.25">
      <c r="A1031">
        <v>3</v>
      </c>
      <c r="B1031" t="s">
        <v>1779</v>
      </c>
      <c r="C1031" t="s">
        <v>6</v>
      </c>
      <c r="D1031" t="s">
        <v>631</v>
      </c>
      <c r="E1031">
        <v>451162627</v>
      </c>
      <c r="H1031">
        <v>2310</v>
      </c>
      <c r="I1031">
        <v>1750</v>
      </c>
      <c r="J1031">
        <v>0</v>
      </c>
      <c r="K1031">
        <v>560</v>
      </c>
      <c r="M1031" s="39" t="s">
        <v>1747</v>
      </c>
      <c r="N1031" s="25">
        <f t="shared" si="96"/>
        <v>8</v>
      </c>
      <c r="O1031" s="25" t="str">
        <f t="shared" si="97"/>
        <v>jueves</v>
      </c>
      <c r="P1031" s="27">
        <f t="shared" si="98"/>
        <v>1</v>
      </c>
      <c r="Q1031" s="22" t="str">
        <f t="shared" si="99"/>
        <v>enero</v>
      </c>
    </row>
    <row r="1032" spans="1:19" x14ac:dyDescent="0.25">
      <c r="A1032">
        <v>3</v>
      </c>
      <c r="B1032" t="s">
        <v>1780</v>
      </c>
      <c r="C1032" t="s">
        <v>6</v>
      </c>
      <c r="D1032" t="s">
        <v>208</v>
      </c>
      <c r="H1032">
        <v>1400</v>
      </c>
      <c r="I1032">
        <v>1400</v>
      </c>
      <c r="J1032">
        <v>0</v>
      </c>
      <c r="K1032">
        <v>0</v>
      </c>
      <c r="M1032" s="39" t="s">
        <v>1747</v>
      </c>
      <c r="N1032" s="25">
        <f t="shared" si="96"/>
        <v>8</v>
      </c>
      <c r="O1032" s="25" t="str">
        <f t="shared" si="97"/>
        <v>jueves</v>
      </c>
      <c r="P1032" s="27">
        <f t="shared" si="98"/>
        <v>1</v>
      </c>
      <c r="Q1032" s="22" t="str">
        <f t="shared" si="99"/>
        <v>enero</v>
      </c>
    </row>
    <row r="1033" spans="1:19" x14ac:dyDescent="0.25">
      <c r="A1033">
        <v>4</v>
      </c>
      <c r="B1033" t="s">
        <v>1781</v>
      </c>
      <c r="C1033" t="s">
        <v>6</v>
      </c>
      <c r="D1033" t="s">
        <v>631</v>
      </c>
      <c r="E1033">
        <v>451163198</v>
      </c>
      <c r="H1033">
        <v>1650</v>
      </c>
      <c r="I1033">
        <v>1650</v>
      </c>
      <c r="J1033">
        <v>0</v>
      </c>
      <c r="K1033">
        <v>0</v>
      </c>
      <c r="M1033" s="39" t="s">
        <v>1747</v>
      </c>
      <c r="N1033" s="25">
        <f t="shared" si="96"/>
        <v>8</v>
      </c>
      <c r="O1033" s="25" t="str">
        <f t="shared" si="97"/>
        <v>jueves</v>
      </c>
      <c r="P1033" s="27">
        <f t="shared" si="98"/>
        <v>1</v>
      </c>
      <c r="Q1033" s="22" t="str">
        <f t="shared" si="99"/>
        <v>enero</v>
      </c>
    </row>
    <row r="1034" spans="1:19" x14ac:dyDescent="0.25">
      <c r="A1034">
        <v>4</v>
      </c>
      <c r="B1034" t="s">
        <v>1782</v>
      </c>
      <c r="C1034" t="s">
        <v>19</v>
      </c>
      <c r="D1034" t="s">
        <v>1783</v>
      </c>
      <c r="E1034">
        <v>451163311</v>
      </c>
      <c r="H1034">
        <v>2140</v>
      </c>
      <c r="I1034">
        <v>1300</v>
      </c>
      <c r="J1034">
        <v>0</v>
      </c>
      <c r="K1034">
        <v>840</v>
      </c>
      <c r="M1034" s="39" t="s">
        <v>1747</v>
      </c>
      <c r="N1034" s="25">
        <f t="shared" si="96"/>
        <v>8</v>
      </c>
      <c r="O1034" s="25" t="str">
        <f t="shared" si="97"/>
        <v>jueves</v>
      </c>
      <c r="P1034" s="27">
        <f t="shared" si="98"/>
        <v>1</v>
      </c>
      <c r="Q1034" s="22" t="str">
        <f t="shared" si="99"/>
        <v>enero</v>
      </c>
    </row>
    <row r="1035" spans="1:19" x14ac:dyDescent="0.25">
      <c r="A1035">
        <v>2</v>
      </c>
      <c r="B1035" t="s">
        <v>1755</v>
      </c>
      <c r="C1035" t="s">
        <v>6</v>
      </c>
      <c r="D1035" t="s">
        <v>368</v>
      </c>
      <c r="E1035">
        <v>451046979</v>
      </c>
      <c r="H1035">
        <v>2220</v>
      </c>
      <c r="I1035">
        <v>1200</v>
      </c>
      <c r="J1035">
        <v>0</v>
      </c>
      <c r="K1035">
        <v>1020</v>
      </c>
      <c r="M1035" s="39" t="s">
        <v>1756</v>
      </c>
      <c r="N1035" s="25">
        <f>DAY(M1035)</f>
        <v>9</v>
      </c>
      <c r="O1035" s="25" t="str">
        <f>TEXT(M1035,"DDDD")</f>
        <v>viernes</v>
      </c>
      <c r="P1035" s="27">
        <f>MONTH(M1035)</f>
        <v>1</v>
      </c>
      <c r="Q1035" s="22" t="str">
        <f>TEXT(M1035,"MMMM")</f>
        <v>enero</v>
      </c>
      <c r="R1035" t="s">
        <v>184</v>
      </c>
      <c r="S1035">
        <v>52960</v>
      </c>
    </row>
    <row r="1036" spans="1:19" x14ac:dyDescent="0.25">
      <c r="A1036">
        <v>1</v>
      </c>
      <c r="B1036" t="s">
        <v>1757</v>
      </c>
      <c r="C1036" t="s">
        <v>6</v>
      </c>
      <c r="D1036" t="s">
        <v>184</v>
      </c>
      <c r="E1036">
        <v>451046660</v>
      </c>
      <c r="H1036">
        <v>1200</v>
      </c>
      <c r="I1036">
        <v>1200</v>
      </c>
      <c r="J1036">
        <v>0</v>
      </c>
      <c r="K1036">
        <v>0</v>
      </c>
      <c r="M1036" s="39">
        <v>46031</v>
      </c>
      <c r="N1036" s="25">
        <f t="shared" ref="N1036:N1038" si="100">DAY(M1036)</f>
        <v>9</v>
      </c>
      <c r="O1036" s="25" t="str">
        <f t="shared" ref="O1036:O1038" si="101">TEXT(M1036,"DDDD")</f>
        <v>viernes</v>
      </c>
      <c r="P1036" s="27">
        <f t="shared" ref="P1036:P1038" si="102">MONTH(M1036)</f>
        <v>1</v>
      </c>
      <c r="Q1036" s="22" t="str">
        <f t="shared" ref="Q1036:Q1038" si="103">TEXT(M1036,"MMMM")</f>
        <v>enero</v>
      </c>
    </row>
    <row r="1037" spans="1:19" x14ac:dyDescent="0.25">
      <c r="A1037">
        <v>1</v>
      </c>
      <c r="B1037" t="s">
        <v>1758</v>
      </c>
      <c r="C1037" t="s">
        <v>6</v>
      </c>
      <c r="D1037" t="s">
        <v>779</v>
      </c>
      <c r="E1037">
        <v>451045448</v>
      </c>
      <c r="H1037">
        <v>2500</v>
      </c>
      <c r="I1037">
        <v>1700</v>
      </c>
      <c r="J1037">
        <v>0</v>
      </c>
      <c r="K1037">
        <v>800</v>
      </c>
      <c r="M1037" s="39">
        <v>46031</v>
      </c>
      <c r="N1037" s="25">
        <f>DAY(M1037)</f>
        <v>9</v>
      </c>
      <c r="O1037" s="25" t="str">
        <f>TEXT(M1037,"DDDD")</f>
        <v>viernes</v>
      </c>
      <c r="P1037" s="27">
        <f>MONTH(M1037)</f>
        <v>1</v>
      </c>
      <c r="Q1037" s="22" t="str">
        <f>TEXT(M1037,"MMMM")</f>
        <v>enero</v>
      </c>
    </row>
    <row r="1038" spans="1:19" x14ac:dyDescent="0.25">
      <c r="A1038">
        <v>1</v>
      </c>
      <c r="B1038" t="s">
        <v>1759</v>
      </c>
      <c r="C1038" t="s">
        <v>6</v>
      </c>
      <c r="D1038" t="s">
        <v>1760</v>
      </c>
      <c r="E1038">
        <v>451043187</v>
      </c>
      <c r="H1038">
        <v>1350</v>
      </c>
      <c r="I1038">
        <v>1350</v>
      </c>
      <c r="J1038">
        <v>0</v>
      </c>
      <c r="K1038">
        <v>0</v>
      </c>
      <c r="M1038" s="39">
        <v>46031</v>
      </c>
      <c r="N1038" s="25">
        <f t="shared" si="100"/>
        <v>9</v>
      </c>
      <c r="O1038" s="25" t="str">
        <f t="shared" si="101"/>
        <v>viernes</v>
      </c>
      <c r="P1038" s="27">
        <f t="shared" si="102"/>
        <v>1</v>
      </c>
      <c r="Q1038" s="22" t="str">
        <f t="shared" si="103"/>
        <v>enero</v>
      </c>
    </row>
    <row r="1039" spans="1:19" x14ac:dyDescent="0.25">
      <c r="A1039">
        <v>10</v>
      </c>
      <c r="B1039" t="s">
        <v>1761</v>
      </c>
      <c r="C1039" t="s">
        <v>19</v>
      </c>
      <c r="D1039" t="s">
        <v>1784</v>
      </c>
      <c r="H1039">
        <v>8420</v>
      </c>
      <c r="I1039">
        <v>5000</v>
      </c>
      <c r="J1039">
        <v>0</v>
      </c>
      <c r="K1039">
        <v>3420</v>
      </c>
      <c r="L1039" s="62">
        <v>3.2839999999999998</v>
      </c>
      <c r="M1039" s="39">
        <v>46032</v>
      </c>
      <c r="N1039" s="25">
        <f t="shared" ref="N1039:N1056" si="104">DAY(M1039)</f>
        <v>10</v>
      </c>
      <c r="O1039" s="25" t="str">
        <f t="shared" ref="O1039:O1056" si="105">TEXT(M1039,"DDDD")</f>
        <v>sábado</v>
      </c>
      <c r="P1039" s="27">
        <f t="shared" ref="P1039:P1056" si="106">MONTH(M1039)</f>
        <v>1</v>
      </c>
      <c r="Q1039" s="22" t="str">
        <f t="shared" ref="Q1039:Q1056" si="107">TEXT(M1039,"MMMM")</f>
        <v>enero</v>
      </c>
    </row>
    <row r="1040" spans="1:19" x14ac:dyDescent="0.25">
      <c r="A1040">
        <v>9</v>
      </c>
      <c r="B1040" t="s">
        <v>1762</v>
      </c>
      <c r="C1040" t="s">
        <v>19</v>
      </c>
      <c r="D1040" t="s">
        <v>584</v>
      </c>
      <c r="H1040">
        <v>1250</v>
      </c>
      <c r="I1040">
        <v>1250</v>
      </c>
      <c r="J1040">
        <v>0</v>
      </c>
      <c r="K1040">
        <v>0</v>
      </c>
      <c r="L1040" s="62">
        <v>1.6819999999999999</v>
      </c>
      <c r="M1040" s="39">
        <v>46032</v>
      </c>
      <c r="N1040" s="25">
        <f t="shared" si="104"/>
        <v>10</v>
      </c>
      <c r="O1040" s="25" t="str">
        <f t="shared" si="105"/>
        <v>sábado</v>
      </c>
      <c r="P1040" s="27">
        <f t="shared" si="106"/>
        <v>1</v>
      </c>
      <c r="Q1040" s="22" t="str">
        <f t="shared" si="107"/>
        <v>enero</v>
      </c>
    </row>
    <row r="1041" spans="1:19" x14ac:dyDescent="0.25">
      <c r="A1041">
        <v>7</v>
      </c>
      <c r="B1041" t="s">
        <v>1518</v>
      </c>
      <c r="C1041" t="s">
        <v>19</v>
      </c>
      <c r="D1041" t="s">
        <v>230</v>
      </c>
      <c r="H1041">
        <v>1550</v>
      </c>
      <c r="I1041">
        <v>1200</v>
      </c>
      <c r="J1041">
        <v>0</v>
      </c>
      <c r="K1041">
        <v>350</v>
      </c>
      <c r="L1041" s="62">
        <v>2.0659999999999998</v>
      </c>
      <c r="M1041" s="39">
        <v>46032</v>
      </c>
      <c r="N1041" s="25">
        <f t="shared" si="104"/>
        <v>10</v>
      </c>
      <c r="O1041" s="25" t="str">
        <f t="shared" si="105"/>
        <v>sábado</v>
      </c>
      <c r="P1041" s="27">
        <f t="shared" si="106"/>
        <v>1</v>
      </c>
      <c r="Q1041" s="22" t="str">
        <f t="shared" si="107"/>
        <v>enero</v>
      </c>
    </row>
    <row r="1042" spans="1:19" x14ac:dyDescent="0.25">
      <c r="A1042">
        <v>7</v>
      </c>
      <c r="B1042" t="s">
        <v>1763</v>
      </c>
      <c r="C1042" t="s">
        <v>6</v>
      </c>
      <c r="D1042" t="s">
        <v>485</v>
      </c>
      <c r="E1042">
        <v>451177214</v>
      </c>
      <c r="F1042" t="s">
        <v>1100</v>
      </c>
      <c r="G1042">
        <v>451176477</v>
      </c>
      <c r="H1042">
        <v>2380</v>
      </c>
      <c r="I1042">
        <v>1800</v>
      </c>
      <c r="J1042">
        <v>0</v>
      </c>
      <c r="K1042">
        <v>580</v>
      </c>
      <c r="L1042" s="62">
        <v>0.93899999999999995</v>
      </c>
      <c r="M1042" s="39">
        <v>46032</v>
      </c>
      <c r="N1042" s="25">
        <f t="shared" si="104"/>
        <v>10</v>
      </c>
      <c r="O1042" s="25" t="str">
        <f t="shared" si="105"/>
        <v>sábado</v>
      </c>
      <c r="P1042" s="27">
        <f t="shared" si="106"/>
        <v>1</v>
      </c>
      <c r="Q1042" s="22" t="str">
        <f t="shared" si="107"/>
        <v>enero</v>
      </c>
      <c r="R1042" t="s">
        <v>485</v>
      </c>
      <c r="S1042">
        <v>33732</v>
      </c>
    </row>
    <row r="1043" spans="1:19" x14ac:dyDescent="0.25">
      <c r="A1043">
        <v>7</v>
      </c>
      <c r="B1043" t="s">
        <v>1765</v>
      </c>
      <c r="C1043" t="s">
        <v>19</v>
      </c>
      <c r="D1043" t="s">
        <v>1785</v>
      </c>
      <c r="E1043">
        <v>451171619</v>
      </c>
      <c r="H1043">
        <v>3200</v>
      </c>
      <c r="I1043">
        <v>2700</v>
      </c>
      <c r="J1043">
        <v>0</v>
      </c>
      <c r="K1043">
        <v>500</v>
      </c>
      <c r="L1043" s="62">
        <v>1.579</v>
      </c>
      <c r="M1043" s="39">
        <v>46032</v>
      </c>
      <c r="N1043" s="25">
        <f t="shared" si="104"/>
        <v>10</v>
      </c>
      <c r="O1043" s="25" t="str">
        <f t="shared" si="105"/>
        <v>sábado</v>
      </c>
      <c r="P1043" s="27">
        <f t="shared" si="106"/>
        <v>1</v>
      </c>
      <c r="Q1043" s="22" t="str">
        <f t="shared" si="107"/>
        <v>enero</v>
      </c>
    </row>
    <row r="1044" spans="1:19" x14ac:dyDescent="0.25">
      <c r="A1044">
        <v>6</v>
      </c>
      <c r="B1044" t="s">
        <v>1766</v>
      </c>
      <c r="C1044" t="s">
        <v>6</v>
      </c>
      <c r="D1044" t="s">
        <v>1767</v>
      </c>
      <c r="E1044">
        <v>451170694</v>
      </c>
      <c r="H1044">
        <v>1350</v>
      </c>
      <c r="I1044">
        <v>1350</v>
      </c>
      <c r="J1044">
        <v>0</v>
      </c>
      <c r="K1044">
        <v>0</v>
      </c>
      <c r="L1044" s="62">
        <v>1.7050000000000001</v>
      </c>
      <c r="M1044" s="39">
        <v>46032</v>
      </c>
      <c r="N1044" s="25">
        <f t="shared" si="104"/>
        <v>10</v>
      </c>
      <c r="O1044" s="25" t="str">
        <f t="shared" si="105"/>
        <v>sábado</v>
      </c>
      <c r="P1044" s="27">
        <f t="shared" si="106"/>
        <v>1</v>
      </c>
      <c r="Q1044" s="22" t="str">
        <f t="shared" si="107"/>
        <v>enero</v>
      </c>
    </row>
    <row r="1045" spans="1:19" x14ac:dyDescent="0.25">
      <c r="A1045">
        <v>6</v>
      </c>
      <c r="B1045" t="s">
        <v>1768</v>
      </c>
      <c r="C1045" t="s">
        <v>6</v>
      </c>
      <c r="D1045" t="s">
        <v>1769</v>
      </c>
      <c r="E1045">
        <v>451169830</v>
      </c>
      <c r="H1045">
        <v>2650</v>
      </c>
      <c r="I1045">
        <v>1550</v>
      </c>
      <c r="J1045">
        <v>0</v>
      </c>
      <c r="K1045">
        <v>1100</v>
      </c>
      <c r="L1045" s="62">
        <v>2.7149999999999999</v>
      </c>
      <c r="M1045" s="39">
        <v>46032</v>
      </c>
      <c r="N1045" s="25">
        <f t="shared" si="104"/>
        <v>10</v>
      </c>
      <c r="O1045" s="25" t="str">
        <f t="shared" si="105"/>
        <v>sábado</v>
      </c>
      <c r="P1045" s="27">
        <f t="shared" si="106"/>
        <v>1</v>
      </c>
      <c r="Q1045" s="22" t="str">
        <f t="shared" si="107"/>
        <v>enero</v>
      </c>
    </row>
    <row r="1046" spans="1:19" x14ac:dyDescent="0.25">
      <c r="A1046">
        <v>6</v>
      </c>
      <c r="B1046" t="s">
        <v>1770</v>
      </c>
      <c r="C1046" t="s">
        <v>19</v>
      </c>
      <c r="D1046" t="s">
        <v>1771</v>
      </c>
      <c r="E1046">
        <v>451168859</v>
      </c>
      <c r="H1046">
        <v>2100</v>
      </c>
      <c r="I1046">
        <v>1800</v>
      </c>
      <c r="J1046">
        <v>0</v>
      </c>
      <c r="K1046">
        <v>300</v>
      </c>
      <c r="L1046" s="62">
        <v>2.786</v>
      </c>
      <c r="M1046" s="39">
        <v>46032</v>
      </c>
      <c r="N1046" s="25">
        <f t="shared" si="104"/>
        <v>10</v>
      </c>
      <c r="O1046" s="25" t="str">
        <f t="shared" si="105"/>
        <v>sábado</v>
      </c>
      <c r="P1046" s="27">
        <f t="shared" si="106"/>
        <v>1</v>
      </c>
      <c r="Q1046" s="22" t="str">
        <f t="shared" si="107"/>
        <v>enero</v>
      </c>
    </row>
    <row r="1047" spans="1:19" x14ac:dyDescent="0.25">
      <c r="A1047">
        <v>6</v>
      </c>
      <c r="B1047" t="s">
        <v>1786</v>
      </c>
      <c r="C1047" t="s">
        <v>6</v>
      </c>
      <c r="D1047" t="s">
        <v>1773</v>
      </c>
      <c r="E1047">
        <v>451167815</v>
      </c>
      <c r="H1047">
        <v>3340</v>
      </c>
      <c r="I1047">
        <v>1200</v>
      </c>
      <c r="J1047">
        <v>0</v>
      </c>
      <c r="K1047">
        <v>2140</v>
      </c>
      <c r="L1047" s="62">
        <v>0.91</v>
      </c>
      <c r="M1047" s="39">
        <v>46032</v>
      </c>
      <c r="N1047" s="25">
        <f t="shared" si="104"/>
        <v>10</v>
      </c>
      <c r="O1047" s="25" t="str">
        <f t="shared" si="105"/>
        <v>sábado</v>
      </c>
      <c r="P1047" s="27">
        <f t="shared" si="106"/>
        <v>1</v>
      </c>
      <c r="Q1047" s="22" t="str">
        <f t="shared" si="107"/>
        <v>enero</v>
      </c>
    </row>
    <row r="1048" spans="1:19" x14ac:dyDescent="0.25">
      <c r="A1048">
        <v>6</v>
      </c>
      <c r="B1048" t="s">
        <v>1787</v>
      </c>
      <c r="C1048" t="s">
        <v>19</v>
      </c>
      <c r="D1048" t="s">
        <v>815</v>
      </c>
      <c r="E1048">
        <v>451166621</v>
      </c>
      <c r="H1048">
        <v>3860</v>
      </c>
      <c r="I1048">
        <v>2000</v>
      </c>
      <c r="J1048">
        <v>0</v>
      </c>
      <c r="K1048">
        <v>1860</v>
      </c>
      <c r="L1048" s="62">
        <v>0.74399999999999999</v>
      </c>
      <c r="M1048" s="39">
        <v>46032</v>
      </c>
      <c r="N1048" s="25">
        <f t="shared" si="104"/>
        <v>10</v>
      </c>
      <c r="O1048" s="25" t="str">
        <f t="shared" si="105"/>
        <v>sábado</v>
      </c>
      <c r="P1048" s="27">
        <f t="shared" si="106"/>
        <v>1</v>
      </c>
      <c r="Q1048" s="22" t="str">
        <f t="shared" si="107"/>
        <v>enero</v>
      </c>
    </row>
    <row r="1049" spans="1:19" x14ac:dyDescent="0.25">
      <c r="A1049">
        <v>5</v>
      </c>
      <c r="B1049" t="s">
        <v>823</v>
      </c>
      <c r="C1049" t="s">
        <v>6</v>
      </c>
      <c r="D1049" t="s">
        <v>1085</v>
      </c>
      <c r="E1049">
        <v>451163753</v>
      </c>
      <c r="H1049">
        <v>3120</v>
      </c>
      <c r="I1049">
        <v>2000</v>
      </c>
      <c r="J1049">
        <v>0</v>
      </c>
      <c r="K1049">
        <v>1120</v>
      </c>
      <c r="L1049" s="62">
        <v>2.95</v>
      </c>
      <c r="M1049" s="39">
        <v>46032</v>
      </c>
      <c r="N1049" s="25">
        <f t="shared" si="104"/>
        <v>10</v>
      </c>
      <c r="O1049" s="25" t="str">
        <f t="shared" si="105"/>
        <v>sábado</v>
      </c>
      <c r="P1049" s="27">
        <f t="shared" si="106"/>
        <v>1</v>
      </c>
      <c r="Q1049" s="22" t="str">
        <f t="shared" si="107"/>
        <v>enero</v>
      </c>
    </row>
    <row r="1050" spans="1:19" x14ac:dyDescent="0.25">
      <c r="A1050">
        <v>5</v>
      </c>
      <c r="B1050" t="s">
        <v>1788</v>
      </c>
      <c r="C1050" t="s">
        <v>6</v>
      </c>
      <c r="D1050" t="s">
        <v>241</v>
      </c>
      <c r="E1050">
        <v>451163606</v>
      </c>
      <c r="H1050">
        <v>2280</v>
      </c>
      <c r="I1050">
        <v>1200</v>
      </c>
      <c r="J1050">
        <v>0</v>
      </c>
      <c r="K1050">
        <v>1080</v>
      </c>
      <c r="L1050" s="62">
        <v>1.6359999999999999</v>
      </c>
      <c r="M1050" s="39">
        <v>46032</v>
      </c>
      <c r="N1050" s="25">
        <f t="shared" si="104"/>
        <v>10</v>
      </c>
      <c r="O1050" s="25" t="str">
        <f t="shared" si="105"/>
        <v>sábado</v>
      </c>
      <c r="P1050" s="27">
        <f t="shared" si="106"/>
        <v>1</v>
      </c>
      <c r="Q1050" s="22" t="str">
        <f t="shared" si="107"/>
        <v>enero</v>
      </c>
    </row>
    <row r="1051" spans="1:19" x14ac:dyDescent="0.25">
      <c r="A1051">
        <v>4</v>
      </c>
      <c r="B1051" t="s">
        <v>1789</v>
      </c>
      <c r="C1051" t="s">
        <v>6</v>
      </c>
      <c r="D1051" t="s">
        <v>1651</v>
      </c>
      <c r="E1051">
        <v>451163417</v>
      </c>
      <c r="H1051">
        <v>1480</v>
      </c>
      <c r="I1051">
        <v>1200</v>
      </c>
      <c r="J1051">
        <v>0</v>
      </c>
      <c r="K1051">
        <v>280</v>
      </c>
      <c r="L1051" s="62">
        <v>1.25</v>
      </c>
      <c r="M1051" s="39">
        <v>46032</v>
      </c>
      <c r="N1051" s="25">
        <f t="shared" si="104"/>
        <v>10</v>
      </c>
      <c r="O1051" s="25" t="str">
        <f t="shared" si="105"/>
        <v>sábado</v>
      </c>
      <c r="P1051" s="27">
        <f t="shared" si="106"/>
        <v>1</v>
      </c>
      <c r="Q1051" s="22" t="str">
        <f t="shared" si="107"/>
        <v>enero</v>
      </c>
    </row>
    <row r="1052" spans="1:19" x14ac:dyDescent="0.25">
      <c r="A1052">
        <v>4</v>
      </c>
      <c r="B1052" t="s">
        <v>1790</v>
      </c>
      <c r="C1052" t="s">
        <v>6</v>
      </c>
      <c r="D1052" t="s">
        <v>631</v>
      </c>
      <c r="E1052">
        <v>451163375</v>
      </c>
      <c r="H1052">
        <v>2160</v>
      </c>
      <c r="I1052">
        <v>1200</v>
      </c>
      <c r="J1052">
        <v>0</v>
      </c>
      <c r="K1052">
        <v>960</v>
      </c>
      <c r="L1052" s="62">
        <v>0.8</v>
      </c>
      <c r="M1052" s="39">
        <v>46032</v>
      </c>
      <c r="N1052" s="25">
        <f t="shared" si="104"/>
        <v>10</v>
      </c>
      <c r="O1052" s="25" t="str">
        <f t="shared" si="105"/>
        <v>sábado</v>
      </c>
      <c r="P1052" s="27">
        <f t="shared" si="106"/>
        <v>1</v>
      </c>
      <c r="Q1052" s="22" t="str">
        <f t="shared" si="107"/>
        <v>enero</v>
      </c>
    </row>
    <row r="1053" spans="1:19" x14ac:dyDescent="0.25">
      <c r="A1053">
        <v>4</v>
      </c>
      <c r="B1053" t="s">
        <v>1791</v>
      </c>
      <c r="C1053" t="s">
        <v>19</v>
      </c>
      <c r="D1053" t="s">
        <v>206</v>
      </c>
      <c r="E1053">
        <v>451163311</v>
      </c>
      <c r="H1053">
        <v>2140</v>
      </c>
      <c r="I1053">
        <v>1300</v>
      </c>
      <c r="J1053">
        <v>0</v>
      </c>
      <c r="K1053">
        <v>840</v>
      </c>
      <c r="L1053" s="62">
        <v>1.5880000000000001</v>
      </c>
      <c r="M1053" s="39">
        <v>46032</v>
      </c>
      <c r="N1053" s="25">
        <f t="shared" si="104"/>
        <v>10</v>
      </c>
      <c r="O1053" s="25" t="str">
        <f t="shared" si="105"/>
        <v>sábado</v>
      </c>
      <c r="P1053" s="27">
        <f t="shared" si="106"/>
        <v>1</v>
      </c>
      <c r="Q1053" s="22" t="str">
        <f t="shared" si="107"/>
        <v>enero</v>
      </c>
    </row>
    <row r="1054" spans="1:19" x14ac:dyDescent="0.25">
      <c r="A1054">
        <v>4</v>
      </c>
      <c r="B1054" t="s">
        <v>1792</v>
      </c>
      <c r="C1054" t="s">
        <v>6</v>
      </c>
      <c r="D1054" t="s">
        <v>631</v>
      </c>
      <c r="E1054">
        <v>451163198</v>
      </c>
      <c r="H1054">
        <v>1650</v>
      </c>
      <c r="I1054">
        <v>1650</v>
      </c>
      <c r="J1054">
        <v>0</v>
      </c>
      <c r="K1054">
        <v>0</v>
      </c>
      <c r="L1054" s="62">
        <v>1.8440000000000001</v>
      </c>
      <c r="M1054" s="39">
        <v>46032</v>
      </c>
      <c r="N1054" s="25">
        <f t="shared" si="104"/>
        <v>10</v>
      </c>
      <c r="O1054" s="25" t="str">
        <f t="shared" si="105"/>
        <v>sábado</v>
      </c>
      <c r="P1054" s="27">
        <f t="shared" si="106"/>
        <v>1</v>
      </c>
      <c r="Q1054" s="22" t="str">
        <f t="shared" si="107"/>
        <v>enero</v>
      </c>
    </row>
    <row r="1055" spans="1:19" x14ac:dyDescent="0.25">
      <c r="A1055">
        <v>3</v>
      </c>
      <c r="B1055" t="s">
        <v>1793</v>
      </c>
      <c r="C1055" t="s">
        <v>6</v>
      </c>
      <c r="D1055" t="s">
        <v>208</v>
      </c>
      <c r="E1055">
        <v>451162871</v>
      </c>
      <c r="H1055">
        <v>1400</v>
      </c>
      <c r="I1055">
        <v>1400</v>
      </c>
      <c r="J1055">
        <v>0</v>
      </c>
      <c r="K1055">
        <v>0</v>
      </c>
      <c r="L1055" s="62">
        <v>1.236</v>
      </c>
      <c r="M1055" s="39">
        <v>46032</v>
      </c>
      <c r="N1055" s="25">
        <f t="shared" si="104"/>
        <v>10</v>
      </c>
      <c r="O1055" s="25" t="str">
        <f t="shared" si="105"/>
        <v>sábado</v>
      </c>
      <c r="P1055" s="27">
        <f t="shared" si="106"/>
        <v>1</v>
      </c>
      <c r="Q1055" s="22" t="str">
        <f t="shared" si="107"/>
        <v>enero</v>
      </c>
    </row>
    <row r="1056" spans="1:19" x14ac:dyDescent="0.25">
      <c r="A1056">
        <v>3</v>
      </c>
      <c r="B1056" t="s">
        <v>1794</v>
      </c>
      <c r="C1056" t="s">
        <v>6</v>
      </c>
      <c r="D1056" t="s">
        <v>631</v>
      </c>
      <c r="E1056">
        <v>451162627</v>
      </c>
      <c r="H1056">
        <v>2310</v>
      </c>
      <c r="I1056">
        <v>1750</v>
      </c>
      <c r="J1056">
        <v>0</v>
      </c>
      <c r="K1056">
        <v>560</v>
      </c>
      <c r="L1056" s="62">
        <v>3.0640000000000001</v>
      </c>
      <c r="M1056" s="39">
        <v>46032</v>
      </c>
      <c r="N1056" s="25">
        <f t="shared" si="104"/>
        <v>10</v>
      </c>
      <c r="O1056" s="25" t="str">
        <f t="shared" si="105"/>
        <v>sábado</v>
      </c>
      <c r="P1056" s="27">
        <f t="shared" si="106"/>
        <v>1</v>
      </c>
      <c r="Q1056" s="22" t="str">
        <f t="shared" si="107"/>
        <v>enero</v>
      </c>
    </row>
    <row r="1057" spans="1:19" x14ac:dyDescent="0.25">
      <c r="A1057">
        <v>10</v>
      </c>
      <c r="B1057" t="s">
        <v>803</v>
      </c>
      <c r="C1057" t="s">
        <v>19</v>
      </c>
      <c r="D1057" t="s">
        <v>543</v>
      </c>
      <c r="E1057">
        <v>451472325</v>
      </c>
      <c r="H1057">
        <v>2400</v>
      </c>
      <c r="I1057">
        <v>2400</v>
      </c>
      <c r="J1057">
        <v>0</v>
      </c>
      <c r="K1057">
        <v>0</v>
      </c>
      <c r="L1057">
        <v>2.9079999999999999</v>
      </c>
      <c r="M1057" s="4">
        <v>46034</v>
      </c>
      <c r="N1057" s="25">
        <f t="shared" ref="N1057:N1076" si="108">DAY(M1057)</f>
        <v>12</v>
      </c>
      <c r="O1057" s="25" t="str">
        <f t="shared" ref="O1057:O1076" si="109">TEXT(M1057,"DDDD")</f>
        <v>lunes</v>
      </c>
      <c r="P1057" s="27">
        <f t="shared" ref="P1057:P1076" si="110">MONTH(M1057)</f>
        <v>1</v>
      </c>
      <c r="Q1057" s="22" t="str">
        <f t="shared" ref="Q1057:Q1076" si="111">TEXT(M1057,"MMMM")</f>
        <v>enero</v>
      </c>
    </row>
    <row r="1058" spans="1:19" x14ac:dyDescent="0.25">
      <c r="A1058">
        <v>10</v>
      </c>
      <c r="B1058" t="s">
        <v>1796</v>
      </c>
      <c r="C1058" t="s">
        <v>19</v>
      </c>
      <c r="D1058" t="s">
        <v>1471</v>
      </c>
      <c r="E1058">
        <v>451466482</v>
      </c>
      <c r="H1058">
        <v>1200</v>
      </c>
      <c r="I1058">
        <v>1200</v>
      </c>
      <c r="J1058">
        <v>0</v>
      </c>
      <c r="K1058">
        <v>420</v>
      </c>
      <c r="L1058">
        <v>1.4370000000000001</v>
      </c>
      <c r="M1058" s="4">
        <v>46034</v>
      </c>
      <c r="N1058" s="25">
        <f t="shared" si="108"/>
        <v>12</v>
      </c>
      <c r="O1058" s="25" t="str">
        <f t="shared" si="109"/>
        <v>lunes</v>
      </c>
      <c r="P1058" s="27">
        <f t="shared" si="110"/>
        <v>1</v>
      </c>
      <c r="Q1058" s="22" t="str">
        <f t="shared" si="111"/>
        <v>enero</v>
      </c>
    </row>
    <row r="1059" spans="1:19" x14ac:dyDescent="0.25">
      <c r="A1059">
        <v>7</v>
      </c>
      <c r="B1059" t="s">
        <v>1797</v>
      </c>
      <c r="C1059" t="s">
        <v>19</v>
      </c>
      <c r="D1059" t="s">
        <v>281</v>
      </c>
      <c r="E1059">
        <v>451456803</v>
      </c>
      <c r="F1059" t="s">
        <v>172</v>
      </c>
      <c r="G1059">
        <v>451453523</v>
      </c>
      <c r="H1059">
        <v>1800</v>
      </c>
      <c r="I1059">
        <v>1800</v>
      </c>
      <c r="J1059">
        <v>0</v>
      </c>
      <c r="K1059">
        <v>3700</v>
      </c>
      <c r="L1059">
        <v>1.42</v>
      </c>
      <c r="M1059" s="4">
        <v>46034</v>
      </c>
      <c r="N1059" s="25">
        <f t="shared" si="108"/>
        <v>12</v>
      </c>
      <c r="O1059" s="25" t="str">
        <f t="shared" si="109"/>
        <v>lunes</v>
      </c>
      <c r="P1059" s="27">
        <f t="shared" si="110"/>
        <v>1</v>
      </c>
      <c r="Q1059" s="22" t="str">
        <f t="shared" si="111"/>
        <v>enero</v>
      </c>
      <c r="R1059" t="s">
        <v>281</v>
      </c>
      <c r="S1059">
        <v>12738</v>
      </c>
    </row>
    <row r="1060" spans="1:19" x14ac:dyDescent="0.25">
      <c r="A1060">
        <v>7</v>
      </c>
      <c r="B1060" t="s">
        <v>1798</v>
      </c>
      <c r="C1060" t="s">
        <v>6</v>
      </c>
      <c r="D1060" t="s">
        <v>621</v>
      </c>
      <c r="E1060">
        <v>451452302</v>
      </c>
      <c r="H1060">
        <v>1350</v>
      </c>
      <c r="I1060">
        <v>1350</v>
      </c>
      <c r="J1060">
        <v>0</v>
      </c>
      <c r="K1060">
        <v>0</v>
      </c>
      <c r="L1060">
        <v>1.3919999999999999</v>
      </c>
      <c r="M1060" s="4">
        <v>46034</v>
      </c>
      <c r="N1060" s="25">
        <f t="shared" si="108"/>
        <v>12</v>
      </c>
      <c r="O1060" s="25" t="str">
        <f t="shared" si="109"/>
        <v>lunes</v>
      </c>
      <c r="P1060" s="27">
        <f t="shared" si="110"/>
        <v>1</v>
      </c>
      <c r="Q1060" s="22" t="str">
        <f t="shared" si="111"/>
        <v>enero</v>
      </c>
    </row>
    <row r="1061" spans="1:19" x14ac:dyDescent="0.25">
      <c r="A1061">
        <v>7</v>
      </c>
      <c r="B1061" t="s">
        <v>1799</v>
      </c>
      <c r="C1061" t="s">
        <v>6</v>
      </c>
      <c r="D1061" t="s">
        <v>184</v>
      </c>
      <c r="E1061">
        <v>451448659</v>
      </c>
      <c r="H1061">
        <v>1200</v>
      </c>
      <c r="I1061">
        <v>1200</v>
      </c>
      <c r="J1061">
        <v>0</v>
      </c>
      <c r="K1061">
        <v>0</v>
      </c>
      <c r="L1061">
        <v>0.81499999999999995</v>
      </c>
      <c r="M1061" s="4">
        <v>46034</v>
      </c>
      <c r="N1061" s="25">
        <f t="shared" si="108"/>
        <v>12</v>
      </c>
      <c r="O1061" s="25" t="str">
        <f t="shared" si="109"/>
        <v>lunes</v>
      </c>
      <c r="P1061" s="27">
        <f t="shared" si="110"/>
        <v>1</v>
      </c>
      <c r="Q1061" s="22" t="str">
        <f t="shared" si="111"/>
        <v>enero</v>
      </c>
    </row>
    <row r="1062" spans="1:19" x14ac:dyDescent="0.25">
      <c r="A1062">
        <v>6</v>
      </c>
      <c r="B1062" t="s">
        <v>1800</v>
      </c>
      <c r="C1062" t="s">
        <v>19</v>
      </c>
      <c r="D1062" t="s">
        <v>248</v>
      </c>
      <c r="E1062">
        <v>451433358</v>
      </c>
      <c r="H1062">
        <v>3140</v>
      </c>
      <c r="I1062">
        <v>2300</v>
      </c>
      <c r="J1062">
        <v>0</v>
      </c>
      <c r="K1062">
        <v>840</v>
      </c>
      <c r="L1062">
        <v>1.871</v>
      </c>
      <c r="M1062" s="4">
        <v>46034</v>
      </c>
      <c r="N1062" s="25">
        <f t="shared" si="108"/>
        <v>12</v>
      </c>
      <c r="O1062" s="25" t="str">
        <f t="shared" si="109"/>
        <v>lunes</v>
      </c>
      <c r="P1062" s="27">
        <f t="shared" si="110"/>
        <v>1</v>
      </c>
      <c r="Q1062" s="22" t="str">
        <f t="shared" si="111"/>
        <v>enero</v>
      </c>
      <c r="R1062" t="s">
        <v>248</v>
      </c>
      <c r="S1062">
        <v>15741.3</v>
      </c>
    </row>
    <row r="1063" spans="1:19" x14ac:dyDescent="0.25">
      <c r="A1063">
        <v>12</v>
      </c>
      <c r="B1063" t="s">
        <v>1032</v>
      </c>
      <c r="C1063" t="s">
        <v>6</v>
      </c>
      <c r="D1063" t="s">
        <v>1801</v>
      </c>
      <c r="E1063">
        <v>451406830</v>
      </c>
      <c r="F1063" t="s">
        <v>1801</v>
      </c>
      <c r="G1063">
        <v>451407362</v>
      </c>
      <c r="H1063">
        <v>1950</v>
      </c>
      <c r="I1063">
        <v>1950</v>
      </c>
      <c r="J1063">
        <v>0</v>
      </c>
      <c r="K1063">
        <v>2</v>
      </c>
      <c r="L1063">
        <v>2.0990000000000002</v>
      </c>
      <c r="M1063" s="4">
        <v>46034</v>
      </c>
      <c r="N1063" s="25">
        <f t="shared" si="108"/>
        <v>12</v>
      </c>
      <c r="O1063" s="25" t="str">
        <f t="shared" si="109"/>
        <v>lunes</v>
      </c>
      <c r="P1063" s="27">
        <f t="shared" si="110"/>
        <v>1</v>
      </c>
      <c r="Q1063" s="22" t="str">
        <f t="shared" si="111"/>
        <v>enero</v>
      </c>
    </row>
    <row r="1064" spans="1:19" x14ac:dyDescent="0.25">
      <c r="A1064">
        <v>12</v>
      </c>
      <c r="B1064" t="s">
        <v>1802</v>
      </c>
      <c r="C1064" t="s">
        <v>155</v>
      </c>
      <c r="D1064" t="s">
        <v>1813</v>
      </c>
      <c r="E1064">
        <v>451436912</v>
      </c>
      <c r="F1064" t="s">
        <v>248</v>
      </c>
      <c r="H1064">
        <v>7510</v>
      </c>
      <c r="I1064">
        <v>4950</v>
      </c>
      <c r="J1064">
        <v>0</v>
      </c>
      <c r="K1064">
        <v>2560</v>
      </c>
      <c r="L1064">
        <v>2.5790000000000002</v>
      </c>
      <c r="M1064" s="4">
        <v>46034</v>
      </c>
      <c r="N1064" s="25">
        <f t="shared" si="108"/>
        <v>12</v>
      </c>
      <c r="O1064" s="25" t="str">
        <f t="shared" si="109"/>
        <v>lunes</v>
      </c>
      <c r="P1064" s="27">
        <f t="shared" si="110"/>
        <v>1</v>
      </c>
      <c r="Q1064" s="22" t="str">
        <f t="shared" si="111"/>
        <v>enero</v>
      </c>
    </row>
    <row r="1065" spans="1:19" x14ac:dyDescent="0.25">
      <c r="A1065">
        <v>11</v>
      </c>
      <c r="B1065" t="s">
        <v>1461</v>
      </c>
      <c r="C1065" t="s">
        <v>6</v>
      </c>
      <c r="D1065" t="s">
        <v>771</v>
      </c>
      <c r="E1065">
        <v>451403498</v>
      </c>
      <c r="H1065">
        <v>4360</v>
      </c>
      <c r="I1065">
        <v>1200</v>
      </c>
      <c r="J1065">
        <v>0</v>
      </c>
      <c r="K1065">
        <v>3160</v>
      </c>
      <c r="L1065">
        <v>2.6459999999999999</v>
      </c>
      <c r="M1065" s="4">
        <v>46034</v>
      </c>
      <c r="N1065" s="25">
        <f t="shared" si="108"/>
        <v>12</v>
      </c>
      <c r="O1065" s="25" t="str">
        <f t="shared" si="109"/>
        <v>lunes</v>
      </c>
      <c r="P1065" s="27">
        <f t="shared" si="110"/>
        <v>1</v>
      </c>
      <c r="Q1065" s="22" t="str">
        <f t="shared" si="111"/>
        <v>enero</v>
      </c>
    </row>
    <row r="1066" spans="1:19" x14ac:dyDescent="0.25">
      <c r="A1066">
        <v>11</v>
      </c>
      <c r="B1066" t="s">
        <v>1803</v>
      </c>
      <c r="C1066" t="s">
        <v>6</v>
      </c>
      <c r="D1066" t="s">
        <v>1814</v>
      </c>
      <c r="E1066">
        <v>451402421</v>
      </c>
      <c r="H1066">
        <v>3320</v>
      </c>
      <c r="I1066">
        <v>1200</v>
      </c>
      <c r="J1066">
        <v>0</v>
      </c>
      <c r="K1066">
        <v>2120</v>
      </c>
      <c r="L1066">
        <v>0.85299999999999998</v>
      </c>
      <c r="M1066" s="4">
        <v>46034</v>
      </c>
      <c r="N1066" s="25">
        <f t="shared" si="108"/>
        <v>12</v>
      </c>
      <c r="O1066" s="25" t="str">
        <f t="shared" si="109"/>
        <v>lunes</v>
      </c>
      <c r="P1066" s="27">
        <f t="shared" si="110"/>
        <v>1</v>
      </c>
      <c r="Q1066" s="22" t="str">
        <f t="shared" si="111"/>
        <v>enero</v>
      </c>
    </row>
    <row r="1067" spans="1:19" x14ac:dyDescent="0.25">
      <c r="A1067">
        <v>11</v>
      </c>
      <c r="B1067" t="s">
        <v>1804</v>
      </c>
      <c r="C1067" t="s">
        <v>6</v>
      </c>
      <c r="D1067" t="s">
        <v>1815</v>
      </c>
      <c r="E1067">
        <v>451400876</v>
      </c>
      <c r="H1067">
        <v>1500</v>
      </c>
      <c r="I1067">
        <v>1200</v>
      </c>
      <c r="J1067">
        <v>0</v>
      </c>
      <c r="K1067">
        <v>300</v>
      </c>
      <c r="L1067">
        <v>1.52</v>
      </c>
      <c r="M1067" s="4">
        <v>46034</v>
      </c>
      <c r="N1067" s="25">
        <f t="shared" si="108"/>
        <v>12</v>
      </c>
      <c r="O1067" s="25" t="str">
        <f t="shared" si="109"/>
        <v>lunes</v>
      </c>
      <c r="P1067" s="27">
        <f t="shared" si="110"/>
        <v>1</v>
      </c>
      <c r="Q1067" s="22" t="str">
        <f t="shared" si="111"/>
        <v>enero</v>
      </c>
    </row>
    <row r="1068" spans="1:19" x14ac:dyDescent="0.25">
      <c r="A1068">
        <v>6</v>
      </c>
      <c r="B1068" t="s">
        <v>1805</v>
      </c>
      <c r="C1068" t="s">
        <v>19</v>
      </c>
      <c r="D1068" t="s">
        <v>1816</v>
      </c>
      <c r="E1068">
        <v>451399805</v>
      </c>
      <c r="H1068">
        <v>2040</v>
      </c>
      <c r="I1068">
        <v>1200</v>
      </c>
      <c r="J1068">
        <v>0</v>
      </c>
      <c r="K1068">
        <v>840</v>
      </c>
      <c r="L1068">
        <v>2.04</v>
      </c>
      <c r="M1068" s="4">
        <v>46034</v>
      </c>
      <c r="N1068" s="25">
        <f t="shared" si="108"/>
        <v>12</v>
      </c>
      <c r="O1068" s="25" t="str">
        <f t="shared" si="109"/>
        <v>lunes</v>
      </c>
      <c r="P1068" s="27">
        <f t="shared" si="110"/>
        <v>1</v>
      </c>
      <c r="Q1068" s="22" t="str">
        <f t="shared" si="111"/>
        <v>enero</v>
      </c>
    </row>
    <row r="1069" spans="1:19" x14ac:dyDescent="0.25">
      <c r="A1069">
        <v>6</v>
      </c>
      <c r="B1069" t="s">
        <v>1806</v>
      </c>
      <c r="C1069" t="s">
        <v>6</v>
      </c>
      <c r="D1069" t="s">
        <v>1817</v>
      </c>
      <c r="E1069">
        <v>451399710</v>
      </c>
      <c r="H1069">
        <v>1200</v>
      </c>
      <c r="I1069">
        <v>1200</v>
      </c>
      <c r="J1069">
        <v>0</v>
      </c>
      <c r="K1069">
        <v>0</v>
      </c>
      <c r="L1069">
        <v>0.77200000000000002</v>
      </c>
      <c r="M1069" s="4">
        <v>46034</v>
      </c>
      <c r="N1069" s="25">
        <f t="shared" si="108"/>
        <v>12</v>
      </c>
      <c r="O1069" s="25" t="str">
        <f t="shared" si="109"/>
        <v>lunes</v>
      </c>
      <c r="P1069" s="27">
        <f t="shared" si="110"/>
        <v>1</v>
      </c>
      <c r="Q1069" s="22" t="str">
        <f t="shared" si="111"/>
        <v>enero</v>
      </c>
    </row>
    <row r="1070" spans="1:19" x14ac:dyDescent="0.25">
      <c r="A1070">
        <v>6</v>
      </c>
      <c r="B1070" t="s">
        <v>1807</v>
      </c>
      <c r="C1070" t="s">
        <v>19</v>
      </c>
      <c r="D1070" t="s">
        <v>1818</v>
      </c>
      <c r="E1070">
        <v>451397663</v>
      </c>
      <c r="H1070">
        <v>1200</v>
      </c>
      <c r="I1070">
        <v>1200</v>
      </c>
      <c r="J1070">
        <v>0</v>
      </c>
      <c r="K1070">
        <v>0</v>
      </c>
      <c r="L1070">
        <v>1.1850000000000001</v>
      </c>
      <c r="M1070" s="4">
        <v>46034</v>
      </c>
      <c r="N1070" s="25">
        <f t="shared" si="108"/>
        <v>12</v>
      </c>
      <c r="O1070" s="25" t="str">
        <f t="shared" si="109"/>
        <v>lunes</v>
      </c>
      <c r="P1070" s="27">
        <f t="shared" si="110"/>
        <v>1</v>
      </c>
      <c r="Q1070" s="22" t="str">
        <f t="shared" si="111"/>
        <v>enero</v>
      </c>
    </row>
    <row r="1071" spans="1:19" x14ac:dyDescent="0.25">
      <c r="A1071">
        <v>5</v>
      </c>
      <c r="B1071" t="s">
        <v>730</v>
      </c>
      <c r="C1071" t="s">
        <v>6</v>
      </c>
      <c r="D1071" t="s">
        <v>1819</v>
      </c>
      <c r="E1071">
        <v>451396454</v>
      </c>
      <c r="H1071">
        <v>2200</v>
      </c>
      <c r="I1071">
        <v>1200</v>
      </c>
      <c r="J1071">
        <v>0</v>
      </c>
      <c r="K1071">
        <v>1000</v>
      </c>
      <c r="L1071">
        <v>3.2330000000000001</v>
      </c>
      <c r="M1071" s="4">
        <v>46034</v>
      </c>
      <c r="N1071" s="25">
        <f t="shared" si="108"/>
        <v>12</v>
      </c>
      <c r="O1071" s="25" t="str">
        <f t="shared" si="109"/>
        <v>lunes</v>
      </c>
      <c r="P1071" s="27">
        <f t="shared" si="110"/>
        <v>1</v>
      </c>
      <c r="Q1071" s="22" t="str">
        <f t="shared" si="111"/>
        <v>enero</v>
      </c>
    </row>
    <row r="1072" spans="1:19" x14ac:dyDescent="0.25">
      <c r="A1072">
        <v>5</v>
      </c>
      <c r="B1072" t="s">
        <v>1808</v>
      </c>
      <c r="C1072" t="s">
        <v>6</v>
      </c>
      <c r="D1072" t="s">
        <v>1820</v>
      </c>
      <c r="E1072">
        <v>451396239</v>
      </c>
      <c r="H1072">
        <v>1300</v>
      </c>
      <c r="I1072">
        <v>1200</v>
      </c>
      <c r="J1072">
        <v>0</v>
      </c>
      <c r="K1072">
        <v>100</v>
      </c>
      <c r="L1072">
        <v>0.39100000000000001</v>
      </c>
      <c r="M1072" s="4">
        <v>46034</v>
      </c>
      <c r="N1072" s="25">
        <f t="shared" si="108"/>
        <v>12</v>
      </c>
      <c r="O1072" s="25" t="str">
        <f t="shared" si="109"/>
        <v>lunes</v>
      </c>
      <c r="P1072" s="27">
        <f t="shared" si="110"/>
        <v>1</v>
      </c>
      <c r="Q1072" s="22" t="str">
        <f t="shared" si="111"/>
        <v>enero</v>
      </c>
    </row>
    <row r="1073" spans="1:19" x14ac:dyDescent="0.25">
      <c r="A1073">
        <v>5</v>
      </c>
      <c r="B1073" t="s">
        <v>1809</v>
      </c>
      <c r="C1073" t="s">
        <v>6</v>
      </c>
      <c r="D1073" t="s">
        <v>1821</v>
      </c>
      <c r="E1073">
        <v>451395275</v>
      </c>
      <c r="H1073">
        <v>2090</v>
      </c>
      <c r="I1073">
        <v>1250</v>
      </c>
      <c r="J1073">
        <v>0</v>
      </c>
      <c r="K1073">
        <v>840</v>
      </c>
      <c r="L1073">
        <v>3.0910000000000002</v>
      </c>
      <c r="M1073" s="4">
        <v>46034</v>
      </c>
      <c r="N1073" s="25">
        <f t="shared" si="108"/>
        <v>12</v>
      </c>
      <c r="O1073" s="25" t="str">
        <f t="shared" si="109"/>
        <v>lunes</v>
      </c>
      <c r="P1073" s="27">
        <f t="shared" si="110"/>
        <v>1</v>
      </c>
      <c r="Q1073" s="22" t="str">
        <f t="shared" si="111"/>
        <v>enero</v>
      </c>
    </row>
    <row r="1074" spans="1:19" x14ac:dyDescent="0.25">
      <c r="A1074">
        <v>5</v>
      </c>
      <c r="B1074" t="s">
        <v>1810</v>
      </c>
      <c r="C1074" t="s">
        <v>6</v>
      </c>
      <c r="D1074" t="s">
        <v>1822</v>
      </c>
      <c r="E1074">
        <v>451394925</v>
      </c>
      <c r="H1074">
        <v>1680</v>
      </c>
      <c r="I1074">
        <v>1200</v>
      </c>
      <c r="J1074">
        <v>0</v>
      </c>
      <c r="K1074">
        <v>480</v>
      </c>
      <c r="L1074">
        <v>0.59699999999999998</v>
      </c>
      <c r="M1074" s="4">
        <v>46034</v>
      </c>
      <c r="N1074" s="25">
        <f t="shared" si="108"/>
        <v>12</v>
      </c>
      <c r="O1074" s="25" t="str">
        <f t="shared" si="109"/>
        <v>lunes</v>
      </c>
      <c r="P1074" s="27">
        <f t="shared" si="110"/>
        <v>1</v>
      </c>
      <c r="Q1074" s="22" t="str">
        <f t="shared" si="111"/>
        <v>enero</v>
      </c>
    </row>
    <row r="1075" spans="1:19" x14ac:dyDescent="0.25">
      <c r="A1075">
        <v>5</v>
      </c>
      <c r="B1075" t="s">
        <v>1811</v>
      </c>
      <c r="C1075" t="s">
        <v>6</v>
      </c>
      <c r="D1075" t="s">
        <v>281</v>
      </c>
      <c r="E1075">
        <v>451394515</v>
      </c>
      <c r="F1075" t="s">
        <v>1812</v>
      </c>
      <c r="G1075">
        <v>451394592</v>
      </c>
      <c r="H1075">
        <v>5200</v>
      </c>
      <c r="I1075">
        <v>1800</v>
      </c>
      <c r="J1075">
        <v>0</v>
      </c>
      <c r="K1075">
        <v>3400</v>
      </c>
      <c r="L1075">
        <v>1.6910000000000001</v>
      </c>
      <c r="M1075" s="4">
        <v>46034</v>
      </c>
      <c r="N1075" s="25">
        <f t="shared" si="108"/>
        <v>12</v>
      </c>
      <c r="O1075" s="25" t="str">
        <f t="shared" si="109"/>
        <v>lunes</v>
      </c>
      <c r="P1075" s="27">
        <f t="shared" si="110"/>
        <v>1</v>
      </c>
      <c r="Q1075" s="22" t="str">
        <f t="shared" si="111"/>
        <v>enero</v>
      </c>
    </row>
    <row r="1076" spans="1:19" x14ac:dyDescent="0.25">
      <c r="A1076">
        <v>4</v>
      </c>
      <c r="B1076" t="s">
        <v>739</v>
      </c>
      <c r="C1076" t="s">
        <v>6</v>
      </c>
      <c r="D1076" t="s">
        <v>1604</v>
      </c>
      <c r="E1076">
        <v>451394424</v>
      </c>
      <c r="H1076">
        <v>3060</v>
      </c>
      <c r="I1076">
        <v>1200</v>
      </c>
      <c r="J1076">
        <v>0</v>
      </c>
      <c r="K1076">
        <v>1860</v>
      </c>
      <c r="L1076">
        <v>0.86399999999999999</v>
      </c>
      <c r="M1076" s="4">
        <v>46034</v>
      </c>
      <c r="N1076" s="25">
        <f t="shared" si="108"/>
        <v>12</v>
      </c>
      <c r="O1076" s="25" t="str">
        <f t="shared" si="109"/>
        <v>lunes</v>
      </c>
      <c r="P1076" s="27">
        <f t="shared" si="110"/>
        <v>1</v>
      </c>
      <c r="Q1076" s="22" t="str">
        <f t="shared" si="111"/>
        <v>enero</v>
      </c>
    </row>
    <row r="1077" spans="1:19" x14ac:dyDescent="0.25">
      <c r="A1077">
        <v>12</v>
      </c>
      <c r="B1077" t="s">
        <v>1543</v>
      </c>
      <c r="C1077" t="s">
        <v>19</v>
      </c>
      <c r="D1077" t="s">
        <v>1823</v>
      </c>
      <c r="E1077">
        <v>451569725</v>
      </c>
      <c r="H1077">
        <v>1200</v>
      </c>
      <c r="I1077">
        <v>1200</v>
      </c>
      <c r="J1077">
        <v>0</v>
      </c>
      <c r="K1077">
        <v>0</v>
      </c>
      <c r="L1077">
        <v>0.70799999999999996</v>
      </c>
      <c r="M1077" s="4">
        <v>46035</v>
      </c>
      <c r="N1077" s="25">
        <f t="shared" ref="N1077:N1086" si="112">DAY(M1077)</f>
        <v>13</v>
      </c>
      <c r="O1077" s="25" t="str">
        <f t="shared" ref="O1077:O1086" si="113">TEXT(M1077,"DDDD")</f>
        <v>martes</v>
      </c>
      <c r="P1077" s="27">
        <f t="shared" ref="P1077:P1086" si="114">MONTH(M1077)</f>
        <v>1</v>
      </c>
      <c r="Q1077" s="22" t="str">
        <f t="shared" ref="Q1077:Q1086" si="115">TEXT(M1077,"MMMM")</f>
        <v>enero</v>
      </c>
    </row>
    <row r="1078" spans="1:19" x14ac:dyDescent="0.25">
      <c r="A1078">
        <v>12</v>
      </c>
      <c r="B1078" t="s">
        <v>1824</v>
      </c>
      <c r="C1078" t="s">
        <v>6</v>
      </c>
      <c r="D1078" t="s">
        <v>1825</v>
      </c>
      <c r="E1078">
        <v>451565723</v>
      </c>
      <c r="H1078">
        <v>3480</v>
      </c>
      <c r="I1078">
        <v>1200</v>
      </c>
      <c r="J1078">
        <v>0</v>
      </c>
      <c r="K1078">
        <v>2280</v>
      </c>
      <c r="L1078">
        <v>1.232</v>
      </c>
      <c r="M1078" s="4">
        <v>46035</v>
      </c>
      <c r="N1078" s="25">
        <f t="shared" si="112"/>
        <v>13</v>
      </c>
      <c r="O1078" s="25" t="str">
        <f t="shared" si="113"/>
        <v>martes</v>
      </c>
      <c r="P1078" s="27">
        <f t="shared" si="114"/>
        <v>1</v>
      </c>
      <c r="Q1078" s="22" t="str">
        <f t="shared" si="115"/>
        <v>enero</v>
      </c>
    </row>
    <row r="1079" spans="1:19" x14ac:dyDescent="0.25">
      <c r="A1079">
        <v>12</v>
      </c>
      <c r="B1079" t="s">
        <v>1826</v>
      </c>
      <c r="C1079" t="s">
        <v>19</v>
      </c>
      <c r="D1079" t="s">
        <v>1827</v>
      </c>
      <c r="E1079">
        <v>451563158</v>
      </c>
      <c r="H1079">
        <v>1700</v>
      </c>
      <c r="I1079">
        <v>1200</v>
      </c>
      <c r="J1079">
        <v>0</v>
      </c>
      <c r="K1079">
        <v>500</v>
      </c>
      <c r="L1079">
        <v>0.92100000000000004</v>
      </c>
      <c r="M1079" s="4">
        <v>46035</v>
      </c>
      <c r="N1079" s="25">
        <f t="shared" si="112"/>
        <v>13</v>
      </c>
      <c r="O1079" s="25" t="str">
        <f t="shared" si="113"/>
        <v>martes</v>
      </c>
      <c r="P1079" s="27">
        <f t="shared" si="114"/>
        <v>1</v>
      </c>
      <c r="Q1079" s="22" t="str">
        <f t="shared" si="115"/>
        <v>enero</v>
      </c>
    </row>
    <row r="1080" spans="1:19" x14ac:dyDescent="0.25">
      <c r="A1080">
        <v>12</v>
      </c>
      <c r="B1080" t="s">
        <v>1828</v>
      </c>
      <c r="C1080" t="s">
        <v>6</v>
      </c>
      <c r="D1080" t="s">
        <v>1829</v>
      </c>
      <c r="E1080">
        <v>451557302</v>
      </c>
      <c r="H1080">
        <v>2350</v>
      </c>
      <c r="I1080">
        <v>1650</v>
      </c>
      <c r="J1080">
        <v>0</v>
      </c>
      <c r="K1080">
        <v>700</v>
      </c>
      <c r="L1080">
        <v>2.9369999999999998</v>
      </c>
      <c r="M1080" s="4">
        <v>46035</v>
      </c>
      <c r="N1080" s="25">
        <f t="shared" si="112"/>
        <v>13</v>
      </c>
      <c r="O1080" s="25" t="str">
        <f t="shared" si="113"/>
        <v>martes</v>
      </c>
      <c r="P1080" s="27">
        <f t="shared" si="114"/>
        <v>1</v>
      </c>
      <c r="Q1080" s="22" t="str">
        <f t="shared" si="115"/>
        <v>enero</v>
      </c>
    </row>
    <row r="1081" spans="1:19" x14ac:dyDescent="0.25">
      <c r="A1081">
        <v>11</v>
      </c>
      <c r="B1081" t="s">
        <v>1830</v>
      </c>
      <c r="C1081" t="s">
        <v>6</v>
      </c>
      <c r="D1081" t="s">
        <v>1479</v>
      </c>
      <c r="E1081">
        <v>451547248</v>
      </c>
      <c r="H1081">
        <v>2750</v>
      </c>
      <c r="I1081">
        <v>2150</v>
      </c>
      <c r="J1081">
        <v>0</v>
      </c>
      <c r="K1081">
        <v>600</v>
      </c>
      <c r="L1081">
        <v>3.4489999999999998</v>
      </c>
      <c r="M1081" s="4">
        <v>46035</v>
      </c>
      <c r="N1081" s="25">
        <f t="shared" si="112"/>
        <v>13</v>
      </c>
      <c r="O1081" s="25" t="str">
        <f t="shared" si="113"/>
        <v>martes</v>
      </c>
      <c r="P1081" s="27">
        <f t="shared" si="114"/>
        <v>1</v>
      </c>
      <c r="Q1081" s="22" t="str">
        <f t="shared" si="115"/>
        <v>enero</v>
      </c>
    </row>
    <row r="1082" spans="1:19" x14ac:dyDescent="0.25">
      <c r="A1082">
        <v>11</v>
      </c>
      <c r="B1082" t="s">
        <v>1831</v>
      </c>
      <c r="C1082" t="s">
        <v>6</v>
      </c>
      <c r="D1082" t="s">
        <v>157</v>
      </c>
      <c r="E1082">
        <v>451542872</v>
      </c>
      <c r="F1082" t="s">
        <v>1460</v>
      </c>
      <c r="G1082">
        <v>451543734</v>
      </c>
      <c r="H1082">
        <v>4120</v>
      </c>
      <c r="I1082">
        <v>1800</v>
      </c>
      <c r="J1082">
        <v>0</v>
      </c>
      <c r="K1082">
        <v>2320</v>
      </c>
      <c r="L1082">
        <v>0.996</v>
      </c>
      <c r="M1082" s="4">
        <v>46035</v>
      </c>
      <c r="N1082" s="25">
        <f t="shared" si="112"/>
        <v>13</v>
      </c>
      <c r="O1082" s="25" t="str">
        <f t="shared" si="113"/>
        <v>martes</v>
      </c>
      <c r="P1082" s="27">
        <f t="shared" si="114"/>
        <v>1</v>
      </c>
      <c r="Q1082" s="22" t="str">
        <f t="shared" si="115"/>
        <v>enero</v>
      </c>
      <c r="R1082" t="s">
        <v>157</v>
      </c>
      <c r="S1082">
        <v>4320</v>
      </c>
    </row>
    <row r="1083" spans="1:19" x14ac:dyDescent="0.25">
      <c r="A1083">
        <v>11</v>
      </c>
      <c r="B1083" t="s">
        <v>1832</v>
      </c>
      <c r="C1083" t="s">
        <v>6</v>
      </c>
      <c r="D1083" t="s">
        <v>1833</v>
      </c>
      <c r="E1083">
        <v>451539567</v>
      </c>
      <c r="H1083">
        <v>5060</v>
      </c>
      <c r="I1083">
        <v>1200</v>
      </c>
      <c r="J1083">
        <v>0</v>
      </c>
      <c r="K1083">
        <v>3860</v>
      </c>
      <c r="L1083">
        <v>0.51</v>
      </c>
      <c r="M1083" s="4">
        <v>46035</v>
      </c>
      <c r="N1083" s="25">
        <f t="shared" si="112"/>
        <v>13</v>
      </c>
      <c r="O1083" s="25" t="str">
        <f t="shared" si="113"/>
        <v>martes</v>
      </c>
      <c r="P1083" s="27">
        <f t="shared" si="114"/>
        <v>1</v>
      </c>
      <c r="Q1083" s="22" t="str">
        <f t="shared" si="115"/>
        <v>enero</v>
      </c>
    </row>
    <row r="1084" spans="1:19" x14ac:dyDescent="0.25">
      <c r="A1084">
        <v>10</v>
      </c>
      <c r="B1084" t="s">
        <v>1834</v>
      </c>
      <c r="C1084" t="s">
        <v>155</v>
      </c>
      <c r="D1084" t="s">
        <v>1471</v>
      </c>
      <c r="E1084">
        <v>451534249</v>
      </c>
      <c r="H1084">
        <v>2200</v>
      </c>
      <c r="I1084">
        <v>2200</v>
      </c>
      <c r="J1084">
        <v>0</v>
      </c>
      <c r="K1084">
        <v>0</v>
      </c>
      <c r="L1084">
        <v>2.093</v>
      </c>
      <c r="M1084" s="4">
        <v>46035</v>
      </c>
      <c r="N1084" s="25">
        <f t="shared" si="112"/>
        <v>13</v>
      </c>
      <c r="O1084" s="25" t="str">
        <f t="shared" si="113"/>
        <v>martes</v>
      </c>
      <c r="P1084" s="27">
        <f t="shared" si="114"/>
        <v>1</v>
      </c>
      <c r="Q1084" s="22" t="str">
        <f t="shared" si="115"/>
        <v>enero</v>
      </c>
    </row>
    <row r="1085" spans="1:19" x14ac:dyDescent="0.25">
      <c r="A1085">
        <v>10</v>
      </c>
      <c r="B1085" t="s">
        <v>1835</v>
      </c>
      <c r="C1085" t="s">
        <v>19</v>
      </c>
      <c r="D1085" t="s">
        <v>1245</v>
      </c>
      <c r="E1085">
        <v>451532068</v>
      </c>
      <c r="H1085">
        <v>5640</v>
      </c>
      <c r="I1085">
        <v>1200</v>
      </c>
      <c r="J1085">
        <v>0</v>
      </c>
      <c r="K1085">
        <v>4440</v>
      </c>
      <c r="L1085">
        <v>0.28499999999999998</v>
      </c>
      <c r="M1085" s="4">
        <v>46035</v>
      </c>
      <c r="N1085" s="25">
        <f t="shared" si="112"/>
        <v>13</v>
      </c>
      <c r="O1085" s="25" t="str">
        <f t="shared" si="113"/>
        <v>martes</v>
      </c>
      <c r="P1085" s="27">
        <f t="shared" si="114"/>
        <v>1</v>
      </c>
      <c r="Q1085" s="22" t="str">
        <f t="shared" si="115"/>
        <v>enero</v>
      </c>
    </row>
    <row r="1086" spans="1:19" x14ac:dyDescent="0.25">
      <c r="A1086">
        <v>10</v>
      </c>
      <c r="B1086" t="s">
        <v>1509</v>
      </c>
      <c r="C1086" t="s">
        <v>155</v>
      </c>
      <c r="D1086" t="s">
        <v>1471</v>
      </c>
      <c r="E1086">
        <v>451527484</v>
      </c>
      <c r="H1086">
        <v>1645</v>
      </c>
      <c r="I1086">
        <v>1400</v>
      </c>
      <c r="J1086">
        <v>0</v>
      </c>
      <c r="K1086">
        <v>245</v>
      </c>
      <c r="L1086">
        <v>1.552</v>
      </c>
      <c r="M1086" s="4">
        <v>46035</v>
      </c>
      <c r="N1086" s="25">
        <f t="shared" si="112"/>
        <v>13</v>
      </c>
      <c r="O1086" s="25" t="str">
        <f t="shared" si="113"/>
        <v>martes</v>
      </c>
      <c r="P1086" s="27">
        <f t="shared" si="114"/>
        <v>1</v>
      </c>
      <c r="Q1086" s="22" t="str">
        <f t="shared" si="115"/>
        <v>enero</v>
      </c>
    </row>
    <row r="1087" spans="1:19" x14ac:dyDescent="0.25">
      <c r="A1087">
        <v>4</v>
      </c>
      <c r="B1087" t="s">
        <v>1836</v>
      </c>
      <c r="C1087" t="s">
        <v>6</v>
      </c>
      <c r="D1087" t="s">
        <v>185</v>
      </c>
      <c r="E1087">
        <v>451578851</v>
      </c>
      <c r="F1087" t="s">
        <v>185</v>
      </c>
      <c r="G1087">
        <v>451578855</v>
      </c>
      <c r="H1087">
        <v>3710</v>
      </c>
      <c r="I1087">
        <v>2150</v>
      </c>
      <c r="J1087">
        <v>0</v>
      </c>
      <c r="K1087">
        <v>1560</v>
      </c>
      <c r="L1087">
        <v>2.109</v>
      </c>
      <c r="M1087" s="4">
        <v>46036</v>
      </c>
      <c r="N1087" s="25">
        <f t="shared" ref="N1087:N1096" si="116">DAY(M1087)</f>
        <v>14</v>
      </c>
      <c r="O1087" s="25" t="str">
        <f t="shared" ref="O1087:O1096" si="117">TEXT(M1087,"DDDD")</f>
        <v>miércoles</v>
      </c>
      <c r="P1087" s="27">
        <f t="shared" ref="P1087:P1096" si="118">MONTH(M1087)</f>
        <v>1</v>
      </c>
      <c r="Q1087" s="22" t="str">
        <f t="shared" ref="Q1087:Q1096" si="119">TEXT(M1087,"MMMM")</f>
        <v>enero</v>
      </c>
      <c r="R1087" t="s">
        <v>185</v>
      </c>
      <c r="S1087">
        <f>5432+35170</f>
        <v>40602</v>
      </c>
    </row>
    <row r="1088" spans="1:19" x14ac:dyDescent="0.25">
      <c r="A1088">
        <v>3</v>
      </c>
      <c r="B1088" t="s">
        <v>1837</v>
      </c>
      <c r="C1088" t="s">
        <v>6</v>
      </c>
      <c r="D1088" t="s">
        <v>244</v>
      </c>
      <c r="E1088">
        <v>451578756</v>
      </c>
      <c r="H1088">
        <v>1700</v>
      </c>
      <c r="I1088">
        <v>1700</v>
      </c>
      <c r="J1088">
        <v>0</v>
      </c>
      <c r="K1088">
        <v>0</v>
      </c>
      <c r="L1088">
        <v>1.472</v>
      </c>
      <c r="M1088" s="4">
        <v>46036</v>
      </c>
      <c r="N1088" s="25">
        <f t="shared" si="116"/>
        <v>14</v>
      </c>
      <c r="O1088" s="25" t="str">
        <f t="shared" si="117"/>
        <v>miércoles</v>
      </c>
      <c r="P1088" s="27">
        <f t="shared" si="118"/>
        <v>1</v>
      </c>
      <c r="Q1088" s="22" t="str">
        <f t="shared" si="119"/>
        <v>enero</v>
      </c>
      <c r="R1088" t="s">
        <v>244</v>
      </c>
      <c r="S1088">
        <v>7070</v>
      </c>
    </row>
    <row r="1089" spans="1:19" x14ac:dyDescent="0.25">
      <c r="A1089">
        <v>3</v>
      </c>
      <c r="B1089" t="s">
        <v>1838</v>
      </c>
      <c r="C1089" t="s">
        <v>6</v>
      </c>
      <c r="D1089" t="s">
        <v>183</v>
      </c>
      <c r="E1089">
        <v>451578711</v>
      </c>
      <c r="H1089">
        <v>1200</v>
      </c>
      <c r="I1089">
        <v>1200</v>
      </c>
      <c r="J1089">
        <v>0</v>
      </c>
      <c r="K1089">
        <v>0</v>
      </c>
      <c r="L1089">
        <v>0.31</v>
      </c>
      <c r="M1089" s="4">
        <v>46036</v>
      </c>
      <c r="N1089" s="25">
        <f t="shared" si="116"/>
        <v>14</v>
      </c>
      <c r="O1089" s="25" t="str">
        <f t="shared" si="117"/>
        <v>miércoles</v>
      </c>
      <c r="P1089" s="27">
        <f t="shared" si="118"/>
        <v>1</v>
      </c>
      <c r="Q1089" s="22" t="str">
        <f t="shared" si="119"/>
        <v>enero</v>
      </c>
    </row>
    <row r="1090" spans="1:19" x14ac:dyDescent="0.25">
      <c r="A1090">
        <v>3</v>
      </c>
      <c r="B1090" t="s">
        <v>1839</v>
      </c>
      <c r="C1090" t="s">
        <v>6</v>
      </c>
      <c r="D1090" t="s">
        <v>241</v>
      </c>
      <c r="E1090">
        <v>451578573</v>
      </c>
      <c r="H1090">
        <v>4990</v>
      </c>
      <c r="I1090">
        <v>1200</v>
      </c>
      <c r="J1090">
        <v>0</v>
      </c>
      <c r="K1090">
        <v>3790</v>
      </c>
      <c r="L1090">
        <v>2.5099999999999998</v>
      </c>
      <c r="M1090" s="4">
        <v>46036</v>
      </c>
      <c r="N1090" s="25">
        <f t="shared" si="116"/>
        <v>14</v>
      </c>
      <c r="O1090" s="25" t="str">
        <f t="shared" si="117"/>
        <v>miércoles</v>
      </c>
      <c r="P1090" s="27">
        <f t="shared" si="118"/>
        <v>1</v>
      </c>
      <c r="Q1090" s="22" t="str">
        <f t="shared" si="119"/>
        <v>enero</v>
      </c>
    </row>
    <row r="1091" spans="1:19" x14ac:dyDescent="0.25">
      <c r="A1091">
        <v>2</v>
      </c>
      <c r="B1091" t="s">
        <v>1840</v>
      </c>
      <c r="C1091" t="s">
        <v>6</v>
      </c>
      <c r="D1091" t="s">
        <v>1519</v>
      </c>
      <c r="E1091">
        <v>451578439</v>
      </c>
      <c r="H1091">
        <v>3410</v>
      </c>
      <c r="I1091">
        <v>1350</v>
      </c>
      <c r="J1091">
        <v>0</v>
      </c>
      <c r="K1091">
        <v>2060</v>
      </c>
      <c r="L1091">
        <v>3.214</v>
      </c>
      <c r="M1091" s="4">
        <v>46036</v>
      </c>
      <c r="N1091" s="25">
        <f t="shared" si="116"/>
        <v>14</v>
      </c>
      <c r="O1091" s="25" t="str">
        <f t="shared" si="117"/>
        <v>miércoles</v>
      </c>
      <c r="P1091" s="27">
        <f t="shared" si="118"/>
        <v>1</v>
      </c>
      <c r="Q1091" s="22" t="str">
        <f t="shared" si="119"/>
        <v>enero</v>
      </c>
      <c r="R1091" t="s">
        <v>1519</v>
      </c>
      <c r="S1091">
        <v>21930</v>
      </c>
    </row>
    <row r="1092" spans="1:19" x14ac:dyDescent="0.25">
      <c r="A1092">
        <v>2</v>
      </c>
      <c r="B1092" t="s">
        <v>1427</v>
      </c>
      <c r="C1092" t="s">
        <v>6</v>
      </c>
      <c r="D1092" t="s">
        <v>183</v>
      </c>
      <c r="E1092">
        <v>451578310</v>
      </c>
      <c r="H1092">
        <v>2480</v>
      </c>
      <c r="I1092">
        <v>1200</v>
      </c>
      <c r="J1092">
        <v>0</v>
      </c>
      <c r="K1092">
        <v>1280</v>
      </c>
      <c r="L1092">
        <v>1.5960000000000001</v>
      </c>
      <c r="M1092" s="4">
        <v>46036</v>
      </c>
      <c r="N1092" s="25">
        <f t="shared" si="116"/>
        <v>14</v>
      </c>
      <c r="O1092" s="25" t="str">
        <f t="shared" si="117"/>
        <v>miércoles</v>
      </c>
      <c r="P1092" s="27">
        <f t="shared" si="118"/>
        <v>1</v>
      </c>
      <c r="Q1092" s="22" t="str">
        <f t="shared" si="119"/>
        <v>enero</v>
      </c>
    </row>
    <row r="1093" spans="1:19" x14ac:dyDescent="0.25">
      <c r="A1093">
        <v>2</v>
      </c>
      <c r="B1093" t="s">
        <v>1841</v>
      </c>
      <c r="C1093" t="s">
        <v>6</v>
      </c>
      <c r="D1093" t="s">
        <v>184</v>
      </c>
      <c r="E1093">
        <v>451577689</v>
      </c>
      <c r="H1093">
        <v>1760</v>
      </c>
      <c r="I1093">
        <v>1200</v>
      </c>
      <c r="J1093">
        <v>0</v>
      </c>
      <c r="K1093">
        <v>560</v>
      </c>
      <c r="L1093">
        <v>1.7230000000000001</v>
      </c>
      <c r="M1093" s="4">
        <v>46036</v>
      </c>
      <c r="N1093" s="25">
        <f t="shared" si="116"/>
        <v>14</v>
      </c>
      <c r="O1093" s="25" t="str">
        <f t="shared" si="117"/>
        <v>miércoles</v>
      </c>
      <c r="P1093" s="27">
        <f t="shared" si="118"/>
        <v>1</v>
      </c>
      <c r="Q1093" s="22" t="str">
        <f t="shared" si="119"/>
        <v>enero</v>
      </c>
    </row>
    <row r="1094" spans="1:19" x14ac:dyDescent="0.25">
      <c r="A1094">
        <v>1</v>
      </c>
      <c r="B1094" t="s">
        <v>1842</v>
      </c>
      <c r="C1094" t="s">
        <v>6</v>
      </c>
      <c r="D1094" t="s">
        <v>1843</v>
      </c>
      <c r="E1094">
        <v>451576221</v>
      </c>
      <c r="F1094" t="s">
        <v>1843</v>
      </c>
      <c r="G1094">
        <v>451576547</v>
      </c>
      <c r="H1094">
        <v>3120</v>
      </c>
      <c r="I1094">
        <v>1800</v>
      </c>
      <c r="J1094">
        <v>0</v>
      </c>
      <c r="K1094">
        <v>1320</v>
      </c>
      <c r="L1094">
        <v>2.4820000000000002</v>
      </c>
      <c r="M1094" s="4">
        <v>46036</v>
      </c>
      <c r="N1094" s="25">
        <f t="shared" si="116"/>
        <v>14</v>
      </c>
      <c r="O1094" s="25" t="str">
        <f t="shared" si="117"/>
        <v>miércoles</v>
      </c>
      <c r="P1094" s="27">
        <f t="shared" si="118"/>
        <v>1</v>
      </c>
      <c r="Q1094" s="22" t="str">
        <f t="shared" si="119"/>
        <v>enero</v>
      </c>
    </row>
    <row r="1095" spans="1:19" x14ac:dyDescent="0.25">
      <c r="A1095">
        <v>1</v>
      </c>
      <c r="B1095" t="s">
        <v>1844</v>
      </c>
      <c r="C1095" t="s">
        <v>6</v>
      </c>
      <c r="D1095" t="s">
        <v>184</v>
      </c>
      <c r="E1095">
        <v>451576065</v>
      </c>
      <c r="H1095">
        <v>1200</v>
      </c>
      <c r="I1095">
        <v>1200</v>
      </c>
      <c r="J1095">
        <v>0</v>
      </c>
      <c r="K1095">
        <v>0</v>
      </c>
      <c r="L1095">
        <v>2.2120000000000002</v>
      </c>
      <c r="M1095" s="4">
        <v>46036</v>
      </c>
      <c r="N1095" s="25">
        <f t="shared" si="116"/>
        <v>14</v>
      </c>
      <c r="O1095" s="25" t="str">
        <f t="shared" si="117"/>
        <v>miércoles</v>
      </c>
      <c r="P1095" s="27">
        <f t="shared" si="118"/>
        <v>1</v>
      </c>
      <c r="Q1095" s="22" t="str">
        <f t="shared" si="119"/>
        <v>enero</v>
      </c>
    </row>
    <row r="1096" spans="1:19" x14ac:dyDescent="0.25">
      <c r="A1096">
        <v>1</v>
      </c>
      <c r="B1096" t="s">
        <v>1845</v>
      </c>
      <c r="C1096" t="s">
        <v>6</v>
      </c>
      <c r="D1096" t="s">
        <v>630</v>
      </c>
      <c r="E1096">
        <v>451574881</v>
      </c>
      <c r="H1096">
        <v>1350</v>
      </c>
      <c r="I1096">
        <v>1350</v>
      </c>
      <c r="J1096">
        <v>0</v>
      </c>
      <c r="K1096">
        <v>0</v>
      </c>
      <c r="L1096">
        <v>2.3889999999999998</v>
      </c>
      <c r="M1096" s="4">
        <v>46036</v>
      </c>
      <c r="N1096" s="25">
        <f t="shared" si="116"/>
        <v>14</v>
      </c>
      <c r="O1096" s="25" t="str">
        <f t="shared" si="117"/>
        <v>miércoles</v>
      </c>
      <c r="P1096" s="27">
        <f t="shared" si="118"/>
        <v>1</v>
      </c>
      <c r="Q1096" s="22" t="str">
        <f t="shared" si="119"/>
        <v>enero</v>
      </c>
    </row>
    <row r="1097" spans="1:19" x14ac:dyDescent="0.25">
      <c r="A1097">
        <v>12</v>
      </c>
      <c r="B1097" t="s">
        <v>1846</v>
      </c>
      <c r="C1097" t="s">
        <v>1847</v>
      </c>
      <c r="D1097" t="s">
        <v>1471</v>
      </c>
      <c r="E1097">
        <v>451770482</v>
      </c>
      <c r="H1097">
        <v>2060</v>
      </c>
      <c r="I1097">
        <v>1850</v>
      </c>
      <c r="J1097">
        <v>0</v>
      </c>
      <c r="K1097">
        <v>210</v>
      </c>
      <c r="L1097">
        <v>2.1230000000000002</v>
      </c>
      <c r="M1097" s="4">
        <v>46037</v>
      </c>
      <c r="N1097" s="25">
        <f t="shared" ref="N1097:N1116" si="120">DAY(M1097)</f>
        <v>15</v>
      </c>
      <c r="O1097" s="25" t="str">
        <f t="shared" ref="O1097:O1116" si="121">TEXT(M1097,"DDDD")</f>
        <v>jueves</v>
      </c>
      <c r="P1097" s="27">
        <f t="shared" ref="P1097:P1116" si="122">MONTH(M1097)</f>
        <v>1</v>
      </c>
      <c r="Q1097" s="22" t="str">
        <f t="shared" ref="Q1097:Q1116" si="123">TEXT(M1097,"MMMM")</f>
        <v>enero</v>
      </c>
    </row>
    <row r="1098" spans="1:19" x14ac:dyDescent="0.25">
      <c r="A1098">
        <v>12</v>
      </c>
      <c r="B1098" t="s">
        <v>1848</v>
      </c>
      <c r="C1098" t="s">
        <v>6</v>
      </c>
      <c r="D1098" t="s">
        <v>543</v>
      </c>
      <c r="E1098">
        <v>451767002</v>
      </c>
      <c r="H1098">
        <v>1880</v>
      </c>
      <c r="I1098">
        <v>1200</v>
      </c>
      <c r="J1098">
        <v>0</v>
      </c>
      <c r="K1098">
        <v>680</v>
      </c>
      <c r="L1098">
        <v>1.1759999999999999</v>
      </c>
      <c r="M1098" s="4">
        <v>46037</v>
      </c>
      <c r="N1098" s="25">
        <f t="shared" si="120"/>
        <v>15</v>
      </c>
      <c r="O1098" s="25" t="str">
        <f t="shared" si="121"/>
        <v>jueves</v>
      </c>
      <c r="P1098" s="27">
        <f t="shared" si="122"/>
        <v>1</v>
      </c>
      <c r="Q1098" s="22" t="str">
        <f t="shared" si="123"/>
        <v>enero</v>
      </c>
    </row>
    <row r="1099" spans="1:19" x14ac:dyDescent="0.25">
      <c r="A1099">
        <v>12</v>
      </c>
      <c r="B1099" t="s">
        <v>1849</v>
      </c>
      <c r="C1099" t="s">
        <v>19</v>
      </c>
      <c r="D1099" t="s">
        <v>1850</v>
      </c>
      <c r="E1099">
        <v>451751255</v>
      </c>
      <c r="H1099">
        <v>1800</v>
      </c>
      <c r="I1099">
        <v>1800</v>
      </c>
      <c r="J1099">
        <v>0</v>
      </c>
      <c r="K1099">
        <v>0</v>
      </c>
      <c r="L1099">
        <v>2.3149999999999999</v>
      </c>
      <c r="M1099" s="4">
        <v>46037</v>
      </c>
      <c r="N1099" s="25">
        <f t="shared" si="120"/>
        <v>15</v>
      </c>
      <c r="O1099" s="25" t="str">
        <f t="shared" si="121"/>
        <v>jueves</v>
      </c>
      <c r="P1099" s="27">
        <f t="shared" si="122"/>
        <v>1</v>
      </c>
      <c r="Q1099" s="22" t="str">
        <f t="shared" si="123"/>
        <v>enero</v>
      </c>
    </row>
    <row r="1100" spans="1:19" x14ac:dyDescent="0.25">
      <c r="A1100">
        <v>11</v>
      </c>
      <c r="B1100" t="s">
        <v>1851</v>
      </c>
      <c r="C1100" t="s">
        <v>19</v>
      </c>
      <c r="D1100" t="s">
        <v>253</v>
      </c>
      <c r="E1100">
        <v>451743486</v>
      </c>
      <c r="H1100">
        <v>5060</v>
      </c>
      <c r="I1100">
        <v>1200</v>
      </c>
      <c r="J1100">
        <v>0</v>
      </c>
      <c r="K1100">
        <v>3860</v>
      </c>
      <c r="L1100">
        <v>1.5189999999999999</v>
      </c>
      <c r="M1100" s="4">
        <v>46037</v>
      </c>
      <c r="N1100" s="25">
        <f t="shared" si="120"/>
        <v>15</v>
      </c>
      <c r="O1100" s="25" t="str">
        <f t="shared" si="121"/>
        <v>jueves</v>
      </c>
      <c r="P1100" s="27">
        <f t="shared" si="122"/>
        <v>1</v>
      </c>
      <c r="Q1100" s="22" t="str">
        <f t="shared" si="123"/>
        <v>enero</v>
      </c>
    </row>
    <row r="1101" spans="1:19" x14ac:dyDescent="0.25">
      <c r="A1101">
        <v>11</v>
      </c>
      <c r="B1101" t="s">
        <v>1852</v>
      </c>
      <c r="C1101" t="s">
        <v>6</v>
      </c>
      <c r="D1101" t="s">
        <v>467</v>
      </c>
      <c r="E1101">
        <v>451760306</v>
      </c>
      <c r="F1101" t="s">
        <v>467</v>
      </c>
      <c r="G1101">
        <v>451761480</v>
      </c>
      <c r="H1101">
        <v>1802</v>
      </c>
      <c r="I1101">
        <v>1800</v>
      </c>
      <c r="J1101">
        <v>0</v>
      </c>
      <c r="K1101">
        <v>2</v>
      </c>
      <c r="L1101">
        <v>1.272</v>
      </c>
      <c r="M1101" s="4">
        <v>46037</v>
      </c>
      <c r="N1101" s="25">
        <f t="shared" si="120"/>
        <v>15</v>
      </c>
      <c r="O1101" s="25" t="str">
        <f t="shared" si="121"/>
        <v>jueves</v>
      </c>
      <c r="P1101" s="27">
        <f t="shared" si="122"/>
        <v>1</v>
      </c>
      <c r="Q1101" s="22" t="str">
        <f t="shared" si="123"/>
        <v>enero</v>
      </c>
    </row>
    <row r="1102" spans="1:19" x14ac:dyDescent="0.25">
      <c r="A1102">
        <v>11</v>
      </c>
      <c r="B1102" t="s">
        <v>1853</v>
      </c>
      <c r="C1102" t="s">
        <v>6</v>
      </c>
      <c r="D1102" t="s">
        <v>1854</v>
      </c>
      <c r="E1102">
        <v>451739920</v>
      </c>
      <c r="H1102">
        <v>2710</v>
      </c>
      <c r="I1102">
        <v>2450</v>
      </c>
      <c r="J1102">
        <v>0</v>
      </c>
      <c r="K1102">
        <v>260</v>
      </c>
      <c r="L1102">
        <v>3.2519999999999998</v>
      </c>
      <c r="M1102" s="4">
        <v>46037</v>
      </c>
      <c r="N1102" s="25">
        <f t="shared" si="120"/>
        <v>15</v>
      </c>
      <c r="O1102" s="25" t="str">
        <f t="shared" si="121"/>
        <v>jueves</v>
      </c>
      <c r="P1102" s="27">
        <f t="shared" si="122"/>
        <v>1</v>
      </c>
      <c r="Q1102" s="22" t="str">
        <f t="shared" si="123"/>
        <v>enero</v>
      </c>
    </row>
    <row r="1103" spans="1:19" x14ac:dyDescent="0.25">
      <c r="A1103">
        <v>11</v>
      </c>
      <c r="B1103" t="s">
        <v>1855</v>
      </c>
      <c r="C1103" t="s">
        <v>6</v>
      </c>
      <c r="D1103" t="s">
        <v>1856</v>
      </c>
      <c r="E1103">
        <v>451736842</v>
      </c>
      <c r="H1103">
        <v>1740</v>
      </c>
      <c r="I1103">
        <v>1200</v>
      </c>
      <c r="J1103">
        <v>0</v>
      </c>
      <c r="K1103">
        <v>540</v>
      </c>
      <c r="L1103">
        <v>1.9379999999999999</v>
      </c>
      <c r="M1103" s="4">
        <v>46037</v>
      </c>
      <c r="N1103" s="25">
        <f t="shared" si="120"/>
        <v>15</v>
      </c>
      <c r="O1103" s="25" t="str">
        <f t="shared" si="121"/>
        <v>jueves</v>
      </c>
      <c r="P1103" s="27">
        <f t="shared" si="122"/>
        <v>1</v>
      </c>
      <c r="Q1103" s="22" t="str">
        <f t="shared" si="123"/>
        <v>enero</v>
      </c>
    </row>
    <row r="1104" spans="1:19" x14ac:dyDescent="0.25">
      <c r="A1104">
        <v>11</v>
      </c>
      <c r="B1104" t="s">
        <v>1857</v>
      </c>
      <c r="C1104" t="s">
        <v>6</v>
      </c>
      <c r="D1104" t="s">
        <v>1858</v>
      </c>
      <c r="E1104">
        <v>451732119</v>
      </c>
      <c r="H1104">
        <v>4400</v>
      </c>
      <c r="I1104">
        <v>1200</v>
      </c>
      <c r="J1104">
        <v>0</v>
      </c>
      <c r="K1104">
        <v>3200</v>
      </c>
      <c r="L1104">
        <v>1.179</v>
      </c>
      <c r="M1104" s="4">
        <v>46037</v>
      </c>
      <c r="N1104" s="25">
        <f t="shared" si="120"/>
        <v>15</v>
      </c>
      <c r="O1104" s="25" t="str">
        <f t="shared" si="121"/>
        <v>jueves</v>
      </c>
      <c r="P1104" s="27">
        <f t="shared" si="122"/>
        <v>1</v>
      </c>
      <c r="Q1104" s="22" t="str">
        <f t="shared" si="123"/>
        <v>enero</v>
      </c>
    </row>
    <row r="1105" spans="1:19" x14ac:dyDescent="0.25">
      <c r="A1105">
        <v>11</v>
      </c>
      <c r="B1105" t="s">
        <v>1859</v>
      </c>
      <c r="C1105" t="s">
        <v>19</v>
      </c>
      <c r="D1105" t="s">
        <v>1860</v>
      </c>
      <c r="E1105">
        <v>451730727</v>
      </c>
      <c r="H1105">
        <v>1250</v>
      </c>
      <c r="I1105">
        <v>1250</v>
      </c>
      <c r="J1105">
        <v>0</v>
      </c>
      <c r="K1105">
        <v>0</v>
      </c>
      <c r="L1105">
        <v>1.617</v>
      </c>
      <c r="M1105" s="4">
        <v>46037</v>
      </c>
      <c r="N1105" s="25">
        <f t="shared" si="120"/>
        <v>15</v>
      </c>
      <c r="O1105" s="25" t="str">
        <f t="shared" si="121"/>
        <v>jueves</v>
      </c>
      <c r="P1105" s="27">
        <f t="shared" si="122"/>
        <v>1</v>
      </c>
      <c r="Q1105" s="22" t="str">
        <f t="shared" si="123"/>
        <v>enero</v>
      </c>
    </row>
    <row r="1106" spans="1:19" x14ac:dyDescent="0.25">
      <c r="A1106">
        <v>8</v>
      </c>
      <c r="B1106" t="s">
        <v>1861</v>
      </c>
      <c r="C1106" t="s">
        <v>6</v>
      </c>
      <c r="D1106" t="s">
        <v>1862</v>
      </c>
      <c r="E1106">
        <v>451706378</v>
      </c>
      <c r="H1106">
        <v>1700</v>
      </c>
      <c r="I1106">
        <v>1200</v>
      </c>
      <c r="J1106">
        <v>0</v>
      </c>
      <c r="K1106">
        <v>500</v>
      </c>
      <c r="L1106">
        <v>0.94899999999999995</v>
      </c>
      <c r="M1106" s="4">
        <v>46037</v>
      </c>
      <c r="N1106" s="25">
        <f t="shared" si="120"/>
        <v>15</v>
      </c>
      <c r="O1106" s="25" t="str">
        <f t="shared" si="121"/>
        <v>jueves</v>
      </c>
      <c r="P1106" s="27">
        <f t="shared" si="122"/>
        <v>1</v>
      </c>
      <c r="Q1106" s="22" t="str">
        <f t="shared" si="123"/>
        <v>enero</v>
      </c>
      <c r="R1106" t="s">
        <v>1862</v>
      </c>
      <c r="S1106">
        <v>11372</v>
      </c>
    </row>
    <row r="1107" spans="1:19" x14ac:dyDescent="0.25">
      <c r="A1107">
        <v>7</v>
      </c>
      <c r="B1107" t="s">
        <v>1863</v>
      </c>
      <c r="C1107" t="s">
        <v>6</v>
      </c>
      <c r="D1107" t="s">
        <v>1864</v>
      </c>
      <c r="E1107">
        <v>451699349</v>
      </c>
      <c r="H1107">
        <v>3720</v>
      </c>
      <c r="I1107">
        <v>1200</v>
      </c>
      <c r="J1107">
        <v>0</v>
      </c>
      <c r="K1107">
        <v>2520</v>
      </c>
      <c r="L1107">
        <v>2.1819999999999999</v>
      </c>
      <c r="M1107" s="4">
        <v>46037</v>
      </c>
      <c r="N1107" s="25">
        <f t="shared" si="120"/>
        <v>15</v>
      </c>
      <c r="O1107" s="25" t="str">
        <f t="shared" si="121"/>
        <v>jueves</v>
      </c>
      <c r="P1107" s="27">
        <f t="shared" si="122"/>
        <v>1</v>
      </c>
      <c r="Q1107" s="22" t="str">
        <f t="shared" si="123"/>
        <v>enero</v>
      </c>
    </row>
    <row r="1108" spans="1:19" x14ac:dyDescent="0.25">
      <c r="A1108">
        <v>7</v>
      </c>
      <c r="B1108" t="s">
        <v>772</v>
      </c>
      <c r="C1108" t="s">
        <v>6</v>
      </c>
      <c r="D1108" t="s">
        <v>1865</v>
      </c>
      <c r="E1108">
        <v>451697017</v>
      </c>
      <c r="H1108">
        <v>2620</v>
      </c>
      <c r="I1108">
        <v>1200</v>
      </c>
      <c r="J1108">
        <v>0</v>
      </c>
      <c r="K1108">
        <v>1420</v>
      </c>
      <c r="L1108">
        <v>0.26700000000000002</v>
      </c>
      <c r="M1108" s="4">
        <v>46037</v>
      </c>
      <c r="N1108" s="25">
        <f t="shared" si="120"/>
        <v>15</v>
      </c>
      <c r="O1108" s="25" t="str">
        <f t="shared" si="121"/>
        <v>jueves</v>
      </c>
      <c r="P1108" s="27">
        <f t="shared" si="122"/>
        <v>1</v>
      </c>
      <c r="Q1108" s="22" t="str">
        <f t="shared" si="123"/>
        <v>enero</v>
      </c>
    </row>
    <row r="1109" spans="1:19" x14ac:dyDescent="0.25">
      <c r="A1109">
        <v>7</v>
      </c>
      <c r="B1109" t="s">
        <v>1866</v>
      </c>
      <c r="C1109" t="s">
        <v>19</v>
      </c>
      <c r="D1109" t="s">
        <v>1867</v>
      </c>
      <c r="E1109">
        <v>451692101</v>
      </c>
      <c r="H1109">
        <v>2500</v>
      </c>
      <c r="I1109">
        <v>2500</v>
      </c>
      <c r="J1109">
        <v>0</v>
      </c>
      <c r="K1109">
        <v>0</v>
      </c>
      <c r="L1109"/>
      <c r="M1109" s="4">
        <v>46037</v>
      </c>
      <c r="N1109" s="25">
        <f t="shared" si="120"/>
        <v>15</v>
      </c>
      <c r="O1109" s="25" t="str">
        <f t="shared" si="121"/>
        <v>jueves</v>
      </c>
      <c r="P1109" s="27">
        <f t="shared" si="122"/>
        <v>1</v>
      </c>
      <c r="Q1109" s="22" t="str">
        <f t="shared" si="123"/>
        <v>enero</v>
      </c>
    </row>
    <row r="1110" spans="1:19" x14ac:dyDescent="0.25">
      <c r="A1110">
        <v>7</v>
      </c>
      <c r="B1110" t="s">
        <v>1868</v>
      </c>
      <c r="C1110" t="s">
        <v>19</v>
      </c>
      <c r="D1110" t="s">
        <v>1869</v>
      </c>
      <c r="E1110">
        <v>451876621</v>
      </c>
      <c r="H1110">
        <v>1200</v>
      </c>
      <c r="I1110">
        <v>1200</v>
      </c>
      <c r="J1110">
        <v>0</v>
      </c>
      <c r="K1110">
        <v>0</v>
      </c>
      <c r="L1110">
        <v>2.2250000000000001</v>
      </c>
      <c r="M1110" s="4">
        <v>46037</v>
      </c>
      <c r="N1110" s="25">
        <f t="shared" si="120"/>
        <v>15</v>
      </c>
      <c r="O1110" s="25" t="str">
        <f t="shared" si="121"/>
        <v>jueves</v>
      </c>
      <c r="P1110" s="27">
        <f t="shared" si="122"/>
        <v>1</v>
      </c>
      <c r="Q1110" s="22" t="str">
        <f t="shared" si="123"/>
        <v>enero</v>
      </c>
    </row>
    <row r="1111" spans="1:19" x14ac:dyDescent="0.25">
      <c r="A1111">
        <v>6</v>
      </c>
      <c r="B1111" t="s">
        <v>1870</v>
      </c>
      <c r="C1111" t="s">
        <v>6</v>
      </c>
      <c r="D1111" t="s">
        <v>1871</v>
      </c>
      <c r="E1111">
        <v>451683380</v>
      </c>
      <c r="H1111">
        <v>2060</v>
      </c>
      <c r="I1111">
        <v>1200</v>
      </c>
      <c r="J1111">
        <v>0</v>
      </c>
      <c r="K1111">
        <v>860</v>
      </c>
      <c r="L1111">
        <v>2.3290000000000002</v>
      </c>
      <c r="M1111" s="4">
        <v>46037</v>
      </c>
      <c r="N1111" s="25">
        <f t="shared" si="120"/>
        <v>15</v>
      </c>
      <c r="O1111" s="25" t="str">
        <f t="shared" si="121"/>
        <v>jueves</v>
      </c>
      <c r="P1111" s="27">
        <f t="shared" si="122"/>
        <v>1</v>
      </c>
      <c r="Q1111" s="22" t="str">
        <f t="shared" si="123"/>
        <v>enero</v>
      </c>
    </row>
    <row r="1112" spans="1:19" x14ac:dyDescent="0.25">
      <c r="A1112">
        <v>6</v>
      </c>
      <c r="B1112" t="s">
        <v>1872</v>
      </c>
      <c r="C1112" t="s">
        <v>6</v>
      </c>
      <c r="D1112" t="s">
        <v>1873</v>
      </c>
      <c r="E1112">
        <v>451682726</v>
      </c>
      <c r="H1112">
        <v>1200</v>
      </c>
      <c r="I1112">
        <v>1200</v>
      </c>
      <c r="J1112">
        <v>0</v>
      </c>
      <c r="K1112">
        <v>0</v>
      </c>
      <c r="L1112">
        <v>1.278</v>
      </c>
      <c r="M1112" s="4">
        <v>46037</v>
      </c>
      <c r="N1112" s="25">
        <f t="shared" si="120"/>
        <v>15</v>
      </c>
      <c r="O1112" s="25" t="str">
        <f t="shared" si="121"/>
        <v>jueves</v>
      </c>
      <c r="P1112" s="27">
        <f t="shared" si="122"/>
        <v>1</v>
      </c>
      <c r="Q1112" s="22" t="str">
        <f t="shared" si="123"/>
        <v>enero</v>
      </c>
      <c r="R1112" t="s">
        <v>1873</v>
      </c>
      <c r="S1112">
        <v>17352</v>
      </c>
    </row>
    <row r="1113" spans="1:19" x14ac:dyDescent="0.25">
      <c r="A1113">
        <v>6</v>
      </c>
      <c r="B1113" t="s">
        <v>1874</v>
      </c>
      <c r="C1113" t="s">
        <v>6</v>
      </c>
      <c r="D1113" t="s">
        <v>1817</v>
      </c>
      <c r="E1113">
        <v>451682155</v>
      </c>
      <c r="H1113">
        <v>1700</v>
      </c>
      <c r="I1113">
        <v>1200</v>
      </c>
      <c r="J1113">
        <v>0</v>
      </c>
      <c r="K1113">
        <v>500</v>
      </c>
      <c r="L1113">
        <v>0.26100000000000001</v>
      </c>
      <c r="M1113" s="4">
        <v>46037</v>
      </c>
      <c r="N1113" s="25">
        <f t="shared" si="120"/>
        <v>15</v>
      </c>
      <c r="O1113" s="25" t="str">
        <f t="shared" si="121"/>
        <v>jueves</v>
      </c>
      <c r="P1113" s="27">
        <f t="shared" si="122"/>
        <v>1</v>
      </c>
      <c r="Q1113" s="22" t="str">
        <f t="shared" si="123"/>
        <v>enero</v>
      </c>
    </row>
    <row r="1114" spans="1:19" x14ac:dyDescent="0.25">
      <c r="A1114">
        <v>5</v>
      </c>
      <c r="B1114" t="s">
        <v>1875</v>
      </c>
      <c r="C1114" t="s">
        <v>6</v>
      </c>
      <c r="D1114" t="s">
        <v>798</v>
      </c>
      <c r="E1114">
        <v>451681259</v>
      </c>
      <c r="H1114">
        <v>2140</v>
      </c>
      <c r="I1114">
        <v>1200</v>
      </c>
      <c r="J1114">
        <v>0</v>
      </c>
      <c r="K1114">
        <v>940</v>
      </c>
      <c r="L1114">
        <v>0.95699999999999996</v>
      </c>
      <c r="M1114" s="4">
        <v>46037</v>
      </c>
      <c r="N1114" s="25">
        <f t="shared" si="120"/>
        <v>15</v>
      </c>
      <c r="O1114" s="25" t="str">
        <f t="shared" si="121"/>
        <v>jueves</v>
      </c>
      <c r="P1114" s="27">
        <f t="shared" si="122"/>
        <v>1</v>
      </c>
      <c r="Q1114" s="22" t="str">
        <f t="shared" si="123"/>
        <v>enero</v>
      </c>
    </row>
    <row r="1115" spans="1:19" x14ac:dyDescent="0.25">
      <c r="A1115">
        <v>5</v>
      </c>
      <c r="B1115" t="s">
        <v>1876</v>
      </c>
      <c r="C1115" t="s">
        <v>19</v>
      </c>
      <c r="D1115" t="s">
        <v>487</v>
      </c>
      <c r="E1115">
        <v>451680657</v>
      </c>
      <c r="H1115">
        <v>1900</v>
      </c>
      <c r="I1115">
        <v>1200</v>
      </c>
      <c r="J1115">
        <v>0</v>
      </c>
      <c r="K1115">
        <v>700</v>
      </c>
      <c r="L1115">
        <v>0.76700000000000002</v>
      </c>
      <c r="M1115" s="4">
        <v>46037</v>
      </c>
      <c r="N1115" s="25">
        <f t="shared" si="120"/>
        <v>15</v>
      </c>
      <c r="O1115" s="25" t="str">
        <f t="shared" si="121"/>
        <v>jueves</v>
      </c>
      <c r="P1115" s="27">
        <f t="shared" si="122"/>
        <v>1</v>
      </c>
      <c r="Q1115" s="22" t="str">
        <f t="shared" si="123"/>
        <v>enero</v>
      </c>
    </row>
    <row r="1116" spans="1:19" x14ac:dyDescent="0.25">
      <c r="A1116">
        <v>4</v>
      </c>
      <c r="B1116" t="s">
        <v>1877</v>
      </c>
      <c r="C1116" t="s">
        <v>6</v>
      </c>
      <c r="D1116" t="s">
        <v>1878</v>
      </c>
      <c r="E1116">
        <v>451678504</v>
      </c>
      <c r="H1116">
        <v>2040</v>
      </c>
      <c r="I1116">
        <v>1200</v>
      </c>
      <c r="J1116">
        <v>0</v>
      </c>
      <c r="K1116">
        <v>840</v>
      </c>
      <c r="L1116">
        <v>0.72199999999999998</v>
      </c>
      <c r="M1116" s="4">
        <v>46037</v>
      </c>
      <c r="N1116" s="25">
        <f t="shared" si="120"/>
        <v>15</v>
      </c>
      <c r="O1116" s="25" t="str">
        <f t="shared" si="121"/>
        <v>jueves</v>
      </c>
      <c r="P1116" s="27">
        <f t="shared" si="122"/>
        <v>1</v>
      </c>
      <c r="Q1116" s="22" t="str">
        <f t="shared" si="123"/>
        <v>enero</v>
      </c>
    </row>
  </sheetData>
  <autoFilter ref="A1:T1056" xr:uid="{00000000-0001-0000-0000-000000000000}"/>
  <sortState xmlns:xlrd2="http://schemas.microsoft.com/office/spreadsheetml/2017/richdata2" ref="A2:T879">
    <sortCondition ref="M2:M879"/>
  </sortState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T101"/>
  <sheetViews>
    <sheetView workbookViewId="0">
      <pane ySplit="1" topLeftCell="A2" activePane="bottomLeft" state="frozen"/>
      <selection pane="bottomLeft" activeCell="E101" sqref="E101"/>
    </sheetView>
  </sheetViews>
  <sheetFormatPr baseColWidth="10" defaultColWidth="8.85546875" defaultRowHeight="15" x14ac:dyDescent="0.25"/>
  <cols>
    <col min="1" max="1" width="10.5703125" style="4" bestFit="1" customWidth="1"/>
    <col min="2" max="2" width="17.28515625" customWidth="1"/>
    <col min="3" max="3" width="13.85546875" customWidth="1"/>
    <col min="4" max="6" width="12.7109375" customWidth="1"/>
    <col min="7" max="8" width="16" style="3" customWidth="1"/>
  </cols>
  <sheetData>
    <row r="1" spans="1:20" ht="45" x14ac:dyDescent="0.25">
      <c r="A1" s="5" t="s">
        <v>4</v>
      </c>
      <c r="B1" s="1" t="s">
        <v>56</v>
      </c>
      <c r="C1" s="41" t="s">
        <v>57</v>
      </c>
      <c r="D1" s="1" t="s">
        <v>988</v>
      </c>
      <c r="E1" s="41" t="s">
        <v>989</v>
      </c>
      <c r="F1" s="1" t="s">
        <v>332</v>
      </c>
      <c r="G1" s="42" t="s">
        <v>1192</v>
      </c>
      <c r="H1" s="45"/>
      <c r="I1" s="40" t="s">
        <v>975</v>
      </c>
      <c r="J1" s="40" t="s">
        <v>976</v>
      </c>
      <c r="K1" s="40" t="s">
        <v>977</v>
      </c>
      <c r="L1" s="40" t="s">
        <v>978</v>
      </c>
      <c r="M1" s="40" t="s">
        <v>979</v>
      </c>
      <c r="N1" s="40" t="s">
        <v>980</v>
      </c>
      <c r="O1" s="40" t="s">
        <v>981</v>
      </c>
      <c r="P1" s="40" t="s">
        <v>982</v>
      </c>
      <c r="Q1" s="40" t="s">
        <v>983</v>
      </c>
      <c r="R1" s="40" t="s">
        <v>984</v>
      </c>
      <c r="S1" s="40" t="s">
        <v>985</v>
      </c>
      <c r="T1" s="40" t="s">
        <v>986</v>
      </c>
    </row>
    <row r="2" spans="1:20" hidden="1" x14ac:dyDescent="0.25">
      <c r="A2" s="4">
        <v>45863</v>
      </c>
      <c r="B2" s="3">
        <f>SUM(Datos!H2:H8)</f>
        <v>20227</v>
      </c>
      <c r="C2">
        <f>COUNTA(Datos!H2:H8)</f>
        <v>7</v>
      </c>
      <c r="F2" t="s">
        <v>119</v>
      </c>
      <c r="G2" s="3">
        <f>AVERAGE(Datos!H2:H8)</f>
        <v>2889.5714285714284</v>
      </c>
      <c r="I2">
        <v>1</v>
      </c>
      <c r="J2">
        <v>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hidden="1" x14ac:dyDescent="0.25">
      <c r="A3" s="4">
        <v>45866</v>
      </c>
      <c r="B3" s="3">
        <f>SUM(Datos!H9:H15)</f>
        <v>21960</v>
      </c>
      <c r="C3">
        <f>COUNTA(Datos!H9:H15)</f>
        <v>7</v>
      </c>
      <c r="D3">
        <v>3</v>
      </c>
      <c r="E3">
        <f>SUM(C3+D3)</f>
        <v>10</v>
      </c>
      <c r="F3" t="s">
        <v>194</v>
      </c>
      <c r="G3" s="3">
        <f>AVERAGE(Datos!H9:H15)</f>
        <v>3137.1428571428573</v>
      </c>
      <c r="I3">
        <v>0</v>
      </c>
      <c r="J3">
        <v>0</v>
      </c>
      <c r="K3">
        <v>0</v>
      </c>
      <c r="L3">
        <v>1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  <row r="4" spans="1:20" hidden="1" x14ac:dyDescent="0.25">
      <c r="A4" s="4">
        <v>45867</v>
      </c>
      <c r="B4" s="3">
        <f>SUM(Datos!H16:H30)</f>
        <v>38310</v>
      </c>
      <c r="C4">
        <f>COUNTA(Datos!H16:H30)</f>
        <v>15</v>
      </c>
      <c r="D4">
        <v>2</v>
      </c>
      <c r="E4">
        <f t="shared" ref="E4:E32" si="0">SUM(C4+D4)</f>
        <v>17</v>
      </c>
      <c r="F4" t="s">
        <v>168</v>
      </c>
      <c r="G4" s="3">
        <f>AVERAGE(Datos!H16:H30)</f>
        <v>2554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1</v>
      </c>
      <c r="Q4">
        <v>1</v>
      </c>
      <c r="R4">
        <v>0</v>
      </c>
      <c r="S4">
        <v>1</v>
      </c>
      <c r="T4">
        <v>1</v>
      </c>
    </row>
    <row r="5" spans="1:20" x14ac:dyDescent="0.25">
      <c r="A5" s="4">
        <v>45868</v>
      </c>
      <c r="B5" s="3">
        <f>SUM(Datos!H31:H36)</f>
        <v>14330</v>
      </c>
      <c r="C5">
        <f>COUNTA(Datos!H31:H36)</f>
        <v>6</v>
      </c>
      <c r="D5">
        <v>2</v>
      </c>
      <c r="E5">
        <f t="shared" si="0"/>
        <v>8</v>
      </c>
      <c r="F5" t="s">
        <v>987</v>
      </c>
      <c r="G5" s="3">
        <f>AVERAGE(Datos!H31:H36)</f>
        <v>2388.3333333333335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1</v>
      </c>
      <c r="R5">
        <v>0</v>
      </c>
      <c r="S5">
        <v>1</v>
      </c>
      <c r="T5">
        <v>0</v>
      </c>
    </row>
    <row r="6" spans="1:20" hidden="1" x14ac:dyDescent="0.25">
      <c r="A6" s="4">
        <v>45870</v>
      </c>
      <c r="B6" s="3">
        <f>SUM(Datos!H114:H128)</f>
        <v>40900</v>
      </c>
      <c r="C6">
        <f>COUNTA(Datos!H114:H128)</f>
        <v>15</v>
      </c>
      <c r="D6">
        <v>2</v>
      </c>
      <c r="E6">
        <f t="shared" si="0"/>
        <v>17</v>
      </c>
      <c r="F6" t="s">
        <v>119</v>
      </c>
      <c r="G6" s="3">
        <f>AVERAGE(Datos!H114:H128)</f>
        <v>2726.6666666666665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  <c r="O6">
        <v>1</v>
      </c>
      <c r="P6">
        <v>1</v>
      </c>
      <c r="Q6">
        <v>1</v>
      </c>
      <c r="R6">
        <v>0</v>
      </c>
      <c r="S6">
        <v>0</v>
      </c>
      <c r="T6">
        <v>0</v>
      </c>
    </row>
    <row r="7" spans="1:20" hidden="1" x14ac:dyDescent="0.25">
      <c r="A7" s="4">
        <v>45871</v>
      </c>
      <c r="B7" s="3">
        <f>SUM(Datos!H52:H69)</f>
        <v>61330</v>
      </c>
      <c r="C7">
        <f>COUNTA(Datos!H52:H69)</f>
        <v>18</v>
      </c>
      <c r="D7">
        <v>5</v>
      </c>
      <c r="E7">
        <f t="shared" si="0"/>
        <v>23</v>
      </c>
      <c r="F7" t="s">
        <v>131</v>
      </c>
      <c r="G7" s="3">
        <f>AVERAGE(Datos!H52:H69)</f>
        <v>3407.2222222222222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1</v>
      </c>
      <c r="S7">
        <v>1</v>
      </c>
      <c r="T7">
        <v>1</v>
      </c>
    </row>
    <row r="8" spans="1:20" hidden="1" x14ac:dyDescent="0.25">
      <c r="A8" s="4">
        <v>45872</v>
      </c>
      <c r="B8" s="3">
        <f>SUM(Datos!H70:H79)</f>
        <v>24830</v>
      </c>
      <c r="C8">
        <f>COUNTA(Datos!H70:H79)</f>
        <v>10</v>
      </c>
      <c r="D8">
        <v>1</v>
      </c>
      <c r="E8">
        <f t="shared" si="0"/>
        <v>11</v>
      </c>
      <c r="F8" t="s">
        <v>238</v>
      </c>
      <c r="G8" s="3">
        <f>AVERAGE(Datos!H70:H79)</f>
        <v>2483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  <c r="P8">
        <v>1</v>
      </c>
      <c r="Q8">
        <v>1</v>
      </c>
      <c r="R8">
        <v>1</v>
      </c>
      <c r="S8">
        <v>1</v>
      </c>
      <c r="T8">
        <v>0</v>
      </c>
    </row>
    <row r="9" spans="1:20" x14ac:dyDescent="0.25">
      <c r="A9" s="4">
        <v>45875</v>
      </c>
      <c r="B9" s="3">
        <f>SUM(Datos!H80:H92)</f>
        <v>26605</v>
      </c>
      <c r="C9">
        <f>COUNTA(Datos!H80:H92)</f>
        <v>13</v>
      </c>
      <c r="D9">
        <v>1</v>
      </c>
      <c r="E9">
        <f t="shared" si="0"/>
        <v>14</v>
      </c>
      <c r="F9" t="s">
        <v>987</v>
      </c>
      <c r="G9" s="3">
        <f>AVERAGE(Datos!H80:H92)</f>
        <v>2046.5384615384614</v>
      </c>
      <c r="I9">
        <v>1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  <c r="T9">
        <v>0</v>
      </c>
    </row>
    <row r="10" spans="1:20" hidden="1" x14ac:dyDescent="0.25">
      <c r="A10" s="4">
        <v>45877</v>
      </c>
      <c r="B10" s="3">
        <f>SUM(Datos!H93:H101)</f>
        <v>15435</v>
      </c>
      <c r="C10">
        <f>COUNTA(Datos!H93:H101)</f>
        <v>9</v>
      </c>
      <c r="D10">
        <v>0</v>
      </c>
      <c r="E10">
        <f t="shared" si="0"/>
        <v>9</v>
      </c>
      <c r="F10" t="s">
        <v>119</v>
      </c>
      <c r="G10" s="3">
        <f>AVERAGE(Datos!H93:H101)</f>
        <v>1715</v>
      </c>
      <c r="I10">
        <v>1</v>
      </c>
      <c r="J10">
        <v>1</v>
      </c>
      <c r="K10">
        <v>1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</row>
    <row r="11" spans="1:20" hidden="1" x14ac:dyDescent="0.25">
      <c r="A11" s="4">
        <v>45878</v>
      </c>
      <c r="B11" s="3">
        <f>SUM(Datos!H102:H116)</f>
        <v>31841</v>
      </c>
      <c r="C11">
        <f>COUNTA(Datos!H102:H116)</f>
        <v>15</v>
      </c>
      <c r="D11">
        <v>0</v>
      </c>
      <c r="E11">
        <f t="shared" si="0"/>
        <v>15</v>
      </c>
      <c r="F11" t="s">
        <v>131</v>
      </c>
      <c r="G11" s="3">
        <f>AVERAGE(Datos!H102:H116)</f>
        <v>2122.7333333333331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1</v>
      </c>
      <c r="T11">
        <v>0</v>
      </c>
    </row>
    <row r="12" spans="1:20" hidden="1" x14ac:dyDescent="0.25">
      <c r="A12" s="4">
        <v>45879</v>
      </c>
      <c r="B12" s="3">
        <f>SUM(Datos!H117:H140)</f>
        <v>61893.88</v>
      </c>
      <c r="C12">
        <f>COUNTA(Datos!H117:H140)</f>
        <v>23</v>
      </c>
      <c r="D12">
        <v>6</v>
      </c>
      <c r="E12">
        <f t="shared" si="0"/>
        <v>29</v>
      </c>
      <c r="F12" t="s">
        <v>238</v>
      </c>
      <c r="G12" s="3">
        <f>AVERAGE(Datos!H117:H140)</f>
        <v>2691.038260869565</v>
      </c>
      <c r="I12">
        <v>1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1</v>
      </c>
      <c r="Q12">
        <v>1</v>
      </c>
      <c r="R12">
        <v>1</v>
      </c>
      <c r="S12">
        <v>1</v>
      </c>
      <c r="T12">
        <v>1</v>
      </c>
    </row>
    <row r="13" spans="1:20" hidden="1" x14ac:dyDescent="0.25">
      <c r="A13" s="4">
        <v>45884</v>
      </c>
      <c r="B13" s="3">
        <f>SUM(Datos!H141:H150)</f>
        <v>22640</v>
      </c>
      <c r="C13">
        <f>COUNTA(Datos!H141:H150)</f>
        <v>10</v>
      </c>
      <c r="D13">
        <v>0</v>
      </c>
      <c r="E13">
        <f t="shared" si="0"/>
        <v>10</v>
      </c>
      <c r="F13" t="s">
        <v>119</v>
      </c>
      <c r="G13" s="3">
        <f>AVERAGE(Datos!H141:H150)</f>
        <v>2264</v>
      </c>
      <c r="I13">
        <v>0</v>
      </c>
      <c r="J13">
        <v>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  <c r="T13">
        <v>1</v>
      </c>
    </row>
    <row r="14" spans="1:20" hidden="1" x14ac:dyDescent="0.25">
      <c r="A14" s="4">
        <v>45885</v>
      </c>
      <c r="B14" s="3">
        <f>SUM(Datos!H151:H157)</f>
        <v>21470</v>
      </c>
      <c r="C14">
        <f>COUNTA(Datos!H151:H157)</f>
        <v>7</v>
      </c>
      <c r="D14">
        <v>0</v>
      </c>
      <c r="E14">
        <f t="shared" si="0"/>
        <v>7</v>
      </c>
      <c r="F14" t="s">
        <v>131</v>
      </c>
      <c r="G14" s="3">
        <f>AVERAGE(Datos!H151:H157)</f>
        <v>3067.1428571428573</v>
      </c>
      <c r="I14">
        <v>1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25">
      <c r="A15" s="4">
        <v>45889</v>
      </c>
      <c r="B15" s="3">
        <f>SUM(Datos!H158:H171)</f>
        <v>33631</v>
      </c>
      <c r="C15">
        <f>COUNTA(Datos!H158:H171)</f>
        <v>14</v>
      </c>
      <c r="D15">
        <v>0</v>
      </c>
      <c r="E15">
        <f t="shared" si="0"/>
        <v>14</v>
      </c>
      <c r="F15" t="s">
        <v>987</v>
      </c>
      <c r="G15" s="3">
        <f>AVERAGE(Datos!H158:H171)</f>
        <v>2402.2142857142858</v>
      </c>
      <c r="I15">
        <v>1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1</v>
      </c>
      <c r="S15">
        <v>0</v>
      </c>
      <c r="T15">
        <v>1</v>
      </c>
    </row>
    <row r="16" spans="1:20" hidden="1" x14ac:dyDescent="0.25">
      <c r="A16" s="4">
        <v>45890</v>
      </c>
      <c r="B16" s="3">
        <f>SUM(Datos!H172:H191)</f>
        <v>42841</v>
      </c>
      <c r="C16">
        <f>COUNTA(Datos!H172:H191)</f>
        <v>20</v>
      </c>
      <c r="D16">
        <v>0</v>
      </c>
      <c r="E16">
        <f t="shared" si="0"/>
        <v>20</v>
      </c>
      <c r="F16" t="s">
        <v>7</v>
      </c>
      <c r="G16" s="3">
        <f>AVERAGE(Datos!H172:H191)</f>
        <v>2142.0500000000002</v>
      </c>
      <c r="I16">
        <v>1</v>
      </c>
      <c r="J16">
        <v>1</v>
      </c>
      <c r="K16">
        <v>1</v>
      </c>
      <c r="L16">
        <v>0</v>
      </c>
      <c r="M16">
        <v>1</v>
      </c>
      <c r="N16">
        <v>1</v>
      </c>
      <c r="O16">
        <v>0</v>
      </c>
      <c r="P16">
        <v>0</v>
      </c>
      <c r="Q16">
        <v>1</v>
      </c>
      <c r="R16">
        <v>0</v>
      </c>
      <c r="S16">
        <v>1</v>
      </c>
      <c r="T16">
        <v>1</v>
      </c>
    </row>
    <row r="17" spans="1:20" hidden="1" x14ac:dyDescent="0.25">
      <c r="A17" s="4">
        <v>45893</v>
      </c>
      <c r="B17" s="3">
        <f>SUM(Datos!H192:H223)</f>
        <v>99390</v>
      </c>
      <c r="C17">
        <f>COUNTA(Datos!H192:H223)</f>
        <v>32</v>
      </c>
      <c r="D17">
        <v>7</v>
      </c>
      <c r="E17">
        <f t="shared" si="0"/>
        <v>39</v>
      </c>
      <c r="F17" t="s">
        <v>238</v>
      </c>
      <c r="G17" s="3">
        <f>AVERAGE(Datos!H192:H223)</f>
        <v>3105.9375</v>
      </c>
      <c r="I17">
        <v>0</v>
      </c>
      <c r="J17">
        <v>0</v>
      </c>
      <c r="K17">
        <v>0</v>
      </c>
      <c r="L17">
        <v>1</v>
      </c>
      <c r="M17">
        <v>1</v>
      </c>
      <c r="N17">
        <v>0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</row>
    <row r="18" spans="1:20" x14ac:dyDescent="0.25">
      <c r="A18" s="4">
        <v>45896</v>
      </c>
      <c r="B18" s="3">
        <f>SUM(Datos!H224:H239)</f>
        <v>36375</v>
      </c>
      <c r="C18">
        <f>COUNTA(Datos!H224:H239)</f>
        <v>16</v>
      </c>
      <c r="D18">
        <v>3</v>
      </c>
      <c r="E18">
        <f t="shared" si="0"/>
        <v>19</v>
      </c>
      <c r="F18" t="s">
        <v>987</v>
      </c>
      <c r="G18" s="3">
        <f>AVERAGE(Datos!H224:H239)</f>
        <v>2273.4375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1</v>
      </c>
      <c r="R18">
        <v>1</v>
      </c>
      <c r="S18">
        <v>1</v>
      </c>
      <c r="T18">
        <v>1</v>
      </c>
    </row>
    <row r="19" spans="1:20" hidden="1" x14ac:dyDescent="0.25">
      <c r="A19" s="4">
        <v>45900</v>
      </c>
      <c r="B19" s="3">
        <f>SUM(Datos!H240:H255)</f>
        <v>45700</v>
      </c>
      <c r="C19">
        <f>COUNTA(Datos!H240:H255)</f>
        <v>16</v>
      </c>
      <c r="D19">
        <v>0</v>
      </c>
      <c r="E19">
        <f t="shared" si="0"/>
        <v>16</v>
      </c>
      <c r="F19" t="s">
        <v>238</v>
      </c>
      <c r="G19" s="3">
        <f>AVERAGE(Datos!H240:H255)</f>
        <v>2856.25</v>
      </c>
      <c r="I19">
        <v>0</v>
      </c>
      <c r="J19">
        <v>0</v>
      </c>
      <c r="K19">
        <v>1</v>
      </c>
      <c r="L19">
        <v>1</v>
      </c>
      <c r="M19">
        <v>0</v>
      </c>
      <c r="N19">
        <v>0</v>
      </c>
      <c r="O19">
        <v>1</v>
      </c>
      <c r="P19">
        <v>1</v>
      </c>
      <c r="Q19">
        <v>1</v>
      </c>
      <c r="R19">
        <v>1</v>
      </c>
      <c r="S19">
        <v>1</v>
      </c>
      <c r="T19">
        <v>0</v>
      </c>
    </row>
    <row r="20" spans="1:20" hidden="1" x14ac:dyDescent="0.25">
      <c r="A20" s="4">
        <v>45901</v>
      </c>
      <c r="B20" s="3">
        <f>SUM(Datos!H256:H264)</f>
        <v>24670</v>
      </c>
      <c r="C20">
        <f>COUNTA(Datos!H256:H264)</f>
        <v>9</v>
      </c>
      <c r="D20">
        <v>4</v>
      </c>
      <c r="E20">
        <f t="shared" si="0"/>
        <v>13</v>
      </c>
      <c r="F20" t="s">
        <v>194</v>
      </c>
      <c r="G20" s="3">
        <f>AVERAGE(Datos!H256:H264)</f>
        <v>2741.1111111111113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1</v>
      </c>
      <c r="R20">
        <v>1</v>
      </c>
      <c r="S20">
        <v>0</v>
      </c>
      <c r="T20">
        <v>1</v>
      </c>
    </row>
    <row r="21" spans="1:20" hidden="1" x14ac:dyDescent="0.25">
      <c r="A21" s="4">
        <v>45902</v>
      </c>
      <c r="B21" s="3">
        <f>SUM(Datos!H265:H272)</f>
        <v>19558</v>
      </c>
      <c r="C21">
        <f>COUNTA(Datos!H265:H272)</f>
        <v>8</v>
      </c>
      <c r="D21">
        <v>1</v>
      </c>
      <c r="E21">
        <f t="shared" si="0"/>
        <v>9</v>
      </c>
      <c r="F21" t="s">
        <v>168</v>
      </c>
      <c r="G21" s="3">
        <f>AVERAGE(Datos!H265:H272)</f>
        <v>2444.75</v>
      </c>
      <c r="I21">
        <v>1</v>
      </c>
      <c r="J21">
        <v>1</v>
      </c>
      <c r="K21">
        <v>1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</row>
    <row r="22" spans="1:20" x14ac:dyDescent="0.25">
      <c r="A22" s="4">
        <v>45903</v>
      </c>
      <c r="B22" s="3">
        <f>SUM(Datos!H273:H280)</f>
        <v>14536</v>
      </c>
      <c r="C22">
        <f>COUNTA(Datos!H273:H280)</f>
        <v>8</v>
      </c>
      <c r="D22">
        <v>0</v>
      </c>
      <c r="E22">
        <f t="shared" si="0"/>
        <v>8</v>
      </c>
      <c r="F22" t="s">
        <v>987</v>
      </c>
      <c r="G22" s="3">
        <f>AVERAGE(Datos!H273:H280)</f>
        <v>1817</v>
      </c>
      <c r="I22">
        <v>0</v>
      </c>
      <c r="J22">
        <v>0</v>
      </c>
      <c r="K22">
        <v>0</v>
      </c>
      <c r="L22">
        <v>0</v>
      </c>
      <c r="M22">
        <v>1</v>
      </c>
      <c r="N22">
        <v>1</v>
      </c>
      <c r="O22">
        <v>1</v>
      </c>
      <c r="P22">
        <v>0</v>
      </c>
      <c r="Q22">
        <v>0</v>
      </c>
      <c r="R22">
        <v>0</v>
      </c>
      <c r="S22">
        <v>0</v>
      </c>
      <c r="T22">
        <v>0</v>
      </c>
    </row>
    <row r="23" spans="1:20" hidden="1" x14ac:dyDescent="0.25">
      <c r="A23" s="4">
        <v>45904</v>
      </c>
      <c r="B23" s="3">
        <f>SUM(Datos!H281:H289)</f>
        <v>16510</v>
      </c>
      <c r="C23">
        <f>COUNTA(Datos!H281:H289)</f>
        <v>9</v>
      </c>
      <c r="D23">
        <v>2</v>
      </c>
      <c r="E23">
        <f t="shared" si="0"/>
        <v>11</v>
      </c>
      <c r="F23" t="s">
        <v>7</v>
      </c>
      <c r="G23" s="3">
        <f>AVERAGE(Datos!H281:H289)</f>
        <v>1834.4444444444443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1</v>
      </c>
      <c r="S23">
        <v>1</v>
      </c>
      <c r="T23">
        <v>1</v>
      </c>
    </row>
    <row r="24" spans="1:20" hidden="1" x14ac:dyDescent="0.25">
      <c r="A24" s="4">
        <v>45905</v>
      </c>
      <c r="B24" s="3">
        <f>SUM(Datos!H290:H297)</f>
        <v>27510</v>
      </c>
      <c r="C24">
        <f>COUNTA(Datos!H290:H297)</f>
        <v>8</v>
      </c>
      <c r="D24">
        <v>2</v>
      </c>
      <c r="E24">
        <f t="shared" si="0"/>
        <v>10</v>
      </c>
      <c r="F24" t="s">
        <v>119</v>
      </c>
      <c r="G24" s="3">
        <f>AVERAGE(Datos!H290:H297)</f>
        <v>3438.75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1</v>
      </c>
      <c r="R24">
        <v>1</v>
      </c>
      <c r="S24">
        <v>0</v>
      </c>
      <c r="T24">
        <v>1</v>
      </c>
    </row>
    <row r="25" spans="1:20" hidden="1" x14ac:dyDescent="0.25">
      <c r="A25" s="4">
        <v>45906</v>
      </c>
      <c r="B25" s="3">
        <f>SUM(Datos!H298:H308)</f>
        <v>24060</v>
      </c>
      <c r="C25">
        <f>COUNTA(Datos!H298:H308)</f>
        <v>11</v>
      </c>
      <c r="D25">
        <v>1</v>
      </c>
      <c r="E25">
        <f t="shared" si="0"/>
        <v>12</v>
      </c>
      <c r="F25" t="s">
        <v>131</v>
      </c>
      <c r="G25" s="3">
        <f>AVERAGE(Datos!H298:H308)</f>
        <v>2187.2727272727275</v>
      </c>
      <c r="I25">
        <v>1</v>
      </c>
      <c r="J25">
        <v>1</v>
      </c>
      <c r="K25">
        <v>1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</row>
    <row r="26" spans="1:20" hidden="1" x14ac:dyDescent="0.25">
      <c r="A26" s="4">
        <v>45907</v>
      </c>
      <c r="B26" s="3">
        <f>SUM(Datos!H309:H311)</f>
        <v>7441</v>
      </c>
      <c r="C26">
        <f>COUNTA(Datos!H309:H311)</f>
        <v>3</v>
      </c>
      <c r="D26">
        <v>2</v>
      </c>
      <c r="E26">
        <f t="shared" si="0"/>
        <v>5</v>
      </c>
      <c r="F26" t="s">
        <v>238</v>
      </c>
      <c r="G26" s="3">
        <f>AVERAGE(Datos!H309:H311)</f>
        <v>2480.3333333333335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</row>
    <row r="27" spans="1:20" hidden="1" x14ac:dyDescent="0.25">
      <c r="A27" s="4">
        <v>45908</v>
      </c>
      <c r="B27" s="3">
        <f>SUM(Datos!H312:H316)</f>
        <v>11320</v>
      </c>
      <c r="C27">
        <f>COUNTA(Datos!H312:H316)</f>
        <v>5</v>
      </c>
      <c r="D27">
        <v>1</v>
      </c>
      <c r="E27">
        <f t="shared" si="0"/>
        <v>6</v>
      </c>
      <c r="F27" t="s">
        <v>194</v>
      </c>
      <c r="G27" s="3">
        <f>AVERAGE(Datos!H312:H316)</f>
        <v>2264</v>
      </c>
      <c r="I27">
        <v>1</v>
      </c>
      <c r="J27">
        <v>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</row>
    <row r="28" spans="1:20" hidden="1" x14ac:dyDescent="0.25">
      <c r="A28" s="4">
        <v>45909</v>
      </c>
      <c r="B28" s="3">
        <f>SUM(Datos!H317:H322)</f>
        <v>12850</v>
      </c>
      <c r="C28">
        <f>COUNTA(Datos!H317:H322)</f>
        <v>6</v>
      </c>
      <c r="D28">
        <v>0</v>
      </c>
      <c r="E28">
        <f t="shared" si="0"/>
        <v>6</v>
      </c>
      <c r="F28" t="s">
        <v>168</v>
      </c>
      <c r="G28" s="3">
        <f>AVERAGE(Datos!H317:H322)</f>
        <v>2141.6666666666665</v>
      </c>
      <c r="I28">
        <v>0</v>
      </c>
      <c r="J28">
        <v>0</v>
      </c>
      <c r="K28">
        <v>0</v>
      </c>
      <c r="L28">
        <v>1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</row>
    <row r="29" spans="1:20" x14ac:dyDescent="0.25">
      <c r="A29" s="4">
        <v>45910</v>
      </c>
      <c r="B29" s="3">
        <f>SUM(Datos!H323:H331)</f>
        <v>17690</v>
      </c>
      <c r="C29">
        <f>COUNTA(Datos!H323:H331)</f>
        <v>9</v>
      </c>
      <c r="D29">
        <v>1</v>
      </c>
      <c r="E29">
        <f t="shared" si="0"/>
        <v>10</v>
      </c>
      <c r="F29" t="s">
        <v>987</v>
      </c>
      <c r="G29" s="3">
        <f>AVERAGE(Datos!H323:H331)</f>
        <v>1965.5555555555557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1</v>
      </c>
      <c r="S29">
        <v>1</v>
      </c>
      <c r="T29">
        <v>1</v>
      </c>
    </row>
    <row r="30" spans="1:20" hidden="1" x14ac:dyDescent="0.25">
      <c r="A30" s="4">
        <v>45911</v>
      </c>
      <c r="B30" s="3">
        <f>SUM(Datos!H332:H338)</f>
        <v>18790</v>
      </c>
      <c r="C30">
        <f>COUNTA(Datos!H332:H338)</f>
        <v>7</v>
      </c>
      <c r="D30">
        <v>1</v>
      </c>
      <c r="E30">
        <f t="shared" si="0"/>
        <v>8</v>
      </c>
      <c r="F30" t="s">
        <v>7</v>
      </c>
      <c r="G30" s="3">
        <f>AVERAGE(Datos!H332:H338)</f>
        <v>2684.2857142857142</v>
      </c>
      <c r="I30">
        <v>1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</row>
    <row r="31" spans="1:20" hidden="1" x14ac:dyDescent="0.25">
      <c r="A31" s="4" t="s">
        <v>1005</v>
      </c>
      <c r="B31" s="3">
        <f>SUM(Datos!H339:H346)</f>
        <v>22681</v>
      </c>
      <c r="C31">
        <f>COUNTA(Datos!H339:H346)</f>
        <v>8</v>
      </c>
      <c r="D31">
        <v>5</v>
      </c>
      <c r="E31">
        <f t="shared" si="0"/>
        <v>13</v>
      </c>
      <c r="F31" t="s">
        <v>119</v>
      </c>
      <c r="G31" s="3">
        <f>AVERAGE(Datos!H339:H346)</f>
        <v>2835.125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</row>
    <row r="32" spans="1:20" hidden="1" x14ac:dyDescent="0.25">
      <c r="A32" s="4">
        <v>45914</v>
      </c>
      <c r="B32" s="3">
        <f>SUM(Datos!H347:H359)</f>
        <v>32915</v>
      </c>
      <c r="C32">
        <f>COUNTA(Datos!H347:H359)</f>
        <v>13</v>
      </c>
      <c r="D32">
        <v>1</v>
      </c>
      <c r="E32">
        <f t="shared" si="0"/>
        <v>14</v>
      </c>
      <c r="F32" t="s">
        <v>238</v>
      </c>
      <c r="G32" s="3">
        <f>AVERAGE(Datos!H347:H359)</f>
        <v>2531.9230769230771</v>
      </c>
      <c r="I32">
        <v>0</v>
      </c>
      <c r="J32">
        <v>0</v>
      </c>
      <c r="K32">
        <v>0</v>
      </c>
      <c r="L32">
        <v>0</v>
      </c>
      <c r="M32">
        <v>1</v>
      </c>
      <c r="N32">
        <v>1</v>
      </c>
      <c r="O32">
        <v>1</v>
      </c>
      <c r="P32">
        <v>1</v>
      </c>
      <c r="Q32">
        <v>1</v>
      </c>
      <c r="R32">
        <v>0</v>
      </c>
      <c r="S32">
        <v>1</v>
      </c>
      <c r="T32">
        <v>0</v>
      </c>
    </row>
    <row r="33" spans="1:20" hidden="1" x14ac:dyDescent="0.25">
      <c r="A33" s="4">
        <v>45915</v>
      </c>
      <c r="B33" s="3">
        <f>SUM(Datos!H361:H361)</f>
        <v>2580</v>
      </c>
      <c r="C33">
        <f>COUNTA(Datos!H361:H361)</f>
        <v>1</v>
      </c>
      <c r="D33">
        <v>0</v>
      </c>
      <c r="E33">
        <f t="shared" ref="E33:E37" si="1">SUM(C33+D33)</f>
        <v>1</v>
      </c>
      <c r="F33" t="s">
        <v>194</v>
      </c>
      <c r="G33" s="3">
        <f>AVERAGE(Datos!H361:H361)</f>
        <v>2580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</row>
    <row r="34" spans="1:20" hidden="1" x14ac:dyDescent="0.25">
      <c r="A34" s="4">
        <v>45916</v>
      </c>
      <c r="B34" s="3">
        <f>SUM(Datos!H362:H374)</f>
        <v>23715</v>
      </c>
      <c r="C34">
        <f>COUNTA(Datos!H362:H374)</f>
        <v>13</v>
      </c>
      <c r="D34">
        <v>0</v>
      </c>
      <c r="E34">
        <f t="shared" si="1"/>
        <v>13</v>
      </c>
      <c r="F34" t="s">
        <v>168</v>
      </c>
      <c r="G34" s="3">
        <f>AVERAGE(Datos!H362:H374)</f>
        <v>1824.2307692307693</v>
      </c>
      <c r="I34">
        <v>0</v>
      </c>
      <c r="J34">
        <v>0</v>
      </c>
      <c r="K34">
        <v>0</v>
      </c>
      <c r="L34">
        <v>1</v>
      </c>
      <c r="M34">
        <v>1</v>
      </c>
      <c r="N34">
        <v>1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</row>
    <row r="35" spans="1:20" x14ac:dyDescent="0.25">
      <c r="A35" s="4">
        <v>45917</v>
      </c>
      <c r="B35" s="3">
        <f>SUM(Datos!H375:H382)</f>
        <v>27001</v>
      </c>
      <c r="C35">
        <f>COUNTA(Datos!H375:H382)</f>
        <v>8</v>
      </c>
      <c r="D35">
        <v>1</v>
      </c>
      <c r="E35">
        <f t="shared" si="1"/>
        <v>9</v>
      </c>
      <c r="F35" t="s">
        <v>987</v>
      </c>
      <c r="G35" s="3">
        <f>AVERAGE(Datos!H375:H382)</f>
        <v>3375.125</v>
      </c>
      <c r="I35">
        <v>0</v>
      </c>
      <c r="J35">
        <v>0</v>
      </c>
      <c r="K35">
        <v>0</v>
      </c>
      <c r="L35">
        <v>0</v>
      </c>
      <c r="M35">
        <v>1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</row>
    <row r="36" spans="1:20" hidden="1" x14ac:dyDescent="0.25">
      <c r="A36" s="4">
        <v>45918</v>
      </c>
      <c r="B36" s="3">
        <f>SUM(Datos!H383:H403)</f>
        <v>49730</v>
      </c>
      <c r="C36">
        <f>COUNTA(Datos!H383:H403)</f>
        <v>21</v>
      </c>
      <c r="D36">
        <v>4</v>
      </c>
      <c r="E36">
        <f t="shared" si="1"/>
        <v>25</v>
      </c>
      <c r="F36" t="s">
        <v>7</v>
      </c>
      <c r="G36" s="3">
        <f>AVERAGE(Datos!H351:H363)</f>
        <v>2400</v>
      </c>
      <c r="I36">
        <v>0</v>
      </c>
      <c r="J36">
        <v>0</v>
      </c>
      <c r="K36">
        <v>0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0</v>
      </c>
    </row>
    <row r="37" spans="1:20" hidden="1" x14ac:dyDescent="0.25">
      <c r="A37" s="4">
        <v>45919</v>
      </c>
      <c r="B37" s="3">
        <f>SUM(Datos!H404:H408)</f>
        <v>15679</v>
      </c>
      <c r="C37">
        <f>COUNTA(Datos!H404:H408)</f>
        <v>5</v>
      </c>
      <c r="D37">
        <v>2</v>
      </c>
      <c r="E37">
        <f t="shared" si="1"/>
        <v>7</v>
      </c>
      <c r="F37" t="s">
        <v>119</v>
      </c>
      <c r="G37" s="3">
        <f>AVERAGE(Datos!H404:H408)</f>
        <v>3135.8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1</v>
      </c>
      <c r="Q37">
        <v>0</v>
      </c>
      <c r="R37">
        <v>0</v>
      </c>
      <c r="S37">
        <v>0</v>
      </c>
      <c r="T37">
        <v>0</v>
      </c>
    </row>
    <row r="38" spans="1:20" hidden="1" x14ac:dyDescent="0.25">
      <c r="A38" s="4">
        <v>45920</v>
      </c>
      <c r="B38" s="3">
        <f>SUM(Datos!H409:H420)</f>
        <v>45960</v>
      </c>
      <c r="C38">
        <f>COUNTA(Datos!H409:H420)</f>
        <v>12</v>
      </c>
      <c r="D38">
        <v>2</v>
      </c>
      <c r="E38">
        <f t="shared" ref="E38:E50" si="2">SUM(C38+D38)</f>
        <v>14</v>
      </c>
      <c r="F38" t="s">
        <v>131</v>
      </c>
      <c r="G38" s="3">
        <f>AVERAGE(Datos!H409:H420)</f>
        <v>3830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  <c r="R38">
        <v>1</v>
      </c>
      <c r="S38">
        <v>1</v>
      </c>
      <c r="T38">
        <v>1</v>
      </c>
    </row>
    <row r="39" spans="1:20" x14ac:dyDescent="0.25">
      <c r="A39" s="4">
        <v>45924</v>
      </c>
      <c r="B39" s="3">
        <f>SUM(Datos!H421:H433)</f>
        <v>32670</v>
      </c>
      <c r="C39">
        <f>COUNTA(Datos!H421:H433)</f>
        <v>13</v>
      </c>
      <c r="D39">
        <v>4</v>
      </c>
      <c r="E39">
        <f t="shared" si="2"/>
        <v>17</v>
      </c>
      <c r="F39" t="s">
        <v>987</v>
      </c>
      <c r="G39" s="3">
        <f>AVERAGE(Datos!H421:H433)</f>
        <v>2513.0769230769229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1</v>
      </c>
      <c r="R39">
        <v>1</v>
      </c>
      <c r="S39">
        <v>1</v>
      </c>
      <c r="T39">
        <v>1</v>
      </c>
    </row>
    <row r="40" spans="1:20" hidden="1" x14ac:dyDescent="0.25">
      <c r="A40" s="4">
        <v>45926</v>
      </c>
      <c r="B40" s="3">
        <f>SUM(Datos!H434:H439)</f>
        <v>9840</v>
      </c>
      <c r="C40">
        <f>COUNTA(Datos!H434:H439)</f>
        <v>5</v>
      </c>
      <c r="D40">
        <v>0</v>
      </c>
      <c r="E40">
        <f t="shared" si="2"/>
        <v>5</v>
      </c>
      <c r="F40" t="str">
        <f t="shared" ref="F40:F50" si="3">TEXT(A40,"DDDD")</f>
        <v>viernes</v>
      </c>
      <c r="G40" s="3">
        <f>AVERAGE(Datos!H434:H439)</f>
        <v>1968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1</v>
      </c>
      <c r="Q40">
        <v>1</v>
      </c>
      <c r="R40">
        <v>1</v>
      </c>
      <c r="S40">
        <v>1</v>
      </c>
      <c r="T40">
        <v>0</v>
      </c>
    </row>
    <row r="41" spans="1:20" hidden="1" x14ac:dyDescent="0.25">
      <c r="A41" s="4">
        <v>45928</v>
      </c>
      <c r="B41" s="3">
        <f>SUM(Datos!H440:H449)</f>
        <v>35850</v>
      </c>
      <c r="C41">
        <f>COUNTA(Datos!H440:H449)</f>
        <v>10</v>
      </c>
      <c r="D41">
        <v>2</v>
      </c>
      <c r="E41">
        <f t="shared" si="2"/>
        <v>12</v>
      </c>
      <c r="F41" t="str">
        <f t="shared" si="3"/>
        <v>domingo</v>
      </c>
      <c r="G41" s="3">
        <f>AVERAGE(Datos!H440:H449)</f>
        <v>3585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1</v>
      </c>
      <c r="Q41">
        <v>1</v>
      </c>
      <c r="R41">
        <v>1</v>
      </c>
      <c r="S41">
        <v>1</v>
      </c>
      <c r="T41">
        <v>0</v>
      </c>
    </row>
    <row r="42" spans="1:20" hidden="1" x14ac:dyDescent="0.25">
      <c r="A42" s="4">
        <v>45929</v>
      </c>
      <c r="B42" s="3">
        <f>SUM(Datos!H450:H460)</f>
        <v>21135</v>
      </c>
      <c r="C42">
        <f>COUNTA(Datos!H450:H460)</f>
        <v>11</v>
      </c>
      <c r="D42">
        <v>1</v>
      </c>
      <c r="E42">
        <f t="shared" si="2"/>
        <v>12</v>
      </c>
      <c r="F42" t="str">
        <f t="shared" si="3"/>
        <v>lunes</v>
      </c>
      <c r="G42" s="3">
        <f>AVERAGE(Datos!H450:H460)</f>
        <v>1921.3636363636363</v>
      </c>
      <c r="I42">
        <v>0</v>
      </c>
      <c r="J42">
        <v>0</v>
      </c>
      <c r="K42">
        <v>0</v>
      </c>
      <c r="L42">
        <v>0</v>
      </c>
      <c r="M42">
        <v>1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</row>
    <row r="43" spans="1:20" x14ac:dyDescent="0.25">
      <c r="A43" s="4">
        <v>45931</v>
      </c>
      <c r="B43" s="3">
        <f>SUM(Datos!H461:H466)</f>
        <v>12730</v>
      </c>
      <c r="C43">
        <f>COUNTA(Datos!H461:H466)</f>
        <v>6</v>
      </c>
      <c r="D43">
        <v>1</v>
      </c>
      <c r="E43">
        <f t="shared" si="2"/>
        <v>7</v>
      </c>
      <c r="F43" t="s">
        <v>987</v>
      </c>
      <c r="G43" s="3">
        <f>AVERAGE(Datos!H461:H466)</f>
        <v>2121.6666666666665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</row>
    <row r="44" spans="1:20" hidden="1" x14ac:dyDescent="0.25">
      <c r="A44" s="4">
        <v>45935</v>
      </c>
      <c r="B44" s="3">
        <f>SUM(Datos!H467:H486)</f>
        <v>58551</v>
      </c>
      <c r="C44">
        <f>COUNTA(Datos!H467:H486)</f>
        <v>20</v>
      </c>
      <c r="D44">
        <v>4</v>
      </c>
      <c r="E44">
        <f t="shared" si="2"/>
        <v>24</v>
      </c>
      <c r="F44" t="str">
        <f t="shared" si="3"/>
        <v>domingo</v>
      </c>
      <c r="G44" s="3">
        <f>AVERAGE(Datos!H467:H486)</f>
        <v>2927.55</v>
      </c>
      <c r="I44">
        <v>0</v>
      </c>
      <c r="J44">
        <v>0</v>
      </c>
      <c r="K44">
        <v>1</v>
      </c>
      <c r="L44">
        <v>1</v>
      </c>
      <c r="M44">
        <v>1</v>
      </c>
      <c r="N44">
        <v>1</v>
      </c>
      <c r="O44">
        <v>0</v>
      </c>
      <c r="P44">
        <v>1</v>
      </c>
      <c r="Q44">
        <v>1</v>
      </c>
      <c r="R44">
        <v>1</v>
      </c>
      <c r="S44">
        <v>1</v>
      </c>
      <c r="T44">
        <v>1</v>
      </c>
    </row>
    <row r="45" spans="1:20" hidden="1" x14ac:dyDescent="0.25">
      <c r="A45" s="4">
        <v>45936</v>
      </c>
      <c r="B45" s="3">
        <f>SUM(Datos!H487:H499)</f>
        <v>33190</v>
      </c>
      <c r="C45">
        <f>COUNTA(Datos!H487:H499)</f>
        <v>13</v>
      </c>
      <c r="D45">
        <v>2</v>
      </c>
      <c r="E45">
        <f t="shared" si="2"/>
        <v>15</v>
      </c>
      <c r="F45" t="str">
        <f t="shared" si="3"/>
        <v>lunes</v>
      </c>
      <c r="G45" s="3">
        <f>AVERAGE(Datos!H487:H499)</f>
        <v>2553.0769230769229</v>
      </c>
      <c r="I45">
        <v>0</v>
      </c>
      <c r="J45">
        <v>0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1</v>
      </c>
      <c r="R45">
        <v>1</v>
      </c>
      <c r="S45">
        <v>1</v>
      </c>
      <c r="T45">
        <v>1</v>
      </c>
    </row>
    <row r="46" spans="1:20" hidden="1" x14ac:dyDescent="0.25">
      <c r="A46" s="4">
        <v>45937</v>
      </c>
      <c r="B46" s="3">
        <f>SUM(Datos!H500:H503)</f>
        <v>10450</v>
      </c>
      <c r="C46">
        <f>COUNTA(Datos!H500:H503)</f>
        <v>4</v>
      </c>
      <c r="D46">
        <v>1</v>
      </c>
      <c r="E46">
        <f t="shared" si="2"/>
        <v>5</v>
      </c>
      <c r="F46" t="str">
        <f t="shared" si="3"/>
        <v>martes</v>
      </c>
      <c r="G46" s="3">
        <f>AVERAGE(Datos!H500:H503)</f>
        <v>2612.5</v>
      </c>
      <c r="I46">
        <v>1</v>
      </c>
      <c r="J46">
        <v>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</row>
    <row r="47" spans="1:20" hidden="1" x14ac:dyDescent="0.25">
      <c r="A47" s="4">
        <v>45939</v>
      </c>
      <c r="B47" s="3">
        <f>SUM(Datos!H504:H513)</f>
        <v>24290</v>
      </c>
      <c r="C47">
        <f>COUNTA(Datos!H504:H513)</f>
        <v>10</v>
      </c>
      <c r="D47">
        <v>3</v>
      </c>
      <c r="E47">
        <f t="shared" si="2"/>
        <v>13</v>
      </c>
      <c r="F47" t="str">
        <f t="shared" si="3"/>
        <v>jueves</v>
      </c>
      <c r="G47" s="3">
        <f>AVERAGE(Datos!H503:H504)</f>
        <v>3900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1</v>
      </c>
      <c r="R47">
        <v>1</v>
      </c>
      <c r="S47">
        <v>1</v>
      </c>
      <c r="T47">
        <v>1</v>
      </c>
    </row>
    <row r="48" spans="1:20" hidden="1" x14ac:dyDescent="0.25">
      <c r="A48" s="4">
        <v>45940</v>
      </c>
      <c r="B48" s="3">
        <f>SUM(Datos!H514:H531)</f>
        <v>60680</v>
      </c>
      <c r="C48">
        <f>COUNTA(Datos!H514:H531)</f>
        <v>18</v>
      </c>
      <c r="D48">
        <v>6</v>
      </c>
      <c r="E48">
        <f t="shared" si="2"/>
        <v>24</v>
      </c>
      <c r="F48" t="str">
        <f t="shared" si="3"/>
        <v>viernes</v>
      </c>
      <c r="G48" s="3">
        <f>AVERAGE(Datos!H514:H531)</f>
        <v>3371.1111111111113</v>
      </c>
      <c r="I48">
        <v>1</v>
      </c>
      <c r="J48">
        <v>1</v>
      </c>
      <c r="K48">
        <v>1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1</v>
      </c>
      <c r="T48">
        <v>1</v>
      </c>
    </row>
    <row r="49" spans="1:20" hidden="1" x14ac:dyDescent="0.25">
      <c r="A49" s="4">
        <v>45941</v>
      </c>
      <c r="B49" s="3">
        <f>SUM(Datos!H532:H555)</f>
        <v>78329</v>
      </c>
      <c r="C49">
        <f>COUNTA(Datos!H532:H555)</f>
        <v>24</v>
      </c>
      <c r="D49">
        <v>2</v>
      </c>
      <c r="E49">
        <f t="shared" si="2"/>
        <v>26</v>
      </c>
      <c r="F49" t="str">
        <f t="shared" si="3"/>
        <v>sábado</v>
      </c>
      <c r="G49" s="3">
        <f>AVERAGE(Datos!H532:H555)</f>
        <v>3263.7083333333335</v>
      </c>
      <c r="I49">
        <v>1</v>
      </c>
      <c r="J49">
        <v>1</v>
      </c>
      <c r="K49">
        <v>1</v>
      </c>
      <c r="L49">
        <v>1</v>
      </c>
      <c r="M49">
        <v>1</v>
      </c>
      <c r="N49">
        <v>0</v>
      </c>
      <c r="O49">
        <v>0</v>
      </c>
      <c r="P49">
        <v>0</v>
      </c>
      <c r="Q49">
        <v>0</v>
      </c>
      <c r="R49">
        <v>1</v>
      </c>
      <c r="S49">
        <v>1</v>
      </c>
      <c r="T49">
        <v>1</v>
      </c>
    </row>
    <row r="50" spans="1:20" hidden="1" x14ac:dyDescent="0.25">
      <c r="A50" s="4">
        <v>45942</v>
      </c>
      <c r="B50" s="3">
        <f>SUM(Datos!H556:H579)</f>
        <v>80170</v>
      </c>
      <c r="C50">
        <f>COUNTA(Datos!H555:H579)</f>
        <v>25</v>
      </c>
      <c r="D50">
        <v>7</v>
      </c>
      <c r="E50">
        <f t="shared" si="2"/>
        <v>32</v>
      </c>
      <c r="F50" t="str">
        <f t="shared" si="3"/>
        <v>domingo</v>
      </c>
      <c r="G50" s="3">
        <f>AVERAGE(Datos!H556:H579)</f>
        <v>3340.4166666666665</v>
      </c>
      <c r="I50">
        <v>1</v>
      </c>
      <c r="J50">
        <v>1</v>
      </c>
      <c r="K50">
        <v>0</v>
      </c>
      <c r="L50">
        <v>0</v>
      </c>
      <c r="M50">
        <v>0</v>
      </c>
      <c r="N50">
        <v>1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</row>
    <row r="51" spans="1:20" hidden="1" x14ac:dyDescent="0.25">
      <c r="A51" s="4">
        <v>45957</v>
      </c>
      <c r="B51" s="3">
        <f>SUM(Datos!H580:H588)</f>
        <v>29200</v>
      </c>
      <c r="C51">
        <f>COUNTA(Datos!H580:H588)</f>
        <v>9</v>
      </c>
      <c r="D51">
        <v>5</v>
      </c>
      <c r="E51">
        <f t="shared" ref="E51:E52" si="4">SUM(C51+D51)</f>
        <v>14</v>
      </c>
      <c r="F51" t="str">
        <f t="shared" ref="F51:F52" si="5">TEXT(A51,"DDDD")</f>
        <v>lunes</v>
      </c>
      <c r="G51" s="3">
        <f>AVERAGE(Datos!H580:H588)</f>
        <v>3244.4444444444443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1</v>
      </c>
      <c r="R51">
        <v>1</v>
      </c>
      <c r="S51">
        <v>1</v>
      </c>
      <c r="T51">
        <v>1</v>
      </c>
    </row>
    <row r="52" spans="1:20" hidden="1" x14ac:dyDescent="0.25">
      <c r="A52" s="4">
        <v>45958</v>
      </c>
      <c r="B52" s="3">
        <f>SUM(Datos!H589:H600)</f>
        <v>31243</v>
      </c>
      <c r="C52">
        <f>COUNTA(Datos!H589:H600)</f>
        <v>12</v>
      </c>
      <c r="D52">
        <v>3</v>
      </c>
      <c r="E52">
        <f t="shared" si="4"/>
        <v>15</v>
      </c>
      <c r="F52" t="str">
        <f t="shared" si="5"/>
        <v>martes</v>
      </c>
      <c r="G52" s="3">
        <f>AVERAGE(Datos!H589:H600)</f>
        <v>2603.5833333333335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1</v>
      </c>
      <c r="R52">
        <v>1</v>
      </c>
      <c r="S52">
        <v>1</v>
      </c>
      <c r="T52">
        <v>1</v>
      </c>
    </row>
    <row r="53" spans="1:20" x14ac:dyDescent="0.25">
      <c r="A53" s="4">
        <v>45959</v>
      </c>
      <c r="B53" s="3">
        <f>SUM(Datos!H601:H611)</f>
        <v>25635</v>
      </c>
      <c r="C53">
        <f>COUNTA(Datos!H601:H611)</f>
        <v>11</v>
      </c>
      <c r="D53">
        <v>4</v>
      </c>
      <c r="E53">
        <f t="shared" ref="E53" si="6">SUM(C53+D53)</f>
        <v>15</v>
      </c>
      <c r="F53" t="s">
        <v>987</v>
      </c>
      <c r="G53" s="3">
        <f>AVERAGE(Datos!H601:H611)</f>
        <v>2330.4545454545455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1</v>
      </c>
      <c r="P53">
        <v>0</v>
      </c>
      <c r="Q53">
        <v>0</v>
      </c>
      <c r="R53">
        <v>1</v>
      </c>
      <c r="S53">
        <v>1</v>
      </c>
      <c r="T53">
        <v>1</v>
      </c>
    </row>
    <row r="54" spans="1:20" hidden="1" x14ac:dyDescent="0.25">
      <c r="A54" s="4">
        <v>45960</v>
      </c>
      <c r="B54" s="3">
        <f>SUM(Datos!H612:H618)</f>
        <v>22960</v>
      </c>
      <c r="C54">
        <f>COUNTA(Datos!H612:H618)</f>
        <v>7</v>
      </c>
      <c r="D54">
        <v>2</v>
      </c>
      <c r="E54">
        <f t="shared" ref="E54" si="7">SUM(C54+D54)</f>
        <v>9</v>
      </c>
      <c r="F54" t="str">
        <f t="shared" ref="F54" si="8">TEXT(A54,"DDDD")</f>
        <v>jueves</v>
      </c>
      <c r="G54" s="3">
        <f>AVERAGE(Datos!H612:H618)</f>
        <v>3280</v>
      </c>
    </row>
    <row r="55" spans="1:20" hidden="1" x14ac:dyDescent="0.25">
      <c r="A55" s="4">
        <v>45971</v>
      </c>
      <c r="B55" s="3">
        <f>SUM(Datos!H619:H630)</f>
        <v>30480</v>
      </c>
      <c r="C55">
        <f>COUNTA(Datos!H619:H630)</f>
        <v>12</v>
      </c>
      <c r="D55">
        <v>0</v>
      </c>
      <c r="E55">
        <f t="shared" ref="E55" si="9">SUM(C55+D55)</f>
        <v>12</v>
      </c>
      <c r="F55" t="str">
        <f t="shared" ref="F55" si="10">TEXT(A55,"DDDD")</f>
        <v>lunes</v>
      </c>
      <c r="G55" s="3">
        <f>AVERAGE(Datos!H619:H630)</f>
        <v>2540</v>
      </c>
    </row>
    <row r="56" spans="1:20" hidden="1" x14ac:dyDescent="0.25">
      <c r="A56" s="4">
        <v>45972</v>
      </c>
      <c r="B56" s="3">
        <f>SUM(Datos!H631:H645)</f>
        <v>31561</v>
      </c>
      <c r="C56">
        <f>COUNTA(Datos!H631:H6341)</f>
        <v>486</v>
      </c>
      <c r="D56">
        <v>1</v>
      </c>
      <c r="E56">
        <f t="shared" ref="E56" si="11">SUM(C56+D56)</f>
        <v>487</v>
      </c>
      <c r="F56" t="str">
        <f t="shared" ref="F56" si="12">TEXT(A56,"DDDD")</f>
        <v>martes</v>
      </c>
      <c r="G56" s="3">
        <f>AVERAGE(Datos!H631:H645)</f>
        <v>2104.0666666666666</v>
      </c>
    </row>
    <row r="57" spans="1:20" x14ac:dyDescent="0.25">
      <c r="A57" s="4">
        <v>45973</v>
      </c>
      <c r="B57" s="3">
        <f>SUM(Datos!H646:H653)</f>
        <v>21390</v>
      </c>
      <c r="C57">
        <f>COUNTA(Datos!H646:H653)</f>
        <v>8</v>
      </c>
      <c r="D57">
        <v>3</v>
      </c>
      <c r="E57">
        <f t="shared" ref="E57" si="13">SUM(C57+D57)</f>
        <v>11</v>
      </c>
      <c r="F57" t="s">
        <v>987</v>
      </c>
      <c r="G57" s="3">
        <f>AVERAGE(Datos!H646:H653)</f>
        <v>2673.75</v>
      </c>
    </row>
    <row r="58" spans="1:20" hidden="1" x14ac:dyDescent="0.25">
      <c r="A58" s="4">
        <v>45974</v>
      </c>
      <c r="B58" s="3">
        <f>SUM(Datos!H654:H674)</f>
        <v>53570</v>
      </c>
      <c r="C58">
        <f>COUNTA(Datos!H654:H674)</f>
        <v>21</v>
      </c>
      <c r="D58">
        <v>3</v>
      </c>
      <c r="E58">
        <f t="shared" ref="E58" si="14">SUM(C58+D58)</f>
        <v>24</v>
      </c>
      <c r="F58" t="str">
        <f t="shared" ref="F58" si="15">TEXT(A58,"DDDD")</f>
        <v>jueves</v>
      </c>
      <c r="G58" s="3">
        <f>AVERAGE(Datos!H654:H674)</f>
        <v>2550.9523809523807</v>
      </c>
    </row>
    <row r="59" spans="1:20" hidden="1" x14ac:dyDescent="0.25">
      <c r="A59" s="4">
        <v>45978</v>
      </c>
      <c r="B59" s="3">
        <f>SUM(Datos!H646:H659)</f>
        <v>35400</v>
      </c>
      <c r="C59">
        <f>COUNTA(Datos!H646:H659)</f>
        <v>14</v>
      </c>
      <c r="D59">
        <v>1</v>
      </c>
      <c r="E59">
        <f t="shared" ref="E59" si="16">SUM(C59+D59)</f>
        <v>15</v>
      </c>
      <c r="F59" t="str">
        <f t="shared" ref="F59" si="17">TEXT(A59,"DDDD")</f>
        <v>lunes</v>
      </c>
      <c r="G59" s="3">
        <f>AVERAGE(Datos!H620:H631)</f>
        <v>2509.1666666666665</v>
      </c>
    </row>
    <row r="60" spans="1:20" hidden="1" x14ac:dyDescent="0.25">
      <c r="A60" s="4">
        <v>45979</v>
      </c>
      <c r="B60" s="3">
        <f>SUM(Datos!H660:H664)</f>
        <v>14430</v>
      </c>
      <c r="C60">
        <f>COUNTA(Datos!H660:H664)</f>
        <v>5</v>
      </c>
      <c r="D60">
        <v>2</v>
      </c>
      <c r="E60">
        <f t="shared" ref="E60:E61" si="18">SUM(C60+D60)</f>
        <v>7</v>
      </c>
      <c r="F60" t="str">
        <f t="shared" ref="F60" si="19">TEXT(A60,"DDDD")</f>
        <v>martes</v>
      </c>
      <c r="G60" s="3">
        <f>AVERAGE(Datos!H660:H664)</f>
        <v>2886</v>
      </c>
    </row>
    <row r="61" spans="1:20" x14ac:dyDescent="0.25">
      <c r="A61" s="4">
        <v>45980</v>
      </c>
      <c r="B61" s="3">
        <f>SUM(Datos!H665:H686)</f>
        <v>51500</v>
      </c>
      <c r="C61">
        <f>COUNTA(Datos!H665:H686)</f>
        <v>22</v>
      </c>
      <c r="D61">
        <v>3</v>
      </c>
      <c r="E61">
        <f t="shared" si="18"/>
        <v>25</v>
      </c>
      <c r="F61" t="s">
        <v>987</v>
      </c>
      <c r="G61" s="3">
        <f>AVERAGE(Datos!H665:H686)</f>
        <v>2340.909090909091</v>
      </c>
    </row>
    <row r="62" spans="1:20" hidden="1" x14ac:dyDescent="0.25">
      <c r="A62" s="4">
        <v>45986</v>
      </c>
      <c r="B62" s="3">
        <f>SUM(Datos!H716:H723)</f>
        <v>17020</v>
      </c>
      <c r="C62">
        <f>COUNTA(Datos!H716:H723)</f>
        <v>8</v>
      </c>
      <c r="D62">
        <v>1</v>
      </c>
      <c r="E62">
        <f t="shared" ref="E62" si="20">SUM(C62+D62)</f>
        <v>9</v>
      </c>
      <c r="F62" t="str">
        <f t="shared" ref="F62" si="21">TEXT(A62,"DDDD")</f>
        <v>martes</v>
      </c>
      <c r="G62" s="3">
        <f>AVERAGE(Datos!H716:H723)</f>
        <v>2127.5</v>
      </c>
    </row>
    <row r="63" spans="1:20" hidden="1" x14ac:dyDescent="0.25">
      <c r="A63" s="4">
        <v>45989</v>
      </c>
      <c r="B63" s="3">
        <f>SUM(Datos!H724:H730)</f>
        <v>21440</v>
      </c>
      <c r="C63">
        <f>COUNTA(Datos!H724:H730)</f>
        <v>7</v>
      </c>
      <c r="D63">
        <v>1</v>
      </c>
      <c r="E63">
        <f t="shared" ref="E63" si="22">SUM(C63+D63)</f>
        <v>8</v>
      </c>
      <c r="F63" t="str">
        <f t="shared" ref="F63" si="23">TEXT(A63,"DDDD")</f>
        <v>viernes</v>
      </c>
      <c r="G63" s="3">
        <f>AVERAGE(Datos!H724:H730)</f>
        <v>3062.8571428571427</v>
      </c>
    </row>
    <row r="64" spans="1:20" hidden="1" x14ac:dyDescent="0.25">
      <c r="A64" s="4">
        <v>45990</v>
      </c>
      <c r="B64" s="3">
        <f>SUM(Datos!H731:H751)</f>
        <v>74729.399999999994</v>
      </c>
      <c r="C64">
        <f>COUNTA(Datos!H731:H751)</f>
        <v>21</v>
      </c>
      <c r="D64">
        <v>2</v>
      </c>
      <c r="E64">
        <f t="shared" ref="E64" si="24">SUM(C64+D64)</f>
        <v>23</v>
      </c>
      <c r="F64" t="str">
        <f t="shared" ref="F64" si="25">TEXT(A64,"DDDD")</f>
        <v>sábado</v>
      </c>
      <c r="G64" s="3">
        <f>AVERAGE(Datos!H731:H751)</f>
        <v>3558.542857142857</v>
      </c>
    </row>
    <row r="65" spans="1:7" hidden="1" x14ac:dyDescent="0.25">
      <c r="A65" s="4">
        <v>45991</v>
      </c>
      <c r="B65" s="3">
        <f>SUM(Datos!H752:H759)</f>
        <v>17733</v>
      </c>
      <c r="C65">
        <f>COUNTA(Datos!H752:H759)</f>
        <v>8</v>
      </c>
      <c r="D65">
        <v>2</v>
      </c>
      <c r="E65">
        <f t="shared" ref="E65" si="26">SUM(C65+D65)</f>
        <v>10</v>
      </c>
      <c r="F65" t="str">
        <f t="shared" ref="F65" si="27">TEXT(A65,"DDDD")</f>
        <v>domingo</v>
      </c>
      <c r="G65" s="3">
        <f>AVERAGE(Datos!H752:H759)</f>
        <v>2216.625</v>
      </c>
    </row>
    <row r="66" spans="1:7" x14ac:dyDescent="0.25">
      <c r="A66" s="4">
        <v>45994</v>
      </c>
      <c r="B66" s="3">
        <f>SUM(Datos!H760:H762)</f>
        <v>6540</v>
      </c>
      <c r="C66">
        <f>COUNTA(Datos!H760:H762)</f>
        <v>3</v>
      </c>
      <c r="D66">
        <v>1</v>
      </c>
      <c r="E66">
        <f t="shared" ref="E66" si="28">SUM(C66+D66)</f>
        <v>4</v>
      </c>
      <c r="F66" t="s">
        <v>987</v>
      </c>
      <c r="G66" s="3">
        <f>AVERAGE(Datos!H760:H762)</f>
        <v>2180</v>
      </c>
    </row>
    <row r="67" spans="1:7" hidden="1" x14ac:dyDescent="0.25">
      <c r="A67" s="4">
        <v>45995</v>
      </c>
      <c r="B67" s="3">
        <f>SUM(Datos!H763:H774)</f>
        <v>33103.599999999999</v>
      </c>
      <c r="C67">
        <f>COUNTA(Datos!H763:H774)</f>
        <v>12</v>
      </c>
      <c r="D67">
        <v>2</v>
      </c>
      <c r="E67">
        <f t="shared" ref="E67" si="29">SUM(C67+D67)</f>
        <v>14</v>
      </c>
      <c r="F67" t="str">
        <f t="shared" ref="F67" si="30">TEXT(A67,"DDDD")</f>
        <v>jueves</v>
      </c>
      <c r="G67" s="3">
        <f>AVERAGE(Datos!H763:H774)</f>
        <v>2758.6333333333332</v>
      </c>
    </row>
    <row r="68" spans="1:7" hidden="1" x14ac:dyDescent="0.25">
      <c r="A68" s="4">
        <v>46000</v>
      </c>
      <c r="B68" s="3">
        <f>SUM(Datos!H775:H780)</f>
        <v>13503.6</v>
      </c>
      <c r="C68">
        <f>COUNTA(Datos!H775:H780)</f>
        <v>6</v>
      </c>
      <c r="D68">
        <v>1</v>
      </c>
      <c r="E68">
        <f t="shared" ref="E68" si="31">SUM(C68+D68)</f>
        <v>7</v>
      </c>
      <c r="F68" t="str">
        <f t="shared" ref="F68" si="32">TEXT(A68,"DDDD")</f>
        <v>martes</v>
      </c>
      <c r="G68" s="3">
        <f>AVERAGE(Datos!H775:H780)</f>
        <v>2250.6</v>
      </c>
    </row>
    <row r="69" spans="1:7" hidden="1" x14ac:dyDescent="0.25">
      <c r="A69" s="4">
        <v>46003</v>
      </c>
      <c r="B69" s="3">
        <f>SUM(Datos!H695:H714)</f>
        <v>48110</v>
      </c>
      <c r="C69">
        <f>COUNTA(Datos!H695:H714)</f>
        <v>20</v>
      </c>
      <c r="D69">
        <v>1</v>
      </c>
      <c r="E69">
        <f t="shared" ref="E69" si="33">SUM(C69+D69)</f>
        <v>21</v>
      </c>
      <c r="F69" t="str">
        <f t="shared" ref="F69" si="34">TEXT(A69,"DDDD")</f>
        <v>viernes</v>
      </c>
      <c r="G69" s="3">
        <f>AVERAGE(Datos!H695:H714)</f>
        <v>2405.5</v>
      </c>
    </row>
    <row r="70" spans="1:7" hidden="1" x14ac:dyDescent="0.25">
      <c r="A70" s="4">
        <v>46004</v>
      </c>
      <c r="B70" s="3">
        <f>SUM(Datos!H736:H752)</f>
        <v>59523</v>
      </c>
      <c r="C70">
        <f>COUNTA(Datos!H736:H752)</f>
        <v>17</v>
      </c>
      <c r="D70">
        <v>3</v>
      </c>
      <c r="E70">
        <f t="shared" ref="E70" si="35">SUM(C70+D70)</f>
        <v>20</v>
      </c>
      <c r="F70" t="str">
        <f t="shared" ref="F70" si="36">TEXT(A70,"DDDD")</f>
        <v>sábado</v>
      </c>
      <c r="G70" s="3">
        <f>AVERAGE(Datos!H736:H752)</f>
        <v>3501.3529411764707</v>
      </c>
    </row>
    <row r="71" spans="1:7" hidden="1" x14ac:dyDescent="0.25">
      <c r="A71" s="4">
        <v>46006</v>
      </c>
      <c r="B71" s="3">
        <f>SUM(Datos!H753:H758)</f>
        <v>12681</v>
      </c>
      <c r="C71">
        <f>COUNTA(Datos!H753:H758)</f>
        <v>6</v>
      </c>
      <c r="D71">
        <v>1</v>
      </c>
      <c r="E71">
        <f t="shared" ref="E71" si="37">SUM(C71+D71)</f>
        <v>7</v>
      </c>
      <c r="F71" t="str">
        <f t="shared" ref="F71" si="38">TEXT(A71,"DDDD")</f>
        <v>lunes</v>
      </c>
      <c r="G71" s="3">
        <f>AVERAGE(Datos!H753:H758)</f>
        <v>2113.5</v>
      </c>
    </row>
    <row r="72" spans="1:7" x14ac:dyDescent="0.25">
      <c r="A72" s="4">
        <v>46008</v>
      </c>
      <c r="B72" s="3">
        <f>SUM(Datos!H824:H829)</f>
        <v>13650</v>
      </c>
      <c r="C72">
        <f>COUNTA(Datos!H824:H829)</f>
        <v>6</v>
      </c>
      <c r="D72">
        <v>0</v>
      </c>
      <c r="E72">
        <f t="shared" ref="E72:E81" si="39">SUM(C72+D72)</f>
        <v>6</v>
      </c>
      <c r="F72" t="s">
        <v>987</v>
      </c>
      <c r="G72" s="3">
        <f>AVERAGE(Datos!H824:H829)</f>
        <v>2275</v>
      </c>
    </row>
    <row r="73" spans="1:7" hidden="1" x14ac:dyDescent="0.25">
      <c r="A73" s="4">
        <v>46009</v>
      </c>
      <c r="B73" s="3">
        <f>SUM(Datos!H830:H840)</f>
        <v>19720</v>
      </c>
      <c r="C73">
        <f>COUNTA(Datos!H830:H840)</f>
        <v>11</v>
      </c>
      <c r="D73">
        <v>3</v>
      </c>
      <c r="E73">
        <f t="shared" si="39"/>
        <v>14</v>
      </c>
      <c r="F73" t="str">
        <f t="shared" ref="F73:F81" si="40">TEXT(A73,"DDDD")</f>
        <v>jueves</v>
      </c>
      <c r="G73" s="3">
        <f>AVERAGE(Datos!H830:H840)</f>
        <v>1792.7272727272727</v>
      </c>
    </row>
    <row r="74" spans="1:7" hidden="1" x14ac:dyDescent="0.25">
      <c r="A74" s="4">
        <v>46013</v>
      </c>
      <c r="B74" s="3">
        <f>SUM(Datos!H841:H849)</f>
        <v>32170</v>
      </c>
      <c r="C74">
        <f>COUNTA(Datos!H841:H849)</f>
        <v>9</v>
      </c>
      <c r="D74">
        <v>2</v>
      </c>
      <c r="E74">
        <f t="shared" si="39"/>
        <v>11</v>
      </c>
      <c r="F74" t="str">
        <f t="shared" si="40"/>
        <v>lunes</v>
      </c>
      <c r="G74" s="3">
        <f>AVERAGE(Datos!H841:H849)</f>
        <v>3574.4444444444443</v>
      </c>
    </row>
    <row r="75" spans="1:7" hidden="1" x14ac:dyDescent="0.25">
      <c r="A75" s="4">
        <v>46014</v>
      </c>
      <c r="B75" s="3">
        <f>SUM(Datos!H850:H863)</f>
        <v>39226</v>
      </c>
      <c r="C75">
        <f>COUNTA(Datos!H850:H863)</f>
        <v>14</v>
      </c>
      <c r="D75">
        <v>3</v>
      </c>
      <c r="E75">
        <f t="shared" si="39"/>
        <v>17</v>
      </c>
      <c r="F75" t="str">
        <f t="shared" si="40"/>
        <v>martes</v>
      </c>
      <c r="G75" s="3">
        <f>AVERAGE(Datos!H850:H863)</f>
        <v>2801.8571428571427</v>
      </c>
    </row>
    <row r="76" spans="1:7" x14ac:dyDescent="0.25">
      <c r="A76" s="4">
        <v>46015</v>
      </c>
      <c r="B76" s="3">
        <f>SUM(Datos!H864:H880)</f>
        <v>44270</v>
      </c>
      <c r="C76">
        <f>COUNTA(Datos!H864:H880)</f>
        <v>17</v>
      </c>
      <c r="D76">
        <v>3</v>
      </c>
      <c r="E76">
        <f t="shared" si="39"/>
        <v>20</v>
      </c>
      <c r="F76" t="s">
        <v>987</v>
      </c>
      <c r="G76" s="3">
        <f>AVERAGE(Datos!H864:H880)</f>
        <v>2604.1176470588234</v>
      </c>
    </row>
    <row r="77" spans="1:7" hidden="1" x14ac:dyDescent="0.25">
      <c r="A77" s="4">
        <v>46016</v>
      </c>
      <c r="B77" s="3">
        <f>SUM(Datos!H881:H894)</f>
        <v>54770</v>
      </c>
      <c r="C77">
        <f>COUNTA(Datos!H881:H894)</f>
        <v>14</v>
      </c>
      <c r="D77">
        <v>5</v>
      </c>
      <c r="E77">
        <f t="shared" si="39"/>
        <v>19</v>
      </c>
      <c r="F77" t="str">
        <f t="shared" si="40"/>
        <v>jueves</v>
      </c>
      <c r="G77" s="3">
        <f>AVERAGE(Datos!H881:H894)</f>
        <v>3912.1428571428573</v>
      </c>
    </row>
    <row r="78" spans="1:7" hidden="1" x14ac:dyDescent="0.25">
      <c r="A78" s="4">
        <v>46018</v>
      </c>
      <c r="B78" s="3">
        <f>SUM(Datos!H895:H909)</f>
        <v>47517</v>
      </c>
      <c r="C78">
        <f>COUNTA(Datos!H895:H909)</f>
        <v>15</v>
      </c>
      <c r="D78">
        <v>1</v>
      </c>
      <c r="E78">
        <f t="shared" si="39"/>
        <v>16</v>
      </c>
      <c r="F78" t="str">
        <f t="shared" si="40"/>
        <v>sábado</v>
      </c>
      <c r="G78" s="3">
        <f>AVERAGE(Datos!H895:H909)</f>
        <v>3167.8</v>
      </c>
    </row>
    <row r="79" spans="1:7" hidden="1" x14ac:dyDescent="0.25">
      <c r="A79" s="4">
        <v>46019</v>
      </c>
      <c r="B79" s="3">
        <f>SUM(Datos!H910:H921)</f>
        <v>52800</v>
      </c>
      <c r="C79">
        <f>COUNTA(Datos!H910:H921)</f>
        <v>12</v>
      </c>
      <c r="D79">
        <v>5</v>
      </c>
      <c r="E79">
        <f t="shared" si="39"/>
        <v>17</v>
      </c>
      <c r="F79" t="str">
        <f t="shared" si="40"/>
        <v>domingo</v>
      </c>
      <c r="G79" s="3">
        <f>AVERAGE(Datos!H910:H921)</f>
        <v>4400</v>
      </c>
    </row>
    <row r="80" spans="1:7" hidden="1" x14ac:dyDescent="0.25">
      <c r="A80" s="4">
        <v>46020</v>
      </c>
      <c r="B80" s="3">
        <f>SUM(Datos!H922:H926)</f>
        <v>9377</v>
      </c>
      <c r="C80">
        <f>COUNTA(Datos!H922:H926)</f>
        <v>5</v>
      </c>
      <c r="D80">
        <v>1</v>
      </c>
      <c r="E80">
        <f t="shared" si="39"/>
        <v>6</v>
      </c>
      <c r="F80" t="str">
        <f t="shared" si="40"/>
        <v>lunes</v>
      </c>
      <c r="G80" s="3">
        <f>AVERAGE(Datos!H922:H926)</f>
        <v>1875.4</v>
      </c>
    </row>
    <row r="81" spans="1:7" hidden="1" x14ac:dyDescent="0.25">
      <c r="A81" s="4">
        <v>46021</v>
      </c>
      <c r="B81" s="3">
        <f>SUM(Datos!H927:H929)</f>
        <v>12080</v>
      </c>
      <c r="C81">
        <f>COUNTA(Datos!H927:H929)</f>
        <v>3</v>
      </c>
      <c r="D81">
        <v>1</v>
      </c>
      <c r="E81">
        <f t="shared" si="39"/>
        <v>4</v>
      </c>
      <c r="F81" t="str">
        <f t="shared" si="40"/>
        <v>martes</v>
      </c>
      <c r="G81" s="3">
        <f>AVERAGE(Datos!H927:H929)</f>
        <v>4026.6666666666665</v>
      </c>
    </row>
    <row r="82" spans="1:7" x14ac:dyDescent="0.25">
      <c r="A82" s="4">
        <v>46022</v>
      </c>
      <c r="B82" s="3">
        <f>SUM(Datos!H930:H934)</f>
        <v>17080</v>
      </c>
      <c r="C82">
        <f>COUNTA(Datos!H930:H934)</f>
        <v>5</v>
      </c>
      <c r="D82">
        <v>1</v>
      </c>
      <c r="E82">
        <f t="shared" ref="E82" si="41">SUM(C82+D82)</f>
        <v>6</v>
      </c>
      <c r="F82" t="s">
        <v>987</v>
      </c>
      <c r="G82" s="3">
        <f>AVERAGE(Datos!H930:H934)</f>
        <v>3416</v>
      </c>
    </row>
    <row r="83" spans="1:7" hidden="1" x14ac:dyDescent="0.25">
      <c r="A83" s="4">
        <v>46023</v>
      </c>
      <c r="B83" s="3">
        <f>SUM(Datos!H935:H956)</f>
        <v>55560</v>
      </c>
      <c r="C83">
        <f>COUNTA(Datos!H935:H956)</f>
        <v>22</v>
      </c>
      <c r="D83">
        <v>2</v>
      </c>
      <c r="E83">
        <f t="shared" ref="E83" si="42">SUM(C83+D83)</f>
        <v>24</v>
      </c>
      <c r="F83" t="str">
        <f t="shared" ref="F83" si="43">TEXT(A83,"DDDD")</f>
        <v>jueves</v>
      </c>
      <c r="G83" s="3">
        <f>AVERAGE(Datos!H935:H956)</f>
        <v>2525.4545454545455</v>
      </c>
    </row>
    <row r="84" spans="1:7" hidden="1" x14ac:dyDescent="0.25">
      <c r="A84" s="4">
        <v>46024</v>
      </c>
      <c r="B84" s="3">
        <f>SUM(Datos!H957:H962)</f>
        <v>21710</v>
      </c>
      <c r="C84">
        <f>COUNTA(Datos!H957:H962)</f>
        <v>6</v>
      </c>
      <c r="D84">
        <v>2</v>
      </c>
      <c r="E84">
        <f t="shared" ref="E84" si="44">SUM(C84+D84)</f>
        <v>8</v>
      </c>
      <c r="F84" t="str">
        <f t="shared" ref="F84" si="45">TEXT(A84,"DDDD")</f>
        <v>viernes</v>
      </c>
      <c r="G84" s="3">
        <f>AVERAGE(Datos!H957:H962)</f>
        <v>3618.3333333333335</v>
      </c>
    </row>
    <row r="85" spans="1:7" hidden="1" x14ac:dyDescent="0.25">
      <c r="A85" s="4">
        <v>46025</v>
      </c>
      <c r="B85" s="3">
        <f>SUM(Datos!H963:H972)</f>
        <v>18931</v>
      </c>
      <c r="C85">
        <f>COUNTA(Datos!H963:H972)</f>
        <v>10</v>
      </c>
      <c r="D85">
        <v>2</v>
      </c>
      <c r="E85">
        <f t="shared" ref="E85:E87" si="46">SUM(C85+D85)</f>
        <v>12</v>
      </c>
      <c r="F85" t="str">
        <f t="shared" ref="F85:F87" si="47">TEXT(A85,"DDDD")</f>
        <v>sábado</v>
      </c>
      <c r="G85" s="3">
        <f>AVERAGE(Datos!H963:H972)</f>
        <v>1893.1</v>
      </c>
    </row>
    <row r="86" spans="1:7" hidden="1" x14ac:dyDescent="0.25">
      <c r="A86" s="4">
        <v>46026</v>
      </c>
      <c r="B86" s="3">
        <f>SUM(Datos!H973:H976)</f>
        <v>14460</v>
      </c>
      <c r="C86">
        <f>COUNTA(Datos!H973:H976)</f>
        <v>4</v>
      </c>
      <c r="D86">
        <v>1</v>
      </c>
      <c r="E86">
        <f t="shared" si="46"/>
        <v>5</v>
      </c>
      <c r="F86" t="str">
        <f t="shared" si="47"/>
        <v>domingo</v>
      </c>
      <c r="G86" s="3">
        <f>AVERAGE(Datos!H973:H976)</f>
        <v>3615</v>
      </c>
    </row>
    <row r="87" spans="1:7" hidden="1" x14ac:dyDescent="0.25">
      <c r="A87" s="4">
        <v>46027</v>
      </c>
      <c r="B87" s="3">
        <f>SUM(Datos!H977:H984)</f>
        <v>25010</v>
      </c>
      <c r="C87">
        <f>COUNTA(Datos!H977:H984)</f>
        <v>8</v>
      </c>
      <c r="D87">
        <v>2</v>
      </c>
      <c r="E87">
        <f t="shared" si="46"/>
        <v>10</v>
      </c>
      <c r="F87" t="str">
        <f t="shared" si="47"/>
        <v>lunes</v>
      </c>
      <c r="G87" s="3">
        <f>AVERAGE(Datos!H977:H984)</f>
        <v>3126.25</v>
      </c>
    </row>
    <row r="88" spans="1:7" hidden="1" x14ac:dyDescent="0.25">
      <c r="A88" s="4">
        <v>46028</v>
      </c>
      <c r="B88" s="3">
        <f>SUM(Datos!H985:H994)</f>
        <v>25870</v>
      </c>
      <c r="C88">
        <f>COUNTA(Datos!H985:H994)</f>
        <v>10</v>
      </c>
      <c r="D88">
        <v>2</v>
      </c>
      <c r="E88">
        <f t="shared" ref="E88:E91" si="48">SUM(C88+D88)</f>
        <v>12</v>
      </c>
      <c r="F88" t="str">
        <f t="shared" ref="F88:F91" si="49">TEXT(A88,"DDDD")</f>
        <v>martes</v>
      </c>
      <c r="G88" s="3">
        <f>AVERAGE(Datos!H985:H994)</f>
        <v>2587</v>
      </c>
    </row>
    <row r="89" spans="1:7" x14ac:dyDescent="0.25">
      <c r="A89" s="4">
        <v>46029</v>
      </c>
      <c r="B89" s="3">
        <f>SUM(Datos!H995:H1010)</f>
        <v>46900</v>
      </c>
      <c r="C89">
        <f>COUNTA(Datos!H995:H1010)</f>
        <v>16</v>
      </c>
      <c r="D89">
        <v>3</v>
      </c>
      <c r="E89">
        <f t="shared" si="48"/>
        <v>19</v>
      </c>
      <c r="F89" t="s">
        <v>987</v>
      </c>
      <c r="G89" s="3">
        <f>AVERAGE(Datos!H995:H1010)</f>
        <v>2931.25</v>
      </c>
    </row>
    <row r="90" spans="1:7" hidden="1" x14ac:dyDescent="0.25">
      <c r="A90" s="4">
        <v>46030</v>
      </c>
      <c r="B90" s="3">
        <f>SUM(Datos!H1011:H1034)</f>
        <v>62281</v>
      </c>
      <c r="C90">
        <f>COUNTA(Datos!H1011:H1034)</f>
        <v>24</v>
      </c>
      <c r="D90">
        <v>3</v>
      </c>
      <c r="E90">
        <f t="shared" si="48"/>
        <v>27</v>
      </c>
      <c r="F90" t="str">
        <f t="shared" si="49"/>
        <v>jueves</v>
      </c>
      <c r="G90" s="3">
        <f>AVERAGE(Datos!H1011:H1034)</f>
        <v>2595.0416666666665</v>
      </c>
    </row>
    <row r="91" spans="1:7" hidden="1" x14ac:dyDescent="0.25">
      <c r="A91" s="4">
        <v>46031</v>
      </c>
      <c r="B91" s="3">
        <f>SUM(Datos!H1035:H1038)</f>
        <v>7270</v>
      </c>
      <c r="C91">
        <f>COUNTA(Datos!H1035:H1038)</f>
        <v>4</v>
      </c>
      <c r="D91">
        <v>0</v>
      </c>
      <c r="E91">
        <f t="shared" si="48"/>
        <v>4</v>
      </c>
      <c r="F91" t="str">
        <f t="shared" si="49"/>
        <v>viernes</v>
      </c>
      <c r="G91" s="3">
        <f>AVERAGE(Datos!H1035:H1038)</f>
        <v>1817.5</v>
      </c>
    </row>
    <row r="92" spans="1:7" x14ac:dyDescent="0.25">
      <c r="B92" s="3"/>
    </row>
    <row r="93" spans="1:7" x14ac:dyDescent="0.25">
      <c r="B93" s="3"/>
    </row>
    <row r="94" spans="1:7" x14ac:dyDescent="0.25">
      <c r="B94" s="3"/>
    </row>
    <row r="95" spans="1:7" x14ac:dyDescent="0.25">
      <c r="B95" s="3"/>
    </row>
    <row r="96" spans="1:7" x14ac:dyDescent="0.25">
      <c r="B96" s="3"/>
    </row>
    <row r="97" spans="2:4" x14ac:dyDescent="0.25">
      <c r="B97" s="3"/>
    </row>
    <row r="98" spans="2:4" x14ac:dyDescent="0.25">
      <c r="B98" s="3"/>
      <c r="C98">
        <f>SUM(C8,C12,C17,C19,C26,C32,C41,C44,C50,C65,C79)</f>
        <v>172</v>
      </c>
      <c r="D98">
        <f>SUM(D8,D12,D17,D19,D26,D32,D41,D44,D50,D65,D79)</f>
        <v>37</v>
      </c>
    </row>
    <row r="99" spans="2:4" x14ac:dyDescent="0.25">
      <c r="B99" s="3"/>
      <c r="C99">
        <f>SUM(C98:D98)</f>
        <v>209</v>
      </c>
    </row>
    <row r="100" spans="2:4" x14ac:dyDescent="0.25">
      <c r="B100" s="3"/>
    </row>
    <row r="101" spans="2:4" x14ac:dyDescent="0.25">
      <c r="B101" s="3"/>
      <c r="C101">
        <f>SUM(C5,C9,C15,C18,C22,C29,C35,C39,C43,C53,C57,C61,C66,C72,C76,C82,C89)</f>
        <v>181</v>
      </c>
      <c r="D101">
        <f>SUM(E5,E9,E15,E18,E29,E22,E35,E39,E43,E53,E57,E61,E66,E72,E76,E82,E84,E89)</f>
        <v>220</v>
      </c>
    </row>
  </sheetData>
  <autoFilter ref="A1:T91" xr:uid="{00000000-0001-0000-0200-000000000000}">
    <filterColumn colId="5">
      <filters>
        <filter val="Miercoles"/>
      </filters>
    </filterColumn>
  </autoFilter>
  <sortState xmlns:xlrd2="http://schemas.microsoft.com/office/spreadsheetml/2017/richdata2" ref="A2:G23">
    <sortCondition ref="A2:A23" customList="Domingo,Lunes,Martes,Miércoles,Jueves,Viernes,Sábado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4"/>
  <sheetViews>
    <sheetView workbookViewId="0">
      <selection activeCell="B5" sqref="B5"/>
    </sheetView>
  </sheetViews>
  <sheetFormatPr baseColWidth="10" defaultColWidth="8.85546875" defaultRowHeight="15" x14ac:dyDescent="0.25"/>
  <cols>
    <col min="1" max="1" width="15.7109375" customWidth="1"/>
    <col min="2" max="2" width="14.85546875" style="3" customWidth="1"/>
  </cols>
  <sheetData>
    <row r="1" spans="1:2" x14ac:dyDescent="0.25">
      <c r="A1" s="1" t="s">
        <v>93</v>
      </c>
      <c r="B1" s="2" t="s">
        <v>94</v>
      </c>
    </row>
    <row r="2" spans="1:2" x14ac:dyDescent="0.25">
      <c r="A2" t="s">
        <v>95</v>
      </c>
      <c r="B2" s="3">
        <f>SUM(Resumen_por_dia!B2:B90)</f>
        <v>2797924.48</v>
      </c>
    </row>
    <row r="3" spans="1:2" x14ac:dyDescent="0.25">
      <c r="A3" t="s">
        <v>96</v>
      </c>
      <c r="B3" s="3">
        <f>COUNTA(Datos!H2:H934)</f>
        <v>931</v>
      </c>
    </row>
    <row r="4" spans="1:2" x14ac:dyDescent="0.25">
      <c r="A4" t="s">
        <v>97</v>
      </c>
      <c r="B4" s="3">
        <f>AVERAGE(Datos!H2:H934)</f>
        <v>2735.595574650913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97A1-328D-4514-874B-CADF75A6719F}">
  <dimension ref="A1:C19"/>
  <sheetViews>
    <sheetView workbookViewId="0">
      <selection activeCell="C8" sqref="C8"/>
    </sheetView>
  </sheetViews>
  <sheetFormatPr baseColWidth="10" defaultRowHeight="15" x14ac:dyDescent="0.25"/>
  <sheetData>
    <row r="1" spans="1:3" x14ac:dyDescent="0.25">
      <c r="A1" t="s">
        <v>1628</v>
      </c>
      <c r="B1" t="s">
        <v>1629</v>
      </c>
      <c r="C1" t="s">
        <v>1642</v>
      </c>
    </row>
    <row r="2" spans="1:3" x14ac:dyDescent="0.25">
      <c r="A2" t="s">
        <v>1630</v>
      </c>
      <c r="B2" s="3">
        <f>SUM(Resumen_por_dia!B2:B5)</f>
        <v>94827</v>
      </c>
      <c r="C2">
        <f>COUNTA(Resumen_por_dia!B2:B5)</f>
        <v>4</v>
      </c>
    </row>
    <row r="3" spans="1:3" x14ac:dyDescent="0.25">
      <c r="A3" t="s">
        <v>1631</v>
      </c>
      <c r="B3" s="3">
        <f>SUM(Resumen_por_dia!B6:B19)</f>
        <v>564881.88</v>
      </c>
      <c r="C3">
        <f>COUNTA(Resumen_por_dia!B6:B19)</f>
        <v>14</v>
      </c>
    </row>
    <row r="4" spans="1:3" x14ac:dyDescent="0.25">
      <c r="A4" t="s">
        <v>1632</v>
      </c>
      <c r="B4" s="3">
        <f>SUM(Resumen_por_dia!B20:B42)</f>
        <v>514691</v>
      </c>
      <c r="C4">
        <f>COUNTA(Resumen_por_dia!B20:B42)</f>
        <v>23</v>
      </c>
    </row>
    <row r="5" spans="1:3" x14ac:dyDescent="0.25">
      <c r="A5" t="s">
        <v>1633</v>
      </c>
      <c r="B5" s="3">
        <f>SUM(Resumen_por_dia!B43:B54)</f>
        <v>467428</v>
      </c>
      <c r="C5">
        <f>COUNTA(Resumen_por_dia!B43:B54)</f>
        <v>12</v>
      </c>
    </row>
    <row r="6" spans="1:3" x14ac:dyDescent="0.25">
      <c r="A6" t="s">
        <v>1634</v>
      </c>
      <c r="B6" s="3">
        <f>SUM(Resumen_por_dia!B55:B65)</f>
        <v>369253.4</v>
      </c>
      <c r="C6">
        <f>COUNTA(Resumen_por_dia!B54:B61)</f>
        <v>8</v>
      </c>
    </row>
    <row r="7" spans="1:3" x14ac:dyDescent="0.25">
      <c r="A7" t="s">
        <v>1635</v>
      </c>
      <c r="B7" s="3">
        <f>SUM(Resumen_por_dia!B66:B82)</f>
        <v>516121.2</v>
      </c>
      <c r="C7">
        <f>COUNTA(Resumen_por_dia!B66:B82)</f>
        <v>17</v>
      </c>
    </row>
    <row r="8" spans="1:3" x14ac:dyDescent="0.25">
      <c r="A8" t="s">
        <v>1636</v>
      </c>
      <c r="B8" s="3"/>
    </row>
    <row r="9" spans="1:3" x14ac:dyDescent="0.25">
      <c r="A9" t="s">
        <v>1637</v>
      </c>
      <c r="B9" s="3"/>
    </row>
    <row r="10" spans="1:3" x14ac:dyDescent="0.25">
      <c r="A10" t="s">
        <v>1638</v>
      </c>
      <c r="B10" s="3"/>
    </row>
    <row r="11" spans="1:3" x14ac:dyDescent="0.25">
      <c r="A11" t="s">
        <v>1639</v>
      </c>
      <c r="B11" s="3"/>
    </row>
    <row r="12" spans="1:3" x14ac:dyDescent="0.25">
      <c r="A12" t="s">
        <v>1640</v>
      </c>
      <c r="B12" s="3"/>
    </row>
    <row r="13" spans="1:3" x14ac:dyDescent="0.25">
      <c r="A13" t="s">
        <v>1641</v>
      </c>
      <c r="B13" s="3"/>
    </row>
    <row r="14" spans="1:3" x14ac:dyDescent="0.25">
      <c r="A14" t="s">
        <v>1630</v>
      </c>
      <c r="B14" s="3"/>
    </row>
    <row r="15" spans="1:3" x14ac:dyDescent="0.25">
      <c r="A15" t="s">
        <v>1631</v>
      </c>
      <c r="B15" s="3"/>
    </row>
    <row r="16" spans="1:3" x14ac:dyDescent="0.25">
      <c r="A16" t="s">
        <v>1632</v>
      </c>
      <c r="B16" s="3"/>
    </row>
    <row r="17" spans="1:2" x14ac:dyDescent="0.25">
      <c r="A17" t="s">
        <v>1633</v>
      </c>
      <c r="B17" s="3"/>
    </row>
    <row r="18" spans="1:2" x14ac:dyDescent="0.25">
      <c r="A18" t="s">
        <v>1634</v>
      </c>
      <c r="B18" s="3"/>
    </row>
    <row r="19" spans="1:2" x14ac:dyDescent="0.25">
      <c r="A19" t="s">
        <v>1635</v>
      </c>
      <c r="B19" s="3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5"/>
  <sheetViews>
    <sheetView topLeftCell="A10" workbookViewId="0"/>
  </sheetViews>
  <sheetFormatPr baseColWidth="10" defaultColWidth="8.85546875" defaultRowHeight="15" x14ac:dyDescent="0.25"/>
  <sheetData>
    <row r="1" spans="1:4" x14ac:dyDescent="0.25">
      <c r="A1" s="1" t="s">
        <v>4</v>
      </c>
      <c r="B1" s="1" t="s">
        <v>58</v>
      </c>
      <c r="C1" s="1" t="s">
        <v>56</v>
      </c>
      <c r="D1" s="1" t="s">
        <v>57</v>
      </c>
    </row>
    <row r="2" spans="1:4" x14ac:dyDescent="0.25">
      <c r="A2" t="s">
        <v>37</v>
      </c>
      <c r="B2" t="s">
        <v>59</v>
      </c>
      <c r="C2">
        <v>1980</v>
      </c>
      <c r="D2">
        <v>1</v>
      </c>
    </row>
    <row r="3" spans="1:4" x14ac:dyDescent="0.25">
      <c r="A3" t="s">
        <v>37</v>
      </c>
      <c r="B3" t="s">
        <v>60</v>
      </c>
      <c r="C3">
        <v>2720</v>
      </c>
      <c r="D3">
        <v>1</v>
      </c>
    </row>
    <row r="4" spans="1:4" x14ac:dyDescent="0.25">
      <c r="A4" t="s">
        <v>37</v>
      </c>
      <c r="B4" t="s">
        <v>61</v>
      </c>
      <c r="C4">
        <v>4120</v>
      </c>
      <c r="D4">
        <v>1</v>
      </c>
    </row>
    <row r="5" spans="1:4" x14ac:dyDescent="0.25">
      <c r="A5" t="s">
        <v>37</v>
      </c>
      <c r="B5" t="s">
        <v>62</v>
      </c>
      <c r="C5">
        <v>1620</v>
      </c>
      <c r="D5">
        <v>1</v>
      </c>
    </row>
    <row r="6" spans="1:4" x14ac:dyDescent="0.25">
      <c r="A6" t="s">
        <v>37</v>
      </c>
      <c r="B6" t="s">
        <v>63</v>
      </c>
      <c r="C6">
        <v>1260</v>
      </c>
      <c r="D6">
        <v>1</v>
      </c>
    </row>
    <row r="7" spans="1:4" x14ac:dyDescent="0.25">
      <c r="A7" t="s">
        <v>37</v>
      </c>
      <c r="B7" t="s">
        <v>64</v>
      </c>
      <c r="C7">
        <v>2240</v>
      </c>
      <c r="D7">
        <v>1</v>
      </c>
    </row>
    <row r="8" spans="1:4" x14ac:dyDescent="0.25">
      <c r="A8" t="s">
        <v>37</v>
      </c>
      <c r="B8" t="s">
        <v>65</v>
      </c>
      <c r="C8">
        <v>1261</v>
      </c>
      <c r="D8">
        <v>1</v>
      </c>
    </row>
    <row r="9" spans="1:4" x14ac:dyDescent="0.25">
      <c r="A9" t="s">
        <v>37</v>
      </c>
      <c r="B9" t="s">
        <v>66</v>
      </c>
      <c r="C9">
        <v>2840</v>
      </c>
      <c r="D9">
        <v>1</v>
      </c>
    </row>
    <row r="10" spans="1:4" x14ac:dyDescent="0.25">
      <c r="A10" t="s">
        <v>37</v>
      </c>
      <c r="B10" t="s">
        <v>67</v>
      </c>
      <c r="C10">
        <v>1260</v>
      </c>
      <c r="D10">
        <v>1</v>
      </c>
    </row>
    <row r="11" spans="1:4" x14ac:dyDescent="0.25">
      <c r="A11" t="s">
        <v>37</v>
      </c>
      <c r="B11" t="s">
        <v>68</v>
      </c>
      <c r="C11">
        <v>3900</v>
      </c>
      <c r="D11">
        <v>1</v>
      </c>
    </row>
    <row r="12" spans="1:4" x14ac:dyDescent="0.25">
      <c r="A12" t="s">
        <v>37</v>
      </c>
      <c r="B12" t="s">
        <v>69</v>
      </c>
      <c r="C12">
        <v>1790</v>
      </c>
      <c r="D12">
        <v>1</v>
      </c>
    </row>
    <row r="13" spans="1:4" x14ac:dyDescent="0.25">
      <c r="A13" t="s">
        <v>37</v>
      </c>
      <c r="B13" t="s">
        <v>70</v>
      </c>
      <c r="C13">
        <v>3240</v>
      </c>
      <c r="D13">
        <v>1</v>
      </c>
    </row>
    <row r="14" spans="1:4" x14ac:dyDescent="0.25">
      <c r="A14" t="s">
        <v>37</v>
      </c>
      <c r="B14" t="s">
        <v>71</v>
      </c>
      <c r="C14">
        <v>1800</v>
      </c>
      <c r="D14">
        <v>1</v>
      </c>
    </row>
    <row r="15" spans="1:4" x14ac:dyDescent="0.25">
      <c r="A15" t="s">
        <v>37</v>
      </c>
      <c r="B15" t="s">
        <v>72</v>
      </c>
      <c r="C15">
        <v>3600</v>
      </c>
      <c r="D15">
        <v>1</v>
      </c>
    </row>
    <row r="16" spans="1:4" x14ac:dyDescent="0.25">
      <c r="A16" t="s">
        <v>8</v>
      </c>
      <c r="B16" t="s">
        <v>73</v>
      </c>
      <c r="C16">
        <v>2420</v>
      </c>
      <c r="D16">
        <v>1</v>
      </c>
    </row>
    <row r="17" spans="1:4" x14ac:dyDescent="0.25">
      <c r="A17" t="s">
        <v>8</v>
      </c>
      <c r="B17" t="s">
        <v>74</v>
      </c>
      <c r="C17">
        <v>2760</v>
      </c>
      <c r="D17">
        <v>1</v>
      </c>
    </row>
    <row r="18" spans="1:4" x14ac:dyDescent="0.25">
      <c r="A18" t="s">
        <v>8</v>
      </c>
      <c r="B18" t="s">
        <v>75</v>
      </c>
      <c r="C18">
        <v>1260</v>
      </c>
      <c r="D18">
        <v>1</v>
      </c>
    </row>
    <row r="19" spans="1:4" x14ac:dyDescent="0.25">
      <c r="A19" t="s">
        <v>8</v>
      </c>
      <c r="B19" t="s">
        <v>76</v>
      </c>
      <c r="C19">
        <v>1740</v>
      </c>
      <c r="D19">
        <v>1</v>
      </c>
    </row>
    <row r="20" spans="1:4" x14ac:dyDescent="0.25">
      <c r="A20" t="s">
        <v>8</v>
      </c>
      <c r="B20" t="s">
        <v>77</v>
      </c>
      <c r="C20">
        <v>1260</v>
      </c>
      <c r="D20">
        <v>1</v>
      </c>
    </row>
    <row r="21" spans="1:4" x14ac:dyDescent="0.25">
      <c r="A21" t="s">
        <v>8</v>
      </c>
      <c r="B21" t="s">
        <v>78</v>
      </c>
      <c r="C21">
        <v>2000</v>
      </c>
      <c r="D21">
        <v>1</v>
      </c>
    </row>
    <row r="22" spans="1:4" x14ac:dyDescent="0.25">
      <c r="A22" t="s">
        <v>8</v>
      </c>
      <c r="B22" t="s">
        <v>79</v>
      </c>
      <c r="C22">
        <v>1520</v>
      </c>
      <c r="D22">
        <v>1</v>
      </c>
    </row>
    <row r="23" spans="1:4" x14ac:dyDescent="0.25">
      <c r="A23" t="s">
        <v>8</v>
      </c>
      <c r="B23" t="s">
        <v>80</v>
      </c>
      <c r="C23">
        <v>1820</v>
      </c>
      <c r="D23">
        <v>1</v>
      </c>
    </row>
    <row r="24" spans="1:4" x14ac:dyDescent="0.25">
      <c r="A24" t="s">
        <v>8</v>
      </c>
      <c r="B24" t="s">
        <v>81</v>
      </c>
      <c r="C24">
        <v>1261</v>
      </c>
      <c r="D24">
        <v>1</v>
      </c>
    </row>
    <row r="25" spans="1:4" x14ac:dyDescent="0.25">
      <c r="A25" t="s">
        <v>8</v>
      </c>
      <c r="B25" t="s">
        <v>82</v>
      </c>
      <c r="C25">
        <v>2660</v>
      </c>
      <c r="D25">
        <v>1</v>
      </c>
    </row>
    <row r="26" spans="1:4" x14ac:dyDescent="0.25">
      <c r="A26" t="s">
        <v>8</v>
      </c>
      <c r="B26" t="s">
        <v>83</v>
      </c>
      <c r="C26">
        <v>2380</v>
      </c>
      <c r="D26">
        <v>1</v>
      </c>
    </row>
    <row r="27" spans="1:4" x14ac:dyDescent="0.25">
      <c r="A27" t="s">
        <v>8</v>
      </c>
      <c r="B27" t="s">
        <v>84</v>
      </c>
      <c r="C27">
        <v>3420</v>
      </c>
      <c r="D27">
        <v>1</v>
      </c>
    </row>
    <row r="28" spans="1:4" x14ac:dyDescent="0.25">
      <c r="A28" t="s">
        <v>8</v>
      </c>
      <c r="B28" t="s">
        <v>85</v>
      </c>
      <c r="C28">
        <v>4180</v>
      </c>
      <c r="D28">
        <v>1</v>
      </c>
    </row>
    <row r="29" spans="1:4" x14ac:dyDescent="0.25">
      <c r="A29" t="s">
        <v>8</v>
      </c>
      <c r="B29" t="s">
        <v>86</v>
      </c>
      <c r="C29">
        <v>2040</v>
      </c>
      <c r="D29">
        <v>1</v>
      </c>
    </row>
    <row r="30" spans="1:4" x14ac:dyDescent="0.25">
      <c r="A30" t="s">
        <v>8</v>
      </c>
      <c r="B30" t="s">
        <v>87</v>
      </c>
      <c r="C30">
        <v>1310</v>
      </c>
      <c r="D30">
        <v>1</v>
      </c>
    </row>
    <row r="31" spans="1:4" x14ac:dyDescent="0.25">
      <c r="A31" t="s">
        <v>8</v>
      </c>
      <c r="B31" t="s">
        <v>88</v>
      </c>
      <c r="C31">
        <v>3000</v>
      </c>
      <c r="D31">
        <v>1</v>
      </c>
    </row>
    <row r="32" spans="1:4" x14ac:dyDescent="0.25">
      <c r="A32" t="s">
        <v>8</v>
      </c>
      <c r="B32" t="s">
        <v>89</v>
      </c>
      <c r="C32">
        <v>1520</v>
      </c>
      <c r="D32">
        <v>1</v>
      </c>
    </row>
    <row r="33" spans="1:4" x14ac:dyDescent="0.25">
      <c r="A33" t="s">
        <v>8</v>
      </c>
      <c r="B33" t="s">
        <v>90</v>
      </c>
      <c r="C33">
        <v>2270</v>
      </c>
      <c r="D33">
        <v>1</v>
      </c>
    </row>
    <row r="34" spans="1:4" x14ac:dyDescent="0.25">
      <c r="A34" t="s">
        <v>8</v>
      </c>
      <c r="B34" t="s">
        <v>91</v>
      </c>
      <c r="C34">
        <v>2280</v>
      </c>
      <c r="D34">
        <v>1</v>
      </c>
    </row>
    <row r="35" spans="1:4" x14ac:dyDescent="0.25">
      <c r="A35" t="s">
        <v>8</v>
      </c>
      <c r="B35" t="s">
        <v>92</v>
      </c>
      <c r="C35">
        <v>1740</v>
      </c>
      <c r="D35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</vt:lpstr>
      <vt:lpstr>Resumen_por_dia</vt:lpstr>
      <vt:lpstr>KPIs</vt:lpstr>
      <vt:lpstr>Hoja1</vt:lpstr>
      <vt:lpstr>Resumen_por_hora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2025-08-26T02:59:54Z</dcterms:created>
  <dcterms:modified xsi:type="dcterms:W3CDTF">2026-01-31T18:05:19Z</dcterms:modified>
</cp:coreProperties>
</file>