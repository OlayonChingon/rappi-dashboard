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_por_dia" sheetId="2" state="visible" r:id="rId4"/>
    <sheet name="KPIs" sheetId="3" state="visible" r:id="rId5"/>
    <sheet name="Hoja1" sheetId="4" state="visible" r:id="rId6"/>
    <sheet name="Resumen_por_hora" sheetId="5" state="hidden" r:id="rId7"/>
  </sheets>
  <definedNames>
    <definedName function="false" hidden="true" localSheetId="0" name="_xlnm._FilterDatabase" vbProcedure="false">Datos!$A$1:$T$1056</definedName>
    <definedName function="false" hidden="true" localSheetId="1" name="_xlnm._FilterDatabase" vbProcedure="false">Resumen_por_dia!$A$1:$T$91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<sst xmlns="http://schemas.openxmlformats.org/spreadsheetml/2006/main" count="5648" uniqueCount="2386">
  <si>
    <t xml:space="preserve">Seg Horario</t>
  </si>
  <si>
    <t xml:space="preserve">Hora de pedido</t>
  </si>
  <si>
    <t xml:space="preserve">Tipo de pedido</t>
  </si>
  <si>
    <t xml:space="preserve">Tipo de Establecimiento</t>
  </si>
  <si>
    <t xml:space="preserve">ID</t>
  </si>
  <si>
    <t xml:space="preserve">Doblete</t>
  </si>
  <si>
    <t xml:space="preserve">Monto</t>
  </si>
  <si>
    <t xml:space="preserve">TARIFA</t>
  </si>
  <si>
    <t xml:space="preserve">RAPPI RECOMPENSA</t>
  </si>
  <si>
    <t xml:space="preserve">PROPINA</t>
  </si>
  <si>
    <t xml:space="preserve">KM</t>
  </si>
  <si>
    <t xml:space="preserve">Fecha</t>
  </si>
  <si>
    <t xml:space="preserve">DIA</t>
  </si>
  <si>
    <t xml:space="preserve">DIA TEXTO</t>
  </si>
  <si>
    <t xml:space="preserve">MES</t>
  </si>
  <si>
    <t xml:space="preserve">MES TEXTO</t>
  </si>
  <si>
    <t xml:space="preserve">EFECTIVO</t>
  </si>
  <si>
    <t xml:space="preserve">MONTO EFECTIVO</t>
  </si>
  <si>
    <t xml:space="preserve">Lluvia</t>
  </si>
  <si>
    <t xml:space="preserve">6:39 a. m.</t>
  </si>
  <si>
    <t xml:space="preserve">Restaurante</t>
  </si>
  <si>
    <t xml:space="preserve">Groovy Cookies</t>
  </si>
  <si>
    <t xml:space="preserve">5:49 a. m.</t>
  </si>
  <si>
    <t xml:space="preserve">Cümen Cümen</t>
  </si>
  <si>
    <t xml:space="preserve">1:53 a. m.</t>
  </si>
  <si>
    <t xml:space="preserve">ELC - McDonald's</t>
  </si>
  <si>
    <t xml:space="preserve">1:37 a. m.</t>
  </si>
  <si>
    <t xml:space="preserve">COL - McDonald's</t>
  </si>
  <si>
    <t xml:space="preserve">1:21 a. m.</t>
  </si>
  <si>
    <t xml:space="preserve">Tea Connection</t>
  </si>
  <si>
    <t xml:space="preserve">1:11 a. m.</t>
  </si>
  <si>
    <t xml:space="preserve">DIA Palermo</t>
  </si>
  <si>
    <t xml:space="preserve">12:56 a. m.</t>
  </si>
  <si>
    <t xml:space="preserve">DIA Envío Rápido</t>
  </si>
  <si>
    <t xml:space="preserve">9:49 a. m.</t>
  </si>
  <si>
    <t xml:space="preserve">Rock and Ribs</t>
  </si>
  <si>
    <t xml:space="preserve">Green Eat - Sinclair</t>
  </si>
  <si>
    <t xml:space="preserve">9:31 a. m.</t>
  </si>
  <si>
    <t xml:space="preserve">Super/Tienda</t>
  </si>
  <si>
    <t xml:space="preserve">PIZZA DATA</t>
  </si>
  <si>
    <t xml:space="preserve">9:02 a. m.</t>
  </si>
  <si>
    <t xml:space="preserve">DIA Envío Rápido, cerviño (523)</t>
  </si>
  <si>
    <t xml:space="preserve">8:29 a. m.</t>
  </si>
  <si>
    <t xml:space="preserve">Carrefour Hiper, Salguero (6)</t>
  </si>
  <si>
    <t xml:space="preserve">8:10 a. m.</t>
  </si>
  <si>
    <t xml:space="preserve">Armando Florería</t>
  </si>
  <si>
    <t xml:space="preserve">6:51 a. m.</t>
  </si>
  <si>
    <t xml:space="preserve">McDonald's - SF6 int</t>
  </si>
  <si>
    <t xml:space="preserve">7:05 a. m.</t>
  </si>
  <si>
    <t xml:space="preserve">Rappi Favor, Bs As CABA (Balvanera/Once)</t>
  </si>
  <si>
    <t xml:space="preserve">10:36 p. m.</t>
  </si>
  <si>
    <t xml:space="preserve">Los Maestros - recoleta</t>
  </si>
  <si>
    <t xml:space="preserve">10:03 p. m.</t>
  </si>
  <si>
    <t xml:space="preserve">Freddo - Ayacucho</t>
  </si>
  <si>
    <t xml:space="preserve">8:58 p. m.</t>
  </si>
  <si>
    <t xml:space="preserve">Rappi Favor, Bs As CABA (Villa Crespo/Chacarita)</t>
  </si>
  <si>
    <t xml:space="preserve">8:27 p. m.</t>
  </si>
  <si>
    <t xml:space="preserve">Faricci - Palermo</t>
  </si>
  <si>
    <t xml:space="preserve">8:18 p. m.</t>
  </si>
  <si>
    <t xml:space="preserve">Tu Arepa Aguero</t>
  </si>
  <si>
    <t xml:space="preserve">4:36 p. m.</t>
  </si>
  <si>
    <t xml:space="preserve">Rincón Norteño - Parque Las Heras</t>
  </si>
  <si>
    <t xml:space="preserve">4:10 p. m.</t>
  </si>
  <si>
    <t xml:space="preserve">Fullser24hs Palermo</t>
  </si>
  <si>
    <t xml:space="preserve">7:37 p. m.</t>
  </si>
  <si>
    <t xml:space="preserve">Coto, -158 Charcas</t>
  </si>
  <si>
    <t xml:space="preserve">7:23 p. m.</t>
  </si>
  <si>
    <t xml:space="preserve">Open Market, AV. Pueyrredon 1298 (964)</t>
  </si>
  <si>
    <t xml:space="preserve">6:47 p. m.</t>
  </si>
  <si>
    <t xml:space="preserve">Cremolatti - Santa Fe</t>
  </si>
  <si>
    <t xml:space="preserve">6:33 p. m.</t>
  </si>
  <si>
    <t xml:space="preserve">3:36 p. m.</t>
  </si>
  <si>
    <t xml:space="preserve">Sake Sushi Delivery</t>
  </si>
  <si>
    <t xml:space="preserve">3:02 p. m.</t>
  </si>
  <si>
    <t xml:space="preserve">Burgertify - Recoleta</t>
  </si>
  <si>
    <t xml:space="preserve">2:26 p. m.</t>
  </si>
  <si>
    <t xml:space="preserve">SushiPop - Las Heras</t>
  </si>
  <si>
    <t xml:space="preserve">1:48 p. m.</t>
  </si>
  <si>
    <t xml:space="preserve">The Food Truck - PALERMO</t>
  </si>
  <si>
    <t xml:space="preserve">Fabric Sushi Barrio Norte</t>
  </si>
  <si>
    <t xml:space="preserve">8:05 p.m.</t>
  </si>
  <si>
    <t xml:space="preserve">Panadería</t>
  </si>
  <si>
    <t xml:space="preserve">McDonald's - SF3 int</t>
  </si>
  <si>
    <t xml:space="preserve">efectivo</t>
  </si>
  <si>
    <t xml:space="preserve">6:11 p. m.</t>
  </si>
  <si>
    <t xml:space="preserve">McDonald's - SF5 int</t>
  </si>
  <si>
    <t xml:space="preserve">5:50 p. m.</t>
  </si>
  <si>
    <t xml:space="preserve">Turbo, Palermo 1</t>
  </si>
  <si>
    <t xml:space="preserve">5:20 p. m.</t>
  </si>
  <si>
    <t xml:space="preserve">McDonald's - CPY int</t>
  </si>
  <si>
    <t xml:space="preserve">4:54 p. m.</t>
  </si>
  <si>
    <t xml:space="preserve">4:21 p. m.</t>
  </si>
  <si>
    <t xml:space="preserve">7:01 p.m.</t>
  </si>
  <si>
    <t xml:space="preserve">KFC - Pueyrredón - Turbo</t>
  </si>
  <si>
    <t xml:space="preserve">6:38 p.m.</t>
  </si>
  <si>
    <t xml:space="preserve">Pan de Queso Brasil - Almagro</t>
  </si>
  <si>
    <t xml:space="preserve">Grido Once</t>
  </si>
  <si>
    <t xml:space="preserve">6:05 p.m.</t>
  </si>
  <si>
    <t xml:space="preserve">Disco, Santa Fe(22)</t>
  </si>
  <si>
    <t xml:space="preserve">5:46 p.m.</t>
  </si>
  <si>
    <t xml:space="preserve">4:08 p.m.</t>
  </si>
  <si>
    <t xml:space="preserve">Kuono</t>
  </si>
  <si>
    <t xml:space="preserve">12:54 p.m.</t>
  </si>
  <si>
    <t xml:space="preserve">Burger King - Bulnes</t>
  </si>
  <si>
    <t xml:space="preserve">12:14 p.m.</t>
  </si>
  <si>
    <t xml:space="preserve">Haus Of Cookies</t>
  </si>
  <si>
    <t xml:space="preserve">3:55 p.m.</t>
  </si>
  <si>
    <t xml:space="preserve">Grido - Cnel. Diaz</t>
  </si>
  <si>
    <t xml:space="preserve">2:59 p.m.</t>
  </si>
  <si>
    <t xml:space="preserve">McDonald's - AB2</t>
  </si>
  <si>
    <t xml:space="preserve">2:38 p.m.</t>
  </si>
  <si>
    <t xml:space="preserve">MED - McDonald's Av Corrientes 3966</t>
  </si>
  <si>
    <t xml:space="preserve">2:26 p.m.</t>
  </si>
  <si>
    <t xml:space="preserve">Burger Joint</t>
  </si>
  <si>
    <t xml:space="preserve">1:56 p.m.</t>
  </si>
  <si>
    <t xml:space="preserve">El Club de la Milanesa Soho</t>
  </si>
  <si>
    <t xml:space="preserve">11:57 a.m.</t>
  </si>
  <si>
    <t xml:space="preserve">Coto, 091-Abasto</t>
  </si>
  <si>
    <t xml:space="preserve">11:08 a.m.</t>
  </si>
  <si>
    <t xml:space="preserve">Heladería Tino</t>
  </si>
  <si>
    <t xml:space="preserve">10:18 a.m.</t>
  </si>
  <si>
    <t xml:space="preserve">10:23 p.m.</t>
  </si>
  <si>
    <t xml:space="preserve">Maru Botana -Palermo</t>
  </si>
  <si>
    <t xml:space="preserve">10:04 p.m.</t>
  </si>
  <si>
    <t xml:space="preserve">El Peruanito Ray</t>
  </si>
  <si>
    <t xml:space="preserve">9:49 p.m.</t>
  </si>
  <si>
    <t xml:space="preserve">John John Burger - Mario Bravo</t>
  </si>
  <si>
    <t xml:space="preserve">9:34 p.m.</t>
  </si>
  <si>
    <t xml:space="preserve">DIA Envío Rápido, Almagro</t>
  </si>
  <si>
    <t xml:space="preserve">Craft Vegan Bakery, Palermo</t>
  </si>
  <si>
    <t xml:space="preserve">9:03 p.m.</t>
  </si>
  <si>
    <t xml:space="preserve">La Dorita - Botánico</t>
  </si>
  <si>
    <t xml:space="preserve">8:38 p.m.</t>
  </si>
  <si>
    <t xml:space="preserve">Izakaya By Sushi - Coronel Diaz</t>
  </si>
  <si>
    <t xml:space="preserve">Dean &amp; Dennys - Barrio Norte</t>
  </si>
  <si>
    <t xml:space="preserve">7:31 p.m.</t>
  </si>
  <si>
    <t xml:space="preserve">Mickys Burgers</t>
  </si>
  <si>
    <t xml:space="preserve">7:02 p.m.</t>
  </si>
  <si>
    <t xml:space="preserve">Romario - Cañitas</t>
  </si>
  <si>
    <t xml:space="preserve">6:48 p.m.</t>
  </si>
  <si>
    <t xml:space="preserve">Pago Manual</t>
  </si>
  <si>
    <t xml:space="preserve">La Payada - Palermo</t>
  </si>
  <si>
    <t xml:space="preserve">6:15 p.m.</t>
  </si>
  <si>
    <t xml:space="preserve">Burger Couple - La Cupeteria</t>
  </si>
  <si>
    <t xml:space="preserve">3:08 p.m.</t>
  </si>
  <si>
    <t xml:space="preserve">Open Market, AV santa Fe 3219 (935)</t>
  </si>
  <si>
    <t xml:space="preserve">Jevi, av. Santa Fe 3152</t>
  </si>
  <si>
    <t xml:space="preserve">2:49 p.m.</t>
  </si>
  <si>
    <t xml:space="preserve">Postres McDonald's - CHE</t>
  </si>
  <si>
    <t xml:space="preserve">2:29 p.m.</t>
  </si>
  <si>
    <t xml:space="preserve">McDonald's - CHE</t>
  </si>
  <si>
    <t xml:space="preserve">2:10 p.m.</t>
  </si>
  <si>
    <t xml:space="preserve">CLH - McDonald's Av. Gral. Las Heras 3215</t>
  </si>
  <si>
    <t xml:space="preserve">1:48 p.m.</t>
  </si>
  <si>
    <t xml:space="preserve">1:47 p.m.</t>
  </si>
  <si>
    <t xml:space="preserve">Salimos Fuerte, Plaza Italia</t>
  </si>
  <si>
    <t xml:space="preserve">1:27 p.m.</t>
  </si>
  <si>
    <t xml:space="preserve">1:03 p.m.</t>
  </si>
  <si>
    <t xml:space="preserve">Dean &amp; Dennys - palermo Pacifico</t>
  </si>
  <si>
    <t xml:space="preserve">9:35 p.m.</t>
  </si>
  <si>
    <t xml:space="preserve">8:58 p.m.</t>
  </si>
  <si>
    <t xml:space="preserve">Jevi, Av. Santa Fe 3152</t>
  </si>
  <si>
    <t xml:space="preserve">8:29 p.m.</t>
  </si>
  <si>
    <t xml:space="preserve">Chicken Chill - Pacifico</t>
  </si>
  <si>
    <t xml:space="preserve">7:50 p.m.</t>
  </si>
  <si>
    <t xml:space="preserve">6:44 p.m.</t>
  </si>
  <si>
    <t xml:space="preserve">McDonald's - SF2 int</t>
  </si>
  <si>
    <t xml:space="preserve">5:44 p.m.</t>
  </si>
  <si>
    <t xml:space="preserve">Burger King Reina</t>
  </si>
  <si>
    <t xml:space="preserve">5:08 p.m.</t>
  </si>
  <si>
    <t xml:space="preserve">4:37 p.m.</t>
  </si>
  <si>
    <t xml:space="preserve">2:17 p.m.</t>
  </si>
  <si>
    <t xml:space="preserve">1:50 p.m.</t>
  </si>
  <si>
    <t xml:space="preserve">Pal Karajo</t>
  </si>
  <si>
    <t xml:space="preserve">5:19 p.m.</t>
  </si>
  <si>
    <t xml:space="preserve">Burger King - Once</t>
  </si>
  <si>
    <t xml:space="preserve">5:00 p.m.</t>
  </si>
  <si>
    <t xml:space="preserve">5:55 a.m.</t>
  </si>
  <si>
    <t xml:space="preserve">5:34 a.m.</t>
  </si>
  <si>
    <t xml:space="preserve">Chévere Food</t>
  </si>
  <si>
    <t xml:space="preserve">5:14 a.m.</t>
  </si>
  <si>
    <t xml:space="preserve">2:58 a.m.</t>
  </si>
  <si>
    <t xml:space="preserve">2:22 a.m.</t>
  </si>
  <si>
    <t xml:space="preserve">KFC Pueyrredon</t>
  </si>
  <si>
    <t xml:space="preserve">2:03 a.m.</t>
  </si>
  <si>
    <t xml:space="preserve">The Best, Corrientes I</t>
  </si>
  <si>
    <t xml:space="preserve">12:25 a.m.</t>
  </si>
  <si>
    <t xml:space="preserve">Tufic</t>
  </si>
  <si>
    <t xml:space="preserve">12:07 a.m.</t>
  </si>
  <si>
    <t xml:space="preserve">FarmaPlus, Barrio Norte</t>
  </si>
  <si>
    <t xml:space="preserve">1:32 a.m.</t>
  </si>
  <si>
    <t xml:space="preserve">El King Bar Pool</t>
  </si>
  <si>
    <t xml:space="preserve">1:16 a.m.</t>
  </si>
  <si>
    <t xml:space="preserve">12:55 a.m.</t>
  </si>
  <si>
    <t xml:space="preserve">Kremowy - Soler</t>
  </si>
  <si>
    <t xml:space="preserve">6:59 a.m.</t>
  </si>
  <si>
    <t xml:space="preserve">La Mantequeria - Las Heras</t>
  </si>
  <si>
    <t xml:space="preserve">6:33 a.m.</t>
  </si>
  <si>
    <t xml:space="preserve">Burger King - Ayacucho</t>
  </si>
  <si>
    <t xml:space="preserve">4:34 a.m.</t>
  </si>
  <si>
    <t xml:space="preserve">Green Eat - Abasto Plaza</t>
  </si>
  <si>
    <t xml:space="preserve">4:04 a.m.</t>
  </si>
  <si>
    <t xml:space="preserve">Rappi Favor, Bs As CABA (Microcentro)</t>
  </si>
  <si>
    <t xml:space="preserve">3:28 a.m.</t>
  </si>
  <si>
    <t xml:space="preserve">Las Medialunas</t>
  </si>
  <si>
    <t xml:space="preserve">3:42 p.m.</t>
  </si>
  <si>
    <t xml:space="preserve">Guber Patisserie</t>
  </si>
  <si>
    <t xml:space="preserve">2:56 p.m.</t>
  </si>
  <si>
    <t xml:space="preserve">354 - Express Carrefour Parana 1053</t>
  </si>
  <si>
    <t xml:space="preserve">2:24 p.m.</t>
  </si>
  <si>
    <t xml:space="preserve">Guber Patisserie Recoleta</t>
  </si>
  <si>
    <t xml:space="preserve">1:33 p.m.</t>
  </si>
  <si>
    <t xml:space="preserve">Tienda de Café - Botanico</t>
  </si>
  <si>
    <t xml:space="preserve">McCafé - SF3</t>
  </si>
  <si>
    <t xml:space="preserve">9:24 p.m.</t>
  </si>
  <si>
    <t xml:space="preserve">9:14 p.m.</t>
  </si>
  <si>
    <t xml:space="preserve">Voraz</t>
  </si>
  <si>
    <t xml:space="preserve">8:40 p.m.</t>
  </si>
  <si>
    <t xml:space="preserve">CFL - McDonald's Cabildo y F.Lacroze</t>
  </si>
  <si>
    <t xml:space="preserve">8:22 p.m.</t>
  </si>
  <si>
    <t xml:space="preserve">Pizzería Rincónada</t>
  </si>
  <si>
    <t xml:space="preserve">Chemuzza - Godoy Cruz</t>
  </si>
  <si>
    <t xml:space="preserve">7:38 p.m.</t>
  </si>
  <si>
    <t xml:space="preserve">SF5 - McDonald's Av Santa Fe 4601</t>
  </si>
  <si>
    <t xml:space="preserve">6:42 p.m.</t>
  </si>
  <si>
    <t xml:space="preserve">6:06 p.m.</t>
  </si>
  <si>
    <t xml:space="preserve">Fugazi Pizza</t>
  </si>
  <si>
    <t xml:space="preserve">7:37 p.m.</t>
  </si>
  <si>
    <t xml:space="preserve">Mi Gusto - Villa Crespo</t>
  </si>
  <si>
    <t xml:space="preserve">7:16 p.m.</t>
  </si>
  <si>
    <t xml:space="preserve">Sultan Shawarma Comida Arabe Jeronimo Salguero 348</t>
  </si>
  <si>
    <t xml:space="preserve">6:39 p.m.</t>
  </si>
  <si>
    <t xml:space="preserve">AB2 - McDonald's Abasto corrientes 3247 AUTOMAC</t>
  </si>
  <si>
    <t xml:space="preserve">5:21 p.m.</t>
  </si>
  <si>
    <t xml:space="preserve">Pellegrino</t>
  </si>
  <si>
    <t xml:space="preserve">4:54 p.m.</t>
  </si>
  <si>
    <t xml:space="preserve">KFC - Pueyrredón</t>
  </si>
  <si>
    <t xml:space="preserve">Burger King - Ayacucho Turbo</t>
  </si>
  <si>
    <t xml:space="preserve">11:12 p.m.</t>
  </si>
  <si>
    <t xml:space="preserve">KFC Turbo - Pacifico</t>
  </si>
  <si>
    <t xml:space="preserve">10:59 p.m.</t>
  </si>
  <si>
    <t xml:space="preserve">10:13 p.m.</t>
  </si>
  <si>
    <t xml:space="preserve">Kansas - Araoz1</t>
  </si>
  <si>
    <t xml:space="preserve">Burguer Joint</t>
  </si>
  <si>
    <t xml:space="preserve">8:43 p.m.</t>
  </si>
  <si>
    <t xml:space="preserve">Tempo Di Pasta -Abasto</t>
  </si>
  <si>
    <t xml:space="preserve">Sbarro - Abasto</t>
  </si>
  <si>
    <t xml:space="preserve">8:28 p.m.</t>
  </si>
  <si>
    <t xml:space="preserve">La Americana</t>
  </si>
  <si>
    <t xml:space="preserve">9:56 p.m.</t>
  </si>
  <si>
    <t xml:space="preserve">Cachito Premium apolinario</t>
  </si>
  <si>
    <t xml:space="preserve">9:40 p.m.</t>
  </si>
  <si>
    <t xml:space="preserve">Tomasso - Díaz Velez</t>
  </si>
  <si>
    <t xml:space="preserve">9:17 p.m.</t>
  </si>
  <si>
    <t xml:space="preserve">Salgado Alimentos</t>
  </si>
  <si>
    <t xml:space="preserve">8:50 p.m.</t>
  </si>
  <si>
    <t xml:space="preserve">Freddo - Lafinur</t>
  </si>
  <si>
    <t xml:space="preserve">8:25 p.m.</t>
  </si>
  <si>
    <t xml:space="preserve">8:10 p.m.</t>
  </si>
  <si>
    <t xml:space="preserve">Freddo - Anchorena</t>
  </si>
  <si>
    <t xml:space="preserve">7:44 p.m.</t>
  </si>
  <si>
    <t xml:space="preserve">Arredondo - Recoleta</t>
  </si>
  <si>
    <t xml:space="preserve">Dios Gelato</t>
  </si>
  <si>
    <t xml:space="preserve">5:55 p.m.</t>
  </si>
  <si>
    <t xml:space="preserve">4:31 p.m.</t>
  </si>
  <si>
    <t xml:space="preserve">4:18 p.m.</t>
  </si>
  <si>
    <t xml:space="preserve">Olivino Empanadas</t>
  </si>
  <si>
    <t xml:space="preserve">Jiro Sushi - French</t>
  </si>
  <si>
    <t xml:space="preserve">3:54 p.m.</t>
  </si>
  <si>
    <t xml:space="preserve">4:58 a.m.</t>
  </si>
  <si>
    <t xml:space="preserve">Doña Cocina Tipo Casa</t>
  </si>
  <si>
    <t xml:space="preserve">3:49 a.m.</t>
  </si>
  <si>
    <t xml:space="preserve">La Vicca - Cabrera</t>
  </si>
  <si>
    <t xml:space="preserve">2:57 a.m.</t>
  </si>
  <si>
    <t xml:space="preserve">Turbo, Las Heras</t>
  </si>
  <si>
    <t xml:space="preserve">2:38 a.m.</t>
  </si>
  <si>
    <t xml:space="preserve">1:59 a.m.</t>
  </si>
  <si>
    <t xml:space="preserve">1:39 a.m.</t>
  </si>
  <si>
    <t xml:space="preserve">DIA, Juan de Garay (754)</t>
  </si>
  <si>
    <t xml:space="preserve">1:11 a.m.</t>
  </si>
  <si>
    <t xml:space="preserve">Chemuzza - Once</t>
  </si>
  <si>
    <t xml:space="preserve">11:54 p.m.</t>
  </si>
  <si>
    <t xml:space="preserve">Panadería Las Es...</t>
  </si>
  <si>
    <t xml:space="preserve">11:30 p.m.</t>
  </si>
  <si>
    <t xml:space="preserve">10:44 p.m.</t>
  </si>
  <si>
    <t xml:space="preserve">BA Bakery - Tuc...</t>
  </si>
  <si>
    <t xml:space="preserve">10:21 p.m.</t>
  </si>
  <si>
    <t xml:space="preserve">OpenFarma, Cor...</t>
  </si>
  <si>
    <t xml:space="preserve">9:11 p.m.</t>
  </si>
  <si>
    <t xml:space="preserve">Farmacity, Larre...</t>
  </si>
  <si>
    <t xml:space="preserve">3:37 a.m.</t>
  </si>
  <si>
    <t xml:space="preserve">Open Market, Jo...</t>
  </si>
  <si>
    <t xml:space="preserve">3:18 a.m.</t>
  </si>
  <si>
    <t xml:space="preserve">Subway – Pueyr...</t>
  </si>
  <si>
    <t xml:space="preserve">2:43 a.m.</t>
  </si>
  <si>
    <t xml:space="preserve">Farmacias Dr Ah...</t>
  </si>
  <si>
    <t xml:space="preserve">2:20 a.m.</t>
  </si>
  <si>
    <t xml:space="preserve">Panadería Venez...</t>
  </si>
  <si>
    <t xml:space="preserve">4:40 a.m.</t>
  </si>
  <si>
    <t xml:space="preserve">Doña Cocina Tip...</t>
  </si>
  <si>
    <t xml:space="preserve">4:17 a.m.</t>
  </si>
  <si>
    <t xml:space="preserve">Guber Patisseri...</t>
  </si>
  <si>
    <t xml:space="preserve">4:03 a.m.</t>
  </si>
  <si>
    <t xml:space="preserve">Open 25, Corrien...</t>
  </si>
  <si>
    <t xml:space="preserve">3:42 a.m.</t>
  </si>
  <si>
    <t xml:space="preserve">1:53 a.m.</t>
  </si>
  <si>
    <t xml:space="preserve">Monster Cookie...</t>
  </si>
  <si>
    <t xml:space="preserve">1:34 a.m.</t>
  </si>
  <si>
    <t xml:space="preserve">Carrefour Expres...</t>
  </si>
  <si>
    <t xml:space="preserve">10:01 p.m.</t>
  </si>
  <si>
    <t xml:space="preserve">Open Market</t>
  </si>
  <si>
    <t xml:space="preserve">10:54 p.m.</t>
  </si>
  <si>
    <t xml:space="preserve">Mi Gusto Balvanera</t>
  </si>
  <si>
    <t xml:space="preserve">10:37 p.m.</t>
  </si>
  <si>
    <t xml:space="preserve">Turbo Lavalle</t>
  </si>
  <si>
    <t xml:space="preserve">9:28 p.m.</t>
  </si>
  <si>
    <t xml:space="preserve">Campobravo puerto Madero</t>
  </si>
  <si>
    <t xml:space="preserve">9:07 p.m.</t>
  </si>
  <si>
    <t xml:space="preserve">FLA - McDonald's</t>
  </si>
  <si>
    <t xml:space="preserve">8:39 p.m.</t>
  </si>
  <si>
    <t xml:space="preserve">Tequeños Ruta6</t>
  </si>
  <si>
    <t xml:space="preserve">8:24 p.m.</t>
  </si>
  <si>
    <t xml:space="preserve">7:42 p.m.</t>
  </si>
  <si>
    <t xml:space="preserve">6:31 p.m.</t>
  </si>
  <si>
    <t xml:space="preserve">3:17 a.m.</t>
  </si>
  <si>
    <t xml:space="preserve">Tomasso Congreso</t>
  </si>
  <si>
    <t xml:space="preserve">3:02 a.m.</t>
  </si>
  <si>
    <t xml:space="preserve">Farmacity larrea</t>
  </si>
  <si>
    <t xml:space="preserve">2:36 a.m.</t>
  </si>
  <si>
    <t xml:space="preserve">Carrefour Express</t>
  </si>
  <si>
    <t xml:space="preserve">2:12 a.m.</t>
  </si>
  <si>
    <t xml:space="preserve">11:46 p.m.</t>
  </si>
  <si>
    <t xml:space="preserve">McCafé CHE</t>
  </si>
  <si>
    <t xml:space="preserve">11:11 p.m.</t>
  </si>
  <si>
    <t xml:space="preserve">McDonald's CHE</t>
  </si>
  <si>
    <t xml:space="preserve">10:52 p.m.</t>
  </si>
  <si>
    <t xml:space="preserve">McDonald's CLH Medrano</t>
  </si>
  <si>
    <t xml:space="preserve">10:40 p.m.</t>
  </si>
  <si>
    <t xml:space="preserve">McDonald's RCV int</t>
  </si>
  <si>
    <t xml:space="preserve">10:15 p.m.</t>
  </si>
  <si>
    <t xml:space="preserve">Freddo Arenales</t>
  </si>
  <si>
    <t xml:space="preserve">9:43 p.m.</t>
  </si>
  <si>
    <t xml:space="preserve">Burger King Ayacucho</t>
  </si>
  <si>
    <t xml:space="preserve">5:33 p.m.</t>
  </si>
  <si>
    <t xml:space="preserve">4:44 p.m.</t>
  </si>
  <si>
    <t xml:space="preserve">The Food Truck S...</t>
  </si>
  <si>
    <t xml:space="preserve">10:36 a.m.</t>
  </si>
  <si>
    <t xml:space="preserve">10:16 a.m.</t>
  </si>
  <si>
    <t xml:space="preserve">10:05 a.m.</t>
  </si>
  <si>
    <t xml:space="preserve">Coto Botanico</t>
  </si>
  <si>
    <t xml:space="preserve">9:27 a.m.</t>
  </si>
  <si>
    <t xml:space="preserve">1810 Cocina Re...</t>
  </si>
  <si>
    <t xml:space="preserve">9:01 a.m.</t>
  </si>
  <si>
    <t xml:space="preserve">La Empanadería</t>
  </si>
  <si>
    <t xml:space="preserve">McDonald's SF3</t>
  </si>
  <si>
    <t xml:space="preserve">3:41 a.m.</t>
  </si>
  <si>
    <t xml:space="preserve">3:11 a.m.</t>
  </si>
  <si>
    <t xml:space="preserve">Churrería El Top...</t>
  </si>
  <si>
    <t xml:space="preserve">2:45 a.m.</t>
  </si>
  <si>
    <t xml:space="preserve">Carrefour Scalabrini</t>
  </si>
  <si>
    <t xml:space="preserve">2:28 a.m.</t>
  </si>
  <si>
    <t xml:space="preserve">Carrefour Hiper</t>
  </si>
  <si>
    <t xml:space="preserve">2:05 a.m.</t>
  </si>
  <si>
    <t xml:space="preserve">1:51 a.m.</t>
  </si>
  <si>
    <t xml:space="preserve">El Puente Palermo</t>
  </si>
  <si>
    <t xml:space="preserve">11:39 p.m.</t>
  </si>
  <si>
    <t xml:space="preserve">Turbo, Peron</t>
  </si>
  <si>
    <t xml:space="preserve">11:08 p.m.</t>
  </si>
  <si>
    <t xml:space="preserve">10:45 p.m.</t>
  </si>
  <si>
    <t xml:space="preserve">10:33 p.m.</t>
  </si>
  <si>
    <t xml:space="preserve">10:00 p.m.</t>
  </si>
  <si>
    <t xml:space="preserve">La Despensa, San juan</t>
  </si>
  <si>
    <t xml:space="preserve">10:19 p.m.</t>
  </si>
  <si>
    <t xml:space="preserve">Tomasso - Congreso</t>
  </si>
  <si>
    <t xml:space="preserve">9:36 p.m.</t>
  </si>
  <si>
    <t xml:space="preserve">9:10 p.m.</t>
  </si>
  <si>
    <t xml:space="preserve">8:27 p.m.</t>
  </si>
  <si>
    <t xml:space="preserve">Postres McDonald's - CPY int</t>
  </si>
  <si>
    <t xml:space="preserve">9:27 p.m.</t>
  </si>
  <si>
    <t xml:space="preserve">9:02 p.m.</t>
  </si>
  <si>
    <t xml:space="preserve">Che Sushi - Downtown (25 de mayo)</t>
  </si>
  <si>
    <t xml:space="preserve">Rapanui - Retiro - Turbo</t>
  </si>
  <si>
    <t xml:space="preserve">7:17 p.m.</t>
  </si>
  <si>
    <t xml:space="preserve">Burger King - canning</t>
  </si>
  <si>
    <t xml:space="preserve">6:59 p.m.</t>
  </si>
  <si>
    <t xml:space="preserve">6:04 p.m.</t>
  </si>
  <si>
    <t xml:space="preserve">Coma y Punto</t>
  </si>
  <si>
    <t xml:space="preserve">Campobravo - Puerto Madero</t>
  </si>
  <si>
    <t xml:space="preserve">4:34 p.m.</t>
  </si>
  <si>
    <t xml:space="preserve">Los Inmortales - microcentro</t>
  </si>
  <si>
    <t xml:space="preserve">4:06 p.m.</t>
  </si>
  <si>
    <t xml:space="preserve">3:04 p.m.</t>
  </si>
  <si>
    <t xml:space="preserve">DIA Envío Rápido - Almagro (528)</t>
  </si>
  <si>
    <t xml:space="preserve">2:30 p.m.</t>
  </si>
  <si>
    <t xml:space="preserve">McDonald's Turbo - AB2</t>
  </si>
  <si>
    <t xml:space="preserve">2:13 p.m.</t>
  </si>
  <si>
    <t xml:space="preserve">DIA Envío Rápido, Monserrat Moreno (631)</t>
  </si>
  <si>
    <t xml:space="preserve">3:56 p.m.</t>
  </si>
  <si>
    <t xml:space="preserve">3:23 p.m.</t>
  </si>
  <si>
    <t xml:space="preserve">2:53 p.m.</t>
  </si>
  <si>
    <t xml:space="preserve">McDonald's - R10 int</t>
  </si>
  <si>
    <t xml:space="preserve">1:35 p.m.</t>
  </si>
  <si>
    <t xml:space="preserve">Cinépolis - Plaza</t>
  </si>
  <si>
    <t xml:space="preserve">12:58 p.m.</t>
  </si>
  <si>
    <t xml:space="preserve">Somos Peru Microcentro</t>
  </si>
  <si>
    <t xml:space="preserve">El club de la Milanesa Barrio Norte</t>
  </si>
  <si>
    <t xml:space="preserve">8:31 a.m.</t>
  </si>
  <si>
    <t xml:space="preserve">Pizza Alla Pala - Entre Rios</t>
  </si>
  <si>
    <t xml:space="preserve">8:07 a.m.</t>
  </si>
  <si>
    <t xml:space="preserve">McDonald's Turbo -R10 int</t>
  </si>
  <si>
    <t xml:space="preserve">9:52 a.m.</t>
  </si>
  <si>
    <t xml:space="preserve">Wendy's - Abasto</t>
  </si>
  <si>
    <t xml:space="preserve">7:24 a.m.</t>
  </si>
  <si>
    <t xml:space="preserve">10:38 p.m.</t>
  </si>
  <si>
    <t xml:space="preserve">Demashk Charcas -</t>
  </si>
  <si>
    <t xml:space="preserve">El Burladero</t>
  </si>
  <si>
    <t xml:space="preserve">9:23 p.m.</t>
  </si>
  <si>
    <t xml:space="preserve">El Sanjuanino - Barrio Norte</t>
  </si>
  <si>
    <t xml:space="preserve">8:12 p.m.</t>
  </si>
  <si>
    <t xml:space="preserve">Primo Pizza y Empanadas</t>
  </si>
  <si>
    <t xml:space="preserve">7:35 p.m.</t>
  </si>
  <si>
    <t xml:space="preserve">Crazy Cheese</t>
  </si>
  <si>
    <t xml:space="preserve">7:20 p.m.</t>
  </si>
  <si>
    <t xml:space="preserve">ACO - McDonald's</t>
  </si>
  <si>
    <t xml:space="preserve">6:52 p.m.</t>
  </si>
  <si>
    <t xml:space="preserve">Tequeups</t>
  </si>
  <si>
    <t xml:space="preserve">6:18 p.m.</t>
  </si>
  <si>
    <t xml:space="preserve">Coto, 091 - Abasto</t>
  </si>
  <si>
    <t xml:space="preserve">5:49 p.m.</t>
  </si>
  <si>
    <t xml:space="preserve">La Juvenil - Almagro</t>
  </si>
  <si>
    <t xml:space="preserve">5:10 p.m.</t>
  </si>
  <si>
    <t xml:space="preserve">Jevi, Rivadavia 4095</t>
  </si>
  <si>
    <t xml:space="preserve">4:52 p.m.</t>
  </si>
  <si>
    <t xml:space="preserve">4:35 p.m.</t>
  </si>
  <si>
    <t xml:space="preserve">4:23 p.m.</t>
  </si>
  <si>
    <t xml:space="preserve">3:49 p.m.</t>
  </si>
  <si>
    <t xml:space="preserve">Brothers Express</t>
  </si>
  <si>
    <t xml:space="preserve">3:22 p.m.</t>
  </si>
  <si>
    <t xml:space="preserve">3:03 p.m.</t>
  </si>
  <si>
    <t xml:space="preserve">8:14 p.m.</t>
  </si>
  <si>
    <t xml:space="preserve">7:36 p.m.</t>
  </si>
  <si>
    <t xml:space="preserve">DIA Envío Rápido, San cristobal (912)</t>
  </si>
  <si>
    <t xml:space="preserve">6:54 p.m.</t>
  </si>
  <si>
    <t xml:space="preserve">Starbucks Parque Patricios</t>
  </si>
  <si>
    <t xml:space="preserve">5:57 p.m.</t>
  </si>
  <si>
    <t xml:space="preserve">Casa Vedra, Medialunas</t>
  </si>
  <si>
    <t xml:space="preserve">5:25 p.m.</t>
  </si>
  <si>
    <t xml:space="preserve">Tequetok</t>
  </si>
  <si>
    <t xml:space="preserve">4:51 p.m.</t>
  </si>
  <si>
    <t xml:space="preserve">Coto, 61 - Once</t>
  </si>
  <si>
    <t xml:space="preserve">2:09 p.m.</t>
  </si>
  <si>
    <t xml:space="preserve">Tempo Di Pasta - Abasto</t>
  </si>
  <si>
    <t xml:space="preserve">1:30 p.m.</t>
  </si>
  <si>
    <t xml:space="preserve">Tequeños Mochima</t>
  </si>
  <si>
    <t xml:space="preserve">1:02 p.m.</t>
  </si>
  <si>
    <t xml:space="preserve">12:39 p.m.</t>
  </si>
  <si>
    <t xml:space="preserve">The Food Truck Store - Las heras</t>
  </si>
  <si>
    <t xml:space="preserve">7:37 a.m.</t>
  </si>
  <si>
    <t xml:space="preserve">Turbo, Monserrat</t>
  </si>
  <si>
    <t xml:space="preserve">6:51 a.m.</t>
  </si>
  <si>
    <t xml:space="preserve">McDonald's LIM</t>
  </si>
  <si>
    <t xml:space="preserve">McDonald's - LEZ</t>
  </si>
  <si>
    <t xml:space="preserve">5:54 a.m.</t>
  </si>
  <si>
    <t xml:space="preserve">5:35 a.m.</t>
  </si>
  <si>
    <t xml:space="preserve">Mostaza Deli - Callao</t>
  </si>
  <si>
    <t xml:space="preserve">11:37 p.m.</t>
  </si>
  <si>
    <t xml:space="preserve">9:00 p.m.</t>
  </si>
  <si>
    <t xml:space="preserve">Bibi's Burgers</t>
  </si>
  <si>
    <t xml:space="preserve">La Causa Nikkei - Cerviño</t>
  </si>
  <si>
    <t xml:space="preserve">8:11 p.m.</t>
  </si>
  <si>
    <t xml:space="preserve">7:47 p.m.</t>
  </si>
  <si>
    <t xml:space="preserve">7:11 p.m.</t>
  </si>
  <si>
    <t xml:space="preserve">6:56 p.m.</t>
  </si>
  <si>
    <t xml:space="preserve">Subway - Pueyrredon</t>
  </si>
  <si>
    <t xml:space="preserve">TequeGusta</t>
  </si>
  <si>
    <t xml:space="preserve">6:28 p.m.</t>
  </si>
  <si>
    <t xml:space="preserve">Carrefour, Recolecta (116)</t>
  </si>
  <si>
    <t xml:space="preserve">5:12 p.m.</t>
  </si>
  <si>
    <t xml:space="preserve">Nicolo - Ecuador</t>
  </si>
  <si>
    <t xml:space="preserve">kfc - Pueyrredon</t>
  </si>
  <si>
    <t xml:space="preserve">5:32 a.m.</t>
  </si>
  <si>
    <t xml:space="preserve">4:36 a.m.</t>
  </si>
  <si>
    <t xml:space="preserve">Subway - Palermo Av. Santa Fe 4974</t>
  </si>
  <si>
    <t xml:space="preserve">4:00 a.m.</t>
  </si>
  <si>
    <t xml:space="preserve">McDonald's - CFL int</t>
  </si>
  <si>
    <t xml:space="preserve">2:50 a.m.</t>
  </si>
  <si>
    <t xml:space="preserve">Postres McDonald's-  CPY int</t>
  </si>
  <si>
    <t xml:space="preserve">2:31 a.m.</t>
  </si>
  <si>
    <t xml:space="preserve">CHE - McDonald's Av. Cordoba 3831</t>
  </si>
  <si>
    <t xml:space="preserve">1:45 a.m.</t>
  </si>
  <si>
    <t xml:space="preserve">1:12 a.m.</t>
  </si>
  <si>
    <t xml:space="preserve">Isla Negra Heladería</t>
  </si>
  <si>
    <t xml:space="preserve">12:03 a.m.</t>
  </si>
  <si>
    <t xml:space="preserve">Mostaza Abasto Shopping</t>
  </si>
  <si>
    <t xml:space="preserve">1:46 p.m.</t>
  </si>
  <si>
    <t xml:space="preserve">Farmacity, Juncal Y AUSTRIA (64)</t>
  </si>
  <si>
    <t xml:space="preserve">1:20 p.m.</t>
  </si>
  <si>
    <t xml:space="preserve">Vea, Larrea (10)</t>
  </si>
  <si>
    <t xml:space="preserve">Tequegusta</t>
  </si>
  <si>
    <t xml:space="preserve">11:59 a.m.</t>
  </si>
  <si>
    <t xml:space="preserve">Coto, Botánico (203)</t>
  </si>
  <si>
    <t xml:space="preserve">11.33 a.m.</t>
  </si>
  <si>
    <t xml:space="preserve">9:50 a.m.</t>
  </si>
  <si>
    <t xml:space="preserve">DIA Envío Rápido, Monserrat (586)</t>
  </si>
  <si>
    <t xml:space="preserve">9:20 a.m.</t>
  </si>
  <si>
    <t xml:space="preserve">Mostaza Deli - Av. De Mayo</t>
  </si>
  <si>
    <t xml:space="preserve">9:04 a.m.</t>
  </si>
  <si>
    <t xml:space="preserve">LPZ - McDonald's Av. Corrientes 1650</t>
  </si>
  <si>
    <t xml:space="preserve">KFC - Alto Palermo</t>
  </si>
  <si>
    <t xml:space="preserve">Rapanui - Malabia</t>
  </si>
  <si>
    <t xml:space="preserve">Proteina Honduras 4681</t>
  </si>
  <si>
    <t xml:space="preserve">Casa Paradiso</t>
  </si>
  <si>
    <t xml:space="preserve">Carrefour, Scalabrini Ortiz (215)</t>
  </si>
  <si>
    <t xml:space="preserve">Carrefour Express, Market Vid (150)</t>
  </si>
  <si>
    <t xml:space="preserve">KFC Pueyrredón</t>
  </si>
  <si>
    <t xml:space="preserve">Disco, Santa Fe (22) </t>
  </si>
  <si>
    <t xml:space="preserve">10:43 p.m.</t>
  </si>
  <si>
    <t xml:space="preserve">10:34 p.m.</t>
  </si>
  <si>
    <t xml:space="preserve">365, Las Heras 2400</t>
  </si>
  <si>
    <t xml:space="preserve">10:17 p.m.</t>
  </si>
  <si>
    <t xml:space="preserve">Tea Connection - Uriburu</t>
  </si>
  <si>
    <t xml:space="preserve">9:55 p.m.</t>
  </si>
  <si>
    <t xml:space="preserve">Sushi Crunch - Palermo</t>
  </si>
  <si>
    <t xml:space="preserve">SushiPop - Coronel Diaz</t>
  </si>
  <si>
    <t xml:space="preserve">8:32 p.m.</t>
  </si>
  <si>
    <t xml:space="preserve">Pollos Trak - Bulnes</t>
  </si>
  <si>
    <t xml:space="preserve">The Food Truck Store - Palermo</t>
  </si>
  <si>
    <t xml:space="preserve">7:53 p.m.</t>
  </si>
  <si>
    <t xml:space="preserve">6:35 p.m.</t>
  </si>
  <si>
    <t xml:space="preserve">5:28 p.m.</t>
  </si>
  <si>
    <t xml:space="preserve">Monster Cookie</t>
  </si>
  <si>
    <t xml:space="preserve">McDonald's - AR5 int</t>
  </si>
  <si>
    <t xml:space="preserve">5:12 a.m.</t>
  </si>
  <si>
    <t xml:space="preserve">4:53 a.m.</t>
  </si>
  <si>
    <t xml:space="preserve">4:42 a.m.</t>
  </si>
  <si>
    <t xml:space="preserve">Kentucky - Godo</t>
  </si>
  <si>
    <t xml:space="preserve">4:09 a.m.</t>
  </si>
  <si>
    <t xml:space="preserve">McDonald's - Col int</t>
  </si>
  <si>
    <t xml:space="preserve">3:44 a.m.</t>
  </si>
  <si>
    <t xml:space="preserve">Burger King Reino Vegetal -plaza Italia</t>
  </si>
  <si>
    <t xml:space="preserve">2:42 a.m.</t>
  </si>
  <si>
    <t xml:space="preserve">Turbo Market, Palermo 1</t>
  </si>
  <si>
    <t xml:space="preserve">2:24 a.m.</t>
  </si>
  <si>
    <t xml:space="preserve">Fly Morfi - Güemes</t>
  </si>
  <si>
    <t xml:space="preserve">2:09 a.m.</t>
  </si>
  <si>
    <t xml:space="preserve">1:09 a.m.</t>
  </si>
  <si>
    <t xml:space="preserve">Rapanui - Arenales</t>
  </si>
  <si>
    <t xml:space="preserve">11:24 p. m.</t>
  </si>
  <si>
    <t xml:space="preserve">Wendy s - Abasto</t>
  </si>
  <si>
    <t xml:space="preserve">07/09/2025</t>
  </si>
  <si>
    <t xml:space="preserve">10:31 p. m.</t>
  </si>
  <si>
    <t xml:space="preserve">EK2 - McDonald's Av San Juan 2826</t>
  </si>
  <si>
    <t xml:space="preserve">10:16 p. m.</t>
  </si>
  <si>
    <t xml:space="preserve">Burguer King - Once</t>
  </si>
  <si>
    <t xml:space="preserve">3:31 a. m.</t>
  </si>
  <si>
    <t xml:space="preserve">Burger King – P. Italia</t>
  </si>
  <si>
    <t xml:space="preserve">2:17 a. m.</t>
  </si>
  <si>
    <t xml:space="preserve">Tomasso – Güemes</t>
  </si>
  <si>
    <t xml:space="preserve">Tomasso - Guemes</t>
  </si>
  <si>
    <t xml:space="preserve">1:28 a. m.</t>
  </si>
  <si>
    <t xml:space="preserve">Open 25, BILLINGHURST 2014/24 (183)</t>
  </si>
  <si>
    <t xml:space="preserve">1:05 a. m.</t>
  </si>
  <si>
    <t xml:space="preserve">12:43 a. m.</t>
  </si>
  <si>
    <t xml:space="preserve">McDonald's – SF5 int</t>
  </si>
  <si>
    <t xml:space="preserve">10:01 a.m.</t>
  </si>
  <si>
    <t xml:space="preserve">Starbucks Mansilla</t>
  </si>
  <si>
    <t xml:space="preserve">09/09/2025</t>
  </si>
  <si>
    <t xml:space="preserve">9:43 a.m.</t>
  </si>
  <si>
    <t xml:space="preserve">9:06 a.m.</t>
  </si>
  <si>
    <t xml:space="preserve">Starbucks Alto Palermo</t>
  </si>
  <si>
    <t xml:space="preserve">8:48 a.m.</t>
  </si>
  <si>
    <t xml:space="preserve">8:28 a.m.</t>
  </si>
  <si>
    <t xml:space="preserve">Carrefour Express Market Mercado (118)</t>
  </si>
  <si>
    <t xml:space="preserve">7:49 a.m.</t>
  </si>
  <si>
    <t xml:space="preserve">La Mantequeria</t>
  </si>
  <si>
    <t xml:space="preserve">11:43 p.m.</t>
  </si>
  <si>
    <t xml:space="preserve">McDonald's Turbo - CLH</t>
  </si>
  <si>
    <t xml:space="preserve">10/09/2025</t>
  </si>
  <si>
    <t xml:space="preserve">11:24 p.m.</t>
  </si>
  <si>
    <t xml:space="preserve">CLH – McDonald s Av. Gral. Las Heras 3215</t>
  </si>
  <si>
    <t xml:space="preserve">11:09 p.m.</t>
  </si>
  <si>
    <t xml:space="preserve">Pollos Trak – Bulnes</t>
  </si>
  <si>
    <t xml:space="preserve">10:55 p.m.</t>
  </si>
  <si>
    <t xml:space="preserve">McDonald's – CLH int</t>
  </si>
  <si>
    <t xml:space="preserve">10:10 p.m.</t>
  </si>
  <si>
    <t xml:space="preserve">Empanadas del oso</t>
  </si>
  <si>
    <t xml:space="preserve">8:55 p.m.</t>
  </si>
  <si>
    <t xml:space="preserve">Salimo Fuerte, Barrio Norte</t>
  </si>
  <si>
    <t xml:space="preserve">Rappi Favor, Bs As CABA (Caballito)</t>
  </si>
  <si>
    <t xml:space="preserve">11:45 p.m.</t>
  </si>
  <si>
    <t xml:space="preserve">Subway - Pueyrredón</t>
  </si>
  <si>
    <t xml:space="preserve">11/09/2025</t>
  </si>
  <si>
    <t xml:space="preserve">1:38 a.m.</t>
  </si>
  <si>
    <t xml:space="preserve">Burger King - Gallardo</t>
  </si>
  <si>
    <t xml:space="preserve">Burguer King - Gallardo</t>
  </si>
  <si>
    <t xml:space="preserve">1:03 a.m.</t>
  </si>
  <si>
    <t xml:space="preserve">12:43 a.m.</t>
  </si>
  <si>
    <t xml:space="preserve">12:27 a.m.</t>
  </si>
  <si>
    <t xml:space="preserve">12:09 a.m.</t>
  </si>
  <si>
    <t xml:space="preserve">3:45 a.m.</t>
  </si>
  <si>
    <t xml:space="preserve">McDonald's - SFC int</t>
  </si>
  <si>
    <t xml:space="preserve">12/09/2025</t>
  </si>
  <si>
    <t xml:space="preserve">3:08 a.m.</t>
  </si>
  <si>
    <t xml:space="preserve">2:35 a.m.</t>
  </si>
  <si>
    <t xml:space="preserve">2:02 a.m.</t>
  </si>
  <si>
    <t xml:space="preserve">Open 25, AV. SCALABRINI ORTIZ 2596 (167)</t>
  </si>
  <si>
    <t xml:space="preserve">1:52 a.m.</t>
  </si>
  <si>
    <t xml:space="preserve">12:50 a.m.</t>
  </si>
  <si>
    <t xml:space="preserve">12:36 a.m.</t>
  </si>
  <si>
    <t xml:space="preserve">CPY - McDonald's Scalabrini Ortiz 2034</t>
  </si>
  <si>
    <t xml:space="preserve">14/09/2025</t>
  </si>
  <si>
    <t xml:space="preserve">9:15 p.m.</t>
  </si>
  <si>
    <t xml:space="preserve">Kentucky - Rural Thames</t>
  </si>
  <si>
    <t xml:space="preserve">Romario - Ugarteche</t>
  </si>
  <si>
    <t xml:space="preserve">3:29 p.m.</t>
  </si>
  <si>
    <t xml:space="preserve">Duran  almacen de bebidas</t>
  </si>
  <si>
    <t xml:space="preserve">2:57 p.m.</t>
  </si>
  <si>
    <t xml:space="preserve">Cúmen Cúmen - Palermo</t>
  </si>
  <si>
    <t xml:space="preserve">2:32 p.m.</t>
  </si>
  <si>
    <t xml:space="preserve">DIA, Av Santa Fe (1091)</t>
  </si>
  <si>
    <t xml:space="preserve">1:28 p.m.</t>
  </si>
  <si>
    <t xml:space="preserve">Poked - Palermo</t>
  </si>
  <si>
    <t xml:space="preserve">1:01 p.m.</t>
  </si>
  <si>
    <t xml:space="preserve">Wendy's - Distrito Arcos</t>
  </si>
  <si>
    <t xml:space="preserve">12:27 p.m.</t>
  </si>
  <si>
    <t xml:space="preserve">SF2 - McDonald's Avda Santa Fe 4280</t>
  </si>
  <si>
    <t xml:space="preserve">11:40 a.m.</t>
  </si>
  <si>
    <t xml:space="preserve">Amasadero - Palermo</t>
  </si>
  <si>
    <t xml:space="preserve">11:21 a.m.</t>
  </si>
  <si>
    <t xml:space="preserve">10:21 a.m.</t>
  </si>
  <si>
    <t xml:space="preserve">La Mantequería -Gallo</t>
  </si>
  <si>
    <t xml:space="preserve">9:56 a.m.</t>
  </si>
  <si>
    <t xml:space="preserve">La Mantequería - Gallo</t>
  </si>
  <si>
    <t xml:space="preserve">12.04 a.m.</t>
  </si>
  <si>
    <t xml:space="preserve">1:28 p. m.</t>
  </si>
  <si>
    <t xml:space="preserve">Salumeria Ragni Recoleta</t>
  </si>
  <si>
    <t xml:space="preserve">16/09/2025</t>
  </si>
  <si>
    <t xml:space="preserve">1:01 p. m.</t>
  </si>
  <si>
    <t xml:space="preserve">Romario – Beruti</t>
  </si>
  <si>
    <t xml:space="preserve">12:26 p. m.</t>
  </si>
  <si>
    <t xml:space="preserve">11:26 a. m.</t>
  </si>
  <si>
    <t xml:space="preserve">KFC – Pueyrredón</t>
  </si>
  <si>
    <t xml:space="preserve">10:57 a. m.</t>
  </si>
  <si>
    <t xml:space="preserve">10:20 a. m.</t>
  </si>
  <si>
    <t xml:space="preserve">10:11 a. m.</t>
  </si>
  <si>
    <t xml:space="preserve">9:47 a. m.</t>
  </si>
  <si>
    <t xml:space="preserve">McDonald's Desayuno -LAR int</t>
  </si>
  <si>
    <t xml:space="preserve">9:35 a. m.</t>
  </si>
  <si>
    <t xml:space="preserve">Mooi – Recoleta</t>
  </si>
  <si>
    <t xml:space="preserve">9:15 a. m.</t>
  </si>
  <si>
    <t xml:space="preserve">Farmacity, Salguero</t>
  </si>
  <si>
    <t xml:space="preserve">8:52 a. m.</t>
  </si>
  <si>
    <t xml:space="preserve">Starbucks Cabello</t>
  </si>
  <si>
    <t xml:space="preserve">8:43 a. m.</t>
  </si>
  <si>
    <t xml:space="preserve">8:07 a. m.</t>
  </si>
  <si>
    <t xml:space="preserve">Green Eat – Billinghurst</t>
  </si>
  <si>
    <t xml:space="preserve">7:31 a. m.</t>
  </si>
  <si>
    <t xml:space="preserve">Kentucky Café – Palermo</t>
  </si>
  <si>
    <t xml:space="preserve">8:08 a. m.</t>
  </si>
  <si>
    <t xml:space="preserve">McDonald's LPZ</t>
  </si>
  <si>
    <t xml:space="preserve">11:28 a. m.</t>
  </si>
  <si>
    <t xml:space="preserve">Morapp, Buenos Aires</t>
  </si>
  <si>
    <t xml:space="preserve">17/09/2025</t>
  </si>
  <si>
    <t xml:space="preserve">10:13 a. m.</t>
  </si>
  <si>
    <t xml:space="preserve">Starbucks Callao y Santa Fe</t>
  </si>
  <si>
    <t xml:space="preserve">9:52 a. m.</t>
  </si>
  <si>
    <t xml:space="preserve">Starbucks Conquistador</t>
  </si>
  <si>
    <t xml:space="preserve">9:33 a. m.</t>
  </si>
  <si>
    <t xml:space="preserve">Starbucks Yatch</t>
  </si>
  <si>
    <t xml:space="preserve">9:07 a. m.</t>
  </si>
  <si>
    <t xml:space="preserve">8:47 a. m.</t>
  </si>
  <si>
    <t xml:space="preserve">LAV - McDonald's Lavalle</t>
  </si>
  <si>
    <t xml:space="preserve">8:30 a. m.</t>
  </si>
  <si>
    <t xml:space="preserve">8:44 p. m.</t>
  </si>
  <si>
    <t xml:space="preserve">McDonald's - MED</t>
  </si>
  <si>
    <t xml:space="preserve">18/09/2025</t>
  </si>
  <si>
    <t xml:space="preserve">8:19 p. m.</t>
  </si>
  <si>
    <t xml:space="preserve">La Fachada - Araoz</t>
  </si>
  <si>
    <t xml:space="preserve">SushiPop - Scalabrini</t>
  </si>
  <si>
    <t xml:space="preserve">7:26 p. m.</t>
  </si>
  <si>
    <t xml:space="preserve">DIA Envío Rápido - Villa Crespo (396)</t>
  </si>
  <si>
    <t xml:space="preserve">6:51 p. m.</t>
  </si>
  <si>
    <t xml:space="preserve">Turbo, San Martín</t>
  </si>
  <si>
    <t xml:space="preserve">6:28 p. m.</t>
  </si>
  <si>
    <t xml:space="preserve">DIA Envío Rápido, Villa Crespo (396)</t>
  </si>
  <si>
    <t xml:space="preserve">5:37 p. m.</t>
  </si>
  <si>
    <t xml:space="preserve">Tomasso Turbo - Guardia Vieja</t>
  </si>
  <si>
    <t xml:space="preserve">5:17 p. m.</t>
  </si>
  <si>
    <t xml:space="preserve">Rappi Favor, Bs. As. CABA (Villa Crespo/Chacarita)</t>
  </si>
  <si>
    <t xml:space="preserve">4:56 p. m.</t>
  </si>
  <si>
    <t xml:space="preserve">, Bs. As. CABA (Balvanera/Once)</t>
  </si>
  <si>
    <t xml:space="preserve">2:24 p. m.</t>
  </si>
  <si>
    <t xml:space="preserve">Il Quotidiano</t>
  </si>
  <si>
    <t xml:space="preserve">Melo</t>
  </si>
  <si>
    <t xml:space="preserve">1:30 p. m.</t>
  </si>
  <si>
    <t xml:space="preserve">Mooi - Recoleta</t>
  </si>
  <si>
    <t xml:space="preserve">1:19 p. m.</t>
  </si>
  <si>
    <t xml:space="preserve">Ajuste de ganancia por auditorias</t>
  </si>
  <si>
    <t xml:space="preserve">1:10 p. m.</t>
  </si>
  <si>
    <t xml:space="preserve">Subway - Recoleta</t>
  </si>
  <si>
    <t xml:space="preserve">12:46 p. m.</t>
  </si>
  <si>
    <t xml:space="preserve">4090 Burger &amp; Fries - Balvanera</t>
  </si>
  <si>
    <t xml:space="preserve">12:25 p. m.</t>
  </si>
  <si>
    <t xml:space="preserve">Mostaza - Callao</t>
  </si>
  <si>
    <t xml:space="preserve">11:29 a. m.</t>
  </si>
  <si>
    <t xml:space="preserve">10:56 a. m.</t>
  </si>
  <si>
    <t xml:space="preserve">10:37 a. m.</t>
  </si>
  <si>
    <t xml:space="preserve">Mostaza Deli</t>
  </si>
  <si>
    <t xml:space="preserve">9:24 a. m.</t>
  </si>
  <si>
    <t xml:space="preserve">McCafé - FLA</t>
  </si>
  <si>
    <t xml:space="preserve">Mostaza Deli - Florida</t>
  </si>
  <si>
    <t xml:space="preserve">8:53 a. m.</t>
  </si>
  <si>
    <t xml:space="preserve">The Coffee Store - Av Cordoba</t>
  </si>
  <si>
    <t xml:space="preserve">8:28 a. m.</t>
  </si>
  <si>
    <t xml:space="preserve">Rappi Favor, Bs. As. CABA (Balvanera/Once)</t>
  </si>
  <si>
    <t xml:space="preserve">7:59 a. m.</t>
  </si>
  <si>
    <t xml:space="preserve">3:20 p.m.</t>
  </si>
  <si>
    <t xml:space="preserve">El Viejo Jose Martin</t>
  </si>
  <si>
    <t xml:space="preserve">1:59 p.m.</t>
  </si>
  <si>
    <t xml:space="preserve">Milanga &amp; Co - Abasto</t>
  </si>
  <si>
    <t xml:space="preserve">Las Esclavas Express</t>
  </si>
  <si>
    <t xml:space="preserve">Sbarro - Charcas</t>
  </si>
  <si>
    <t xml:space="preserve">12:51 p.m.</t>
  </si>
  <si>
    <t xml:space="preserve">Shami Shawarm - Pueyrredon</t>
  </si>
  <si>
    <t xml:space="preserve">10:02 p.m.</t>
  </si>
  <si>
    <t xml:space="preserve">Salgado Alimentos - Darregueyra</t>
  </si>
  <si>
    <t xml:space="preserve">9:52 p.m.</t>
  </si>
  <si>
    <t xml:space="preserve">Parrilla San Cayetano</t>
  </si>
  <si>
    <t xml:space="preserve">Romario - Juncal</t>
  </si>
  <si>
    <t xml:space="preserve">DIA Envío Rápido (Cerviño)</t>
  </si>
  <si>
    <t xml:space="preserve">Open 25, Billinghurst 2014/24 (183)</t>
  </si>
  <si>
    <t xml:space="preserve">8:49 p.m.</t>
  </si>
  <si>
    <t xml:space="preserve">Möoi Arenales</t>
  </si>
  <si>
    <t xml:space="preserve">8:16 p.m.</t>
  </si>
  <si>
    <t xml:space="preserve">Proteina Hondura 4681</t>
  </si>
  <si>
    <t xml:space="preserve">Tienda de Bebidas</t>
  </si>
  <si>
    <t xml:space="preserve">7:28 p.m.</t>
  </si>
  <si>
    <t xml:space="preserve">DIA, Palermo (168)</t>
  </si>
  <si>
    <t xml:space="preserve">Coto, palermo (56)</t>
  </si>
  <si>
    <t xml:space="preserve">La Malbequeria Cocina porteña - Caballito</t>
  </si>
  <si>
    <t xml:space="preserve">Tempo Di Pasta</t>
  </si>
  <si>
    <t xml:space="preserve">Noah's Green Kitchen - Centro</t>
  </si>
  <si>
    <t xml:space="preserve">Cumen Cumen san Nicolas</t>
  </si>
  <si>
    <t xml:space="preserve">10:36 p.m.</t>
  </si>
  <si>
    <t xml:space="preserve">Turbo, Lavalle</t>
  </si>
  <si>
    <t xml:space="preserve">10:24 p.m.</t>
  </si>
  <si>
    <t xml:space="preserve">9:32 p.m.</t>
  </si>
  <si>
    <t xml:space="preserve">Carrefour, Recoleta (116)</t>
  </si>
  <si>
    <t xml:space="preserve">7:55 p.m.</t>
  </si>
  <si>
    <t xml:space="preserve">Rincón Norteño</t>
  </si>
  <si>
    <t xml:space="preserve">7:24 p.m.</t>
  </si>
  <si>
    <t xml:space="preserve">Freddo Turbo Cerviño</t>
  </si>
  <si>
    <t xml:space="preserve">7:10 p.m.</t>
  </si>
  <si>
    <t xml:space="preserve">6:14 p.m.</t>
  </si>
  <si>
    <t xml:space="preserve">Monti Milas</t>
  </si>
  <si>
    <t xml:space="preserve">McDonald's - CLH int</t>
  </si>
  <si>
    <t xml:space="preserve">5:37 p.m.</t>
  </si>
  <si>
    <t xml:space="preserve">Persicco - Salguero y cabello</t>
  </si>
  <si>
    <t xml:space="preserve">4:46 p.m.</t>
  </si>
  <si>
    <t xml:space="preserve">6:19 p.m.</t>
  </si>
  <si>
    <t xml:space="preserve">Rappi Favor, Bs As</t>
  </si>
  <si>
    <t xml:space="preserve">5:30 p.m.</t>
  </si>
  <si>
    <t xml:space="preserve">Burger King - Fa</t>
  </si>
  <si>
    <t xml:space="preserve">4:21 p.m.</t>
  </si>
  <si>
    <t xml:space="preserve">La Causa Nikkei</t>
  </si>
  <si>
    <t xml:space="preserve">2:36 p.m.</t>
  </si>
  <si>
    <t xml:space="preserve">9:15 p. m.</t>
  </si>
  <si>
    <t xml:space="preserve">28/09/2025</t>
  </si>
  <si>
    <t xml:space="preserve">7:33 p. m.</t>
  </si>
  <si>
    <t xml:space="preserve">DIA Envío Rápido,  Cerviño (523)</t>
  </si>
  <si>
    <t xml:space="preserve">6:39 p. m.</t>
  </si>
  <si>
    <t xml:space="preserve">6:19 p. m.</t>
  </si>
  <si>
    <t xml:space="preserve">DIA Envío Rápido, Almagro (528)</t>
  </si>
  <si>
    <t xml:space="preserve">5:39 p. m.</t>
  </si>
  <si>
    <t xml:space="preserve">Voraz - Callao</t>
  </si>
  <si>
    <t xml:space="preserve">5:21 p. m.</t>
  </si>
  <si>
    <t xml:space="preserve">Dean &amp; Dennys - Recoleta</t>
  </si>
  <si>
    <t xml:space="preserve">5:05 p. m.</t>
  </si>
  <si>
    <t xml:space="preserve">Sensu Patio Bullrich</t>
  </si>
  <si>
    <t xml:space="preserve">4:23 p. m.</t>
  </si>
  <si>
    <t xml:space="preserve">3:29 p. m.</t>
  </si>
  <si>
    <t xml:space="preserve">My Bagel - Store Once</t>
  </si>
  <si>
    <t xml:space="preserve">2:02 p. m.</t>
  </si>
  <si>
    <t xml:space="preserve">Coto, 61-Once</t>
  </si>
  <si>
    <t xml:space="preserve">Noah's Green Kitchen - Palermo II</t>
  </si>
  <si>
    <t xml:space="preserve">29/09/2025</t>
  </si>
  <si>
    <t xml:space="preserve">12:13 p. m.</t>
  </si>
  <si>
    <t xml:space="preserve">Tea Connection - scalabrini ortiz</t>
  </si>
  <si>
    <t xml:space="preserve">11:36 a. m.</t>
  </si>
  <si>
    <t xml:space="preserve">Rappi Favor, Bs As (Villa Crespo/Chacarita)</t>
  </si>
  <si>
    <t xml:space="preserve">10:33 a. m.</t>
  </si>
  <si>
    <t xml:space="preserve">McCafé – CHE</t>
  </si>
  <si>
    <t xml:space="preserve">10:14 a. m.</t>
  </si>
  <si>
    <t xml:space="preserve">9:30 a. m.</t>
  </si>
  <si>
    <t xml:space="preserve">9:04 a. m.</t>
  </si>
  <si>
    <t xml:space="preserve">Open 25, JD PERON 4296 (338)</t>
  </si>
  <si>
    <t xml:space="preserve">8:44 a. m.</t>
  </si>
  <si>
    <t xml:space="preserve">La Argentina – Arenales</t>
  </si>
  <si>
    <t xml:space="preserve">SFC – McDonald's Santa Fe y Callao v. santa Fe 1780</t>
  </si>
  <si>
    <t xml:space="preserve">8:18 a. m.</t>
  </si>
  <si>
    <t xml:space="preserve">SFC – McDonald's Desayunos - SFC int</t>
  </si>
  <si>
    <t xml:space="preserve">11:03 a. m.</t>
  </si>
  <si>
    <t xml:space="preserve">Pan de Queso Brasil - Microcentro</t>
  </si>
  <si>
    <t xml:space="preserve">Dia Balvanera 455 (Express)</t>
  </si>
  <si>
    <t xml:space="preserve">01/10/2025</t>
  </si>
  <si>
    <t xml:space="preserve">Starbucks Tribunales</t>
  </si>
  <si>
    <t xml:space="preserve">9:34 a. m.</t>
  </si>
  <si>
    <t xml:space="preserve">Compañía De Golosinas Callao</t>
  </si>
  <si>
    <t xml:space="preserve">8:37 a. m.</t>
  </si>
  <si>
    <t xml:space="preserve">8:16 a. m.</t>
  </si>
  <si>
    <t xml:space="preserve">10:57 p.m.</t>
  </si>
  <si>
    <t xml:space="preserve">Rapanui - Recoleta</t>
  </si>
  <si>
    <t xml:space="preserve">05/10/2025</t>
  </si>
  <si>
    <t xml:space="preserve">McDonald's - FLA</t>
  </si>
  <si>
    <t xml:space="preserve">Kentucky - Paraguay</t>
  </si>
  <si>
    <t xml:space="preserve">SushiPop - Downtown</t>
  </si>
  <si>
    <t xml:space="preserve">SushiPop</t>
  </si>
  <si>
    <t xml:space="preserve">9:42 p.m.</t>
  </si>
  <si>
    <t xml:space="preserve">Lo de Jesús - Barrio Norte</t>
  </si>
  <si>
    <t xml:space="preserve">Cumen Cumen Sann Nicolas</t>
  </si>
  <si>
    <t xml:space="preserve">8:57 p.m.</t>
  </si>
  <si>
    <t xml:space="preserve">La Mazza</t>
  </si>
  <si>
    <t xml:space="preserve">Mi Gusto - Balvanera</t>
  </si>
  <si>
    <t xml:space="preserve">7:13 p.m.</t>
  </si>
  <si>
    <t xml:space="preserve">6:23 p.m.</t>
  </si>
  <si>
    <t xml:space="preserve">Green Eat - Billinghurst</t>
  </si>
  <si>
    <t xml:space="preserve">6:07 p.m.</t>
  </si>
  <si>
    <t xml:space="preserve">5:38 p.m.</t>
  </si>
  <si>
    <t xml:space="preserve">5:16 p.m.</t>
  </si>
  <si>
    <t xml:space="preserve">3:06 p.m.</t>
  </si>
  <si>
    <t xml:space="preserve">Prosciutto Ristorante -Balvanera</t>
  </si>
  <si>
    <t xml:space="preserve">11:32 a.m.</t>
  </si>
  <si>
    <t xml:space="preserve">DIA Envío Rápido Constitucion (363)</t>
  </si>
  <si>
    <t xml:space="preserve">11:01 a.m.</t>
  </si>
  <si>
    <t xml:space="preserve">Panadería Venezonala Galipan</t>
  </si>
  <si>
    <t xml:space="preserve">9:58 a.m.</t>
  </si>
  <si>
    <t xml:space="preserve">Mostaza Deli - Once</t>
  </si>
  <si>
    <t xml:space="preserve">6:38 a.m.</t>
  </si>
  <si>
    <t xml:space="preserve">Bebidas Express, Centenera</t>
  </si>
  <si>
    <t xml:space="preserve">5:51 a.m.</t>
  </si>
  <si>
    <t xml:space="preserve">5:11 a.m.</t>
  </si>
  <si>
    <t xml:space="preserve">Vint's Bebidas</t>
  </si>
  <si>
    <t xml:space="preserve">10:35 p.m.</t>
  </si>
  <si>
    <t xml:space="preserve">La Rôtisserie Des Saveurs</t>
  </si>
  <si>
    <t xml:space="preserve">II Quotidiano - Alto Palermo</t>
  </si>
  <si>
    <t xml:space="preserve">06/10/2025</t>
  </si>
  <si>
    <t xml:space="preserve">9:37 p.m.</t>
  </si>
  <si>
    <t xml:space="preserve">DIA Envío Rápido, Cerviño (523)</t>
  </si>
  <si>
    <t xml:space="preserve">9:18 p.m.</t>
  </si>
  <si>
    <t xml:space="preserve">Hatsu sushi - Barrio Norte</t>
  </si>
  <si>
    <t xml:space="preserve">La Vicca - Gascon</t>
  </si>
  <si>
    <t xml:space="preserve">7:40 p.m.</t>
  </si>
  <si>
    <t xml:space="preserve">McDonald's Turbo - Ar4 Int</t>
  </si>
  <si>
    <t xml:space="preserve">7:00 p.m.</t>
  </si>
  <si>
    <t xml:space="preserve">6:22 p.m.</t>
  </si>
  <si>
    <t xml:space="preserve">Puppis Gallardo</t>
  </si>
  <si>
    <t xml:space="preserve">5:05 p.m.</t>
  </si>
  <si>
    <t xml:space="preserve">Starbucks Av La Plata</t>
  </si>
  <si>
    <t xml:space="preserve">1:12 p.m.</t>
  </si>
  <si>
    <t xml:space="preserve">12:33 p.m.</t>
  </si>
  <si>
    <t xml:space="preserve">Cumen Cumen - San Nicolas</t>
  </si>
  <si>
    <t xml:space="preserve">11:16 a.m.</t>
  </si>
  <si>
    <t xml:space="preserve">Tomasso - Mansilla</t>
  </si>
  <si>
    <t xml:space="preserve">07/10/2025</t>
  </si>
  <si>
    <t xml:space="preserve">1:58 a.m.</t>
  </si>
  <si>
    <t xml:space="preserve">1:37 a.m.</t>
  </si>
  <si>
    <t xml:space="preserve">1:10 a.m.</t>
  </si>
  <si>
    <t xml:space="preserve">Tomasso - Marcelo T</t>
  </si>
  <si>
    <t xml:space="preserve">09/10/2025</t>
  </si>
  <si>
    <t xml:space="preserve">9:44 p.m.</t>
  </si>
  <si>
    <t xml:space="preserve">Möoi - Recoleta</t>
  </si>
  <si>
    <t xml:space="preserve">9:05 p.m.</t>
  </si>
  <si>
    <t xml:space="preserve">Koko Bao Bar - Centro</t>
  </si>
  <si>
    <t xml:space="preserve">Che Sushi - Barrio Norte</t>
  </si>
  <si>
    <t xml:space="preserve">6:33 p.m.</t>
  </si>
  <si>
    <t xml:space="preserve">Kiosco Robert</t>
  </si>
  <si>
    <t xml:space="preserve">5:50 p.m.</t>
  </si>
  <si>
    <t xml:space="preserve">Farmacia Scienza, Guemes</t>
  </si>
  <si>
    <t xml:space="preserve">Disco, Santa Fe (22)</t>
  </si>
  <si>
    <t xml:space="preserve">4:38 p.m.</t>
  </si>
  <si>
    <t xml:space="preserve">10:31 p.m.</t>
  </si>
  <si>
    <t xml:space="preserve">Burguer King - Ayacucho</t>
  </si>
  <si>
    <t xml:space="preserve">10/10/2025</t>
  </si>
  <si>
    <t xml:space="preserve">Gyros</t>
  </si>
  <si>
    <t xml:space="preserve">8:56 p.m.</t>
  </si>
  <si>
    <t xml:space="preserve">Don Shawarma</t>
  </si>
  <si>
    <t xml:space="preserve">Melo, The Food</t>
  </si>
  <si>
    <t xml:space="preserve">The Food Truck Store - Las Heras</t>
  </si>
  <si>
    <t xml:space="preserve">7:52 p.m.</t>
  </si>
  <si>
    <t xml:space="preserve">6:42 a.m.</t>
  </si>
  <si>
    <t xml:space="preserve">Subway - Palermo Av santa Fe 4974</t>
  </si>
  <si>
    <t xml:space="preserve">6:16 a.m.</t>
  </si>
  <si>
    <t xml:space="preserve">6:02 a.m.</t>
  </si>
  <si>
    <t xml:space="preserve">5:24 a.m.</t>
  </si>
  <si>
    <t xml:space="preserve">Break Palermo</t>
  </si>
  <si>
    <t xml:space="preserve">4:38 a.m.</t>
  </si>
  <si>
    <t xml:space="preserve">Chemuzza - Propizio</t>
  </si>
  <si>
    <t xml:space="preserve">Nawebona</t>
  </si>
  <si>
    <t xml:space="preserve">3:25 a.m.</t>
  </si>
  <si>
    <t xml:space="preserve">1:55 a.m.</t>
  </si>
  <si>
    <t xml:space="preserve">El Gigante del Sándwich</t>
  </si>
  <si>
    <t xml:space="preserve">1:40 a.m.</t>
  </si>
  <si>
    <t xml:space="preserve">McDonald's - CYM int</t>
  </si>
  <si>
    <t xml:space="preserve">1:14 a.m.</t>
  </si>
  <si>
    <t xml:space="preserve">Turbo, Forest</t>
  </si>
  <si>
    <t xml:space="preserve">12:53 a.m.</t>
  </si>
  <si>
    <t xml:space="preserve">Salimos Fuerte</t>
  </si>
  <si>
    <t xml:space="preserve">12:30 a.m.</t>
  </si>
  <si>
    <t xml:space="preserve">Freddo - Libertador - Turbo</t>
  </si>
  <si>
    <t xml:space="preserve">12:16 a.m.</t>
  </si>
  <si>
    <t xml:space="preserve">11:53 p.m.</t>
  </si>
  <si>
    <t xml:space="preserve">La Licoreria BsAs</t>
  </si>
  <si>
    <t xml:space="preserve">11/10/2025</t>
  </si>
  <si>
    <t xml:space="preserve">si</t>
  </si>
  <si>
    <t xml:space="preserve">11:31 p.m.</t>
  </si>
  <si>
    <t xml:space="preserve">Teque Onda</t>
  </si>
  <si>
    <t xml:space="preserve">11:01 p.m.</t>
  </si>
  <si>
    <t xml:space="preserve">McDonald's Turbo - Col int</t>
  </si>
  <si>
    <t xml:space="preserve">10:47 p.m.</t>
  </si>
  <si>
    <t xml:space="preserve">10:22 p.m.</t>
  </si>
  <si>
    <t xml:space="preserve">SF6 - McDonald's Avda Santa Fe 3684</t>
  </si>
  <si>
    <t xml:space="preserve">10:06 p.m.</t>
  </si>
  <si>
    <t xml:space="preserve">Cinépolis - Recoleta</t>
  </si>
  <si>
    <t xml:space="preserve">Rincon norteño - Barrio Norte</t>
  </si>
  <si>
    <t xml:space="preserve">9:19 p.m.</t>
  </si>
  <si>
    <t xml:space="preserve">8:42 p.m.</t>
  </si>
  <si>
    <t xml:space="preserve">Zue Restaurante</t>
  </si>
  <si>
    <t xml:space="preserve">9:48 a.m.</t>
  </si>
  <si>
    <t xml:space="preserve">Coto, Barrio Norte (80)</t>
  </si>
  <si>
    <t xml:space="preserve">7:42 a.m.</t>
  </si>
  <si>
    <t xml:space="preserve">7:26 a.m.</t>
  </si>
  <si>
    <t xml:space="preserve">5:46 a.m.</t>
  </si>
  <si>
    <t xml:space="preserve">5:19 a.m.</t>
  </si>
  <si>
    <t xml:space="preserve">4:56 a.m.</t>
  </si>
  <si>
    <t xml:space="preserve">4:21 a.m.</t>
  </si>
  <si>
    <t xml:space="preserve">3:52 a.m.</t>
  </si>
  <si>
    <t xml:space="preserve">3:20 a.m.</t>
  </si>
  <si>
    <t xml:space="preserve">SF3 - McDonald's Av Santa Fe 2468</t>
  </si>
  <si>
    <t xml:space="preserve">2:11 a.m.</t>
  </si>
  <si>
    <t xml:space="preserve">Tomasso - Güemes</t>
  </si>
  <si>
    <t xml:space="preserve">10:57 p. m.</t>
  </si>
  <si>
    <t xml:space="preserve">Chicken Chill</t>
  </si>
  <si>
    <t xml:space="preserve">Mostaza Alto Palermo</t>
  </si>
  <si>
    <t xml:space="preserve">12/10/2025</t>
  </si>
  <si>
    <t xml:space="preserve">10:13 p. m.</t>
  </si>
  <si>
    <t xml:space="preserve">Doña Lola Rotisería</t>
  </si>
  <si>
    <t xml:space="preserve">9:36 p. m.</t>
  </si>
  <si>
    <t xml:space="preserve">Romario Food - Ugarteche</t>
  </si>
  <si>
    <t xml:space="preserve">9:19 p. m.</t>
  </si>
  <si>
    <t xml:space="preserve">Fabric Sushi Cabello</t>
  </si>
  <si>
    <t xml:space="preserve">9:06 p. m.</t>
  </si>
  <si>
    <t xml:space="preserve">8:38 p. m.</t>
  </si>
  <si>
    <t xml:space="preserve">8:23 p. m.</t>
  </si>
  <si>
    <t xml:space="preserve">Mochica Cocina Peruana</t>
  </si>
  <si>
    <t xml:space="preserve">7:34 p. m.</t>
  </si>
  <si>
    <t xml:space="preserve">La Argentina - Beruti</t>
  </si>
  <si>
    <t xml:space="preserve">Palmyra Shawarma</t>
  </si>
  <si>
    <t xml:space="preserve">7:02 p. m.</t>
  </si>
  <si>
    <t xml:space="preserve">Açaí Brasil - Plaza Houssay</t>
  </si>
  <si>
    <t xml:space="preserve">6:44 p. m.</t>
  </si>
  <si>
    <t xml:space="preserve">6:00 p. m.</t>
  </si>
  <si>
    <t xml:space="preserve">Monster  Barrio Norte</t>
  </si>
  <si>
    <t xml:space="preserve">5:30 p. m.</t>
  </si>
  <si>
    <t xml:space="preserve">3:58 p. m.</t>
  </si>
  <si>
    <t xml:space="preserve">Burger King - Facultad</t>
  </si>
  <si>
    <t xml:space="preserve">3:11 p. m.</t>
  </si>
  <si>
    <t xml:space="preserve">Roma del Abasto</t>
  </si>
  <si>
    <t xml:space="preserve">Wok Al Fuego - Abasto</t>
  </si>
  <si>
    <t xml:space="preserve">440909888/440909755</t>
  </si>
  <si>
    <t xml:space="preserve">2:39 p. m.</t>
  </si>
  <si>
    <t xml:space="preserve">Kentucky Turbo - Abasto</t>
  </si>
  <si>
    <t xml:space="preserve">2:08 p. m.</t>
  </si>
  <si>
    <t xml:space="preserve">1:38 p. m.</t>
  </si>
  <si>
    <t xml:space="preserve">2:23 a. m.</t>
  </si>
  <si>
    <t xml:space="preserve">12:55 a. m.</t>
  </si>
  <si>
    <t xml:space="preserve">12:29 a. m.</t>
  </si>
  <si>
    <t xml:space="preserve">McDonald's - SF6</t>
  </si>
  <si>
    <t xml:space="preserve">Turbo, Baez</t>
  </si>
  <si>
    <t xml:space="preserve">1:36 a. m.</t>
  </si>
  <si>
    <t xml:space="preserve">1:27 a. m.</t>
  </si>
  <si>
    <t xml:space="preserve">Burguer King - P. Italia</t>
  </si>
  <si>
    <t xml:space="preserve">10:19 p. m.</t>
  </si>
  <si>
    <t xml:space="preserve">Rincon Norteño - Cabrera</t>
  </si>
  <si>
    <t xml:space="preserve">Dalal - Palermo</t>
  </si>
  <si>
    <t xml:space="preserve">27/10/2025</t>
  </si>
  <si>
    <t xml:space="preserve">9:41 p. m.</t>
  </si>
  <si>
    <t xml:space="preserve">Romario - Beruti, Romario</t>
  </si>
  <si>
    <t xml:space="preserve">7:59 p. m.</t>
  </si>
  <si>
    <t xml:space="preserve">DIA, Av Cabildo 3460 (1100)</t>
  </si>
  <si>
    <t xml:space="preserve">7:31 p. m.</t>
  </si>
  <si>
    <t xml:space="preserve">Dean &amp; Dennys - Cramer</t>
  </si>
  <si>
    <t xml:space="preserve">7:12 p. m.</t>
  </si>
  <si>
    <t xml:space="preserve">La Cocina de Matias - Libre de gluten</t>
  </si>
  <si>
    <t xml:space="preserve">6:32 p. m.</t>
  </si>
  <si>
    <t xml:space="preserve">OpenFarma, Rural</t>
  </si>
  <si>
    <t xml:space="preserve">6:08 p. m.</t>
  </si>
  <si>
    <t xml:space="preserve">Dean &amp; Dennys - Palermo Pacifico</t>
  </si>
  <si>
    <t xml:space="preserve">5:22 p. m.</t>
  </si>
  <si>
    <t xml:space="preserve">Farmaplus, Wessen</t>
  </si>
  <si>
    <t xml:space="preserve">4:14 p. m.</t>
  </si>
  <si>
    <t xml:space="preserve">SF6 - McDonald's Avd. Santa Fe3684</t>
  </si>
  <si>
    <t xml:space="preserve">28/10/2025</t>
  </si>
  <si>
    <t xml:space="preserve">SF6 - McDonald's Avd. Santa Fe 3684</t>
  </si>
  <si>
    <t xml:space="preserve">7:30 p.m.</t>
  </si>
  <si>
    <t xml:space="preserve">Malvón - Serrano</t>
  </si>
  <si>
    <t xml:space="preserve">Koi Beer &amp; Dumplings -  Mercat</t>
  </si>
  <si>
    <t xml:space="preserve">6:45 p.m.</t>
  </si>
  <si>
    <t xml:space="preserve">5:48 p.m.</t>
  </si>
  <si>
    <t xml:space="preserve">La Union Gluten Free - Guemes</t>
  </si>
  <si>
    <t xml:space="preserve">Daniel Bakery</t>
  </si>
  <si>
    <t xml:space="preserve">5:27 p.m.</t>
  </si>
  <si>
    <t xml:space="preserve">Farmacity, Juncal y Austria (64)</t>
  </si>
  <si>
    <t xml:space="preserve">5:09 p.m.</t>
  </si>
  <si>
    <t xml:space="preserve">Maru Botana - Retiro</t>
  </si>
  <si>
    <t xml:space="preserve">4:49 p.m.</t>
  </si>
  <si>
    <t xml:space="preserve">FarmaPlus</t>
  </si>
  <si>
    <t xml:space="preserve">29/10/2025</t>
  </si>
  <si>
    <t xml:space="preserve">11:22 p.m.</t>
  </si>
  <si>
    <t xml:space="preserve">Tomasso - Av Corrientes</t>
  </si>
  <si>
    <t xml:space="preserve">Kentucky - Abasto</t>
  </si>
  <si>
    <t xml:space="preserve">Cremolatti - Rivadavia</t>
  </si>
  <si>
    <t xml:space="preserve">8:30 p.m.</t>
  </si>
  <si>
    <t xml:space="preserve">Coto Barrio Norte</t>
  </si>
  <si>
    <t xml:space="preserve">9:50 p.m.</t>
  </si>
  <si>
    <t xml:space="preserve">El Hornito Santiagueño - Av. Las Heras</t>
  </si>
  <si>
    <t xml:space="preserve">10:09 p.m.</t>
  </si>
  <si>
    <t xml:space="preserve">McDonald's SF3 int</t>
  </si>
  <si>
    <t xml:space="preserve">7:18 p.m.</t>
  </si>
  <si>
    <t xml:space="preserve">Coto 091 Abasto</t>
  </si>
  <si>
    <t xml:space="preserve">Mercato Picca</t>
  </si>
  <si>
    <t xml:space="preserve">12:57 p.m.</t>
  </si>
  <si>
    <t xml:space="preserve">Rappi Favor, Bs.As. CABA (villa crespo/chacarita)</t>
  </si>
  <si>
    <t xml:space="preserve">1:26 p.m.</t>
  </si>
  <si>
    <t xml:space="preserve">McDonald's - CNG int</t>
  </si>
  <si>
    <t xml:space="preserve">1:57 p.m.</t>
  </si>
  <si>
    <t xml:space="preserve">The Burger Company</t>
  </si>
  <si>
    <t xml:space="preserve">Dean &amp; Dennys - Palermo Soho</t>
  </si>
  <si>
    <t xml:space="preserve">7:58 p. m.</t>
  </si>
  <si>
    <t xml:space="preserve">Carrefour Recoleta (116)</t>
  </si>
  <si>
    <t xml:space="preserve">30/10/2025</t>
  </si>
  <si>
    <t xml:space="preserve">6:50 p. m.</t>
  </si>
  <si>
    <t xml:space="preserve">Disco, Quintana Recolata (18)</t>
  </si>
  <si>
    <t xml:space="preserve">5:44 p. m.</t>
  </si>
  <si>
    <t xml:space="preserve">Open 25 Marcelo T. de Alvear 1901 (158)</t>
  </si>
  <si>
    <t xml:space="preserve">5:24 p. m.</t>
  </si>
  <si>
    <t xml:space="preserve">Harper Juice Recoleta</t>
  </si>
  <si>
    <t xml:space="preserve">4:50 p. m.</t>
  </si>
  <si>
    <t xml:space="preserve">Panadería Las Esclavas</t>
  </si>
  <si>
    <t xml:space="preserve">Franco Parma - Vicente Lopez</t>
  </si>
  <si>
    <t xml:space="preserve">4:22 p. m.</t>
  </si>
  <si>
    <t xml:space="preserve">Rappi Favor, Bs.As. CABA (Microcentro)</t>
  </si>
  <si>
    <t xml:space="preserve">12:21 a. m.</t>
  </si>
  <si>
    <t xml:space="preserve">Paizza</t>
  </si>
  <si>
    <t xml:space="preserve">11:40 p. m.</t>
  </si>
  <si>
    <t xml:space="preserve">10/11/2025</t>
  </si>
  <si>
    <t xml:space="preserve">11:28 p. m.</t>
  </si>
  <si>
    <t xml:space="preserve">Angus Brother</t>
  </si>
  <si>
    <t xml:space="preserve">11:00 p. m.</t>
  </si>
  <si>
    <t xml:space="preserve">AJ Dulcinea</t>
  </si>
  <si>
    <t xml:space="preserve">10:23 p. m.</t>
  </si>
  <si>
    <t xml:space="preserve">SushiPop - Soler</t>
  </si>
  <si>
    <t xml:space="preserve">9:51 p. m.</t>
  </si>
  <si>
    <t xml:space="preserve">Pizza Data - Palermo</t>
  </si>
  <si>
    <t xml:space="preserve">9:16 p. m.</t>
  </si>
  <si>
    <t xml:space="preserve">Bulls BBQ Smoke House Palermo</t>
  </si>
  <si>
    <t xml:space="preserve">6:06 a. m.</t>
  </si>
  <si>
    <t xml:space="preserve">2:59 a. m.</t>
  </si>
  <si>
    <t xml:space="preserve">Turbo Palermo 1</t>
  </si>
  <si>
    <t xml:space="preserve">2:00 a. m.</t>
  </si>
  <si>
    <t xml:space="preserve">Freddo - Arenales</t>
  </si>
  <si>
    <t xml:space="preserve">1:41 a. m.</t>
  </si>
  <si>
    <t xml:space="preserve">12:35 a. m.</t>
  </si>
  <si>
    <t xml:space="preserve">12:19 a. m.</t>
  </si>
  <si>
    <t xml:space="preserve">2:37 p.m.</t>
  </si>
  <si>
    <t xml:space="preserve">Gooscell Store - Almagro Yapeyu</t>
  </si>
  <si>
    <t xml:space="preserve">11/11/2025</t>
  </si>
  <si>
    <t xml:space="preserve">1:43 p.m.</t>
  </si>
  <si>
    <t xml:space="preserve">Burger King - Caballito - Turbo</t>
  </si>
  <si>
    <t xml:space="preserve">1:23 p.m.</t>
  </si>
  <si>
    <t xml:space="preserve">Green Eat Turbo - Rivadavia</t>
  </si>
  <si>
    <t xml:space="preserve">1:05 p.m.</t>
  </si>
  <si>
    <t xml:space="preserve">Burger King - cabllito - Turbo</t>
  </si>
  <si>
    <t xml:space="preserve">12:38 p.m.</t>
  </si>
  <si>
    <t xml:space="preserve">Cümen Cumen - Caballito</t>
  </si>
  <si>
    <t xml:space="preserve">Panadería Venezolana Donna</t>
  </si>
  <si>
    <t xml:space="preserve">11:34 a.m.</t>
  </si>
  <si>
    <t xml:space="preserve">Mostaza Deli - Guemes</t>
  </si>
  <si>
    <t xml:space="preserve">10:30 a.m.</t>
  </si>
  <si>
    <t xml:space="preserve">Tomasso - Velazco</t>
  </si>
  <si>
    <t xml:space="preserve">10:12 a.m.</t>
  </si>
  <si>
    <t xml:space="preserve">Praliné - Gorriti</t>
  </si>
  <si>
    <t xml:space="preserve">9:32 a.m.</t>
  </si>
  <si>
    <t xml:space="preserve">McDonald's Desayunos - COL Int</t>
  </si>
  <si>
    <t xml:space="preserve">9:15 a.m.</t>
  </si>
  <si>
    <t xml:space="preserve">Warren Cafe</t>
  </si>
  <si>
    <t xml:space="preserve">8:49 a.m.</t>
  </si>
  <si>
    <t xml:space="preserve">Tienda de Café - Cañitas</t>
  </si>
  <si>
    <t xml:space="preserve">8:25 a.m.</t>
  </si>
  <si>
    <t xml:space="preserve">Starbucks Maure</t>
  </si>
  <si>
    <t xml:space="preserve">7:58 a.m.</t>
  </si>
  <si>
    <t xml:space="preserve">Las Medialunas del abuelo - Recoleta</t>
  </si>
  <si>
    <t xml:space="preserve">7:38 a.m.</t>
  </si>
  <si>
    <t xml:space="preserve">Turbo , Las Heras</t>
  </si>
  <si>
    <t xml:space="preserve">20:09</t>
  </si>
  <si>
    <t xml:space="preserve">12/11/2025</t>
  </si>
  <si>
    <t xml:space="preserve">21:23</t>
  </si>
  <si>
    <t xml:space="preserve">20:46</t>
  </si>
  <si>
    <t xml:space="preserve">20:12</t>
  </si>
  <si>
    <t xml:space="preserve">Res, Mario Bravo</t>
  </si>
  <si>
    <t xml:space="preserve">19:18</t>
  </si>
  <si>
    <t xml:space="preserve">18:09</t>
  </si>
  <si>
    <t xml:space="preserve">17:16</t>
  </si>
  <si>
    <t xml:space="preserve">16:21</t>
  </si>
  <si>
    <t xml:space="preserve">Puppis, Pueyrredon</t>
  </si>
  <si>
    <t xml:space="preserve">22:53</t>
  </si>
  <si>
    <t xml:space="preserve">Tomasso - Agüero 2</t>
  </si>
  <si>
    <t xml:space="preserve">13/11/2025</t>
  </si>
  <si>
    <t xml:space="preserve">22:34</t>
  </si>
  <si>
    <t xml:space="preserve">22:05</t>
  </si>
  <si>
    <t xml:space="preserve">Rapanui Turbo - Arenales</t>
  </si>
  <si>
    <t xml:space="preserve">21:47</t>
  </si>
  <si>
    <t xml:space="preserve">21:13</t>
  </si>
  <si>
    <t xml:space="preserve">20:50</t>
  </si>
  <si>
    <t xml:space="preserve">Páru Inkas Sushi Palermo</t>
  </si>
  <si>
    <t xml:space="preserve">20:29</t>
  </si>
  <si>
    <t xml:space="preserve">20:04</t>
  </si>
  <si>
    <t xml:space="preserve">Carrefour Express Anchoreña (317)</t>
  </si>
  <si>
    <t xml:space="preserve">15:56</t>
  </si>
  <si>
    <t xml:space="preserve">DIA Envío Rápido Almagro (528)</t>
  </si>
  <si>
    <t xml:space="preserve">14:48</t>
  </si>
  <si>
    <t xml:space="preserve">La Malbequería - Caballito - Turbo</t>
  </si>
  <si>
    <t xml:space="preserve">14:16</t>
  </si>
  <si>
    <t xml:space="preserve">Burger King - Caballito</t>
  </si>
  <si>
    <t xml:space="preserve">13:47</t>
  </si>
  <si>
    <t xml:space="preserve">McDonald's - AR4 Int</t>
  </si>
  <si>
    <t xml:space="preserve">13:11</t>
  </si>
  <si>
    <t xml:space="preserve">Lima Ba Turbo - Almagro</t>
  </si>
  <si>
    <t xml:space="preserve">12:52</t>
  </si>
  <si>
    <t xml:space="preserve">12:32</t>
  </si>
  <si>
    <t xml:space="preserve">Doña Lola Rotiseria Caballito - Turbo</t>
  </si>
  <si>
    <t xml:space="preserve">12:21</t>
  </si>
  <si>
    <t xml:space="preserve">McDonald's Turbo - AR4 Int</t>
  </si>
  <si>
    <t xml:space="preserve">11:31</t>
  </si>
  <si>
    <t xml:space="preserve">09:49</t>
  </si>
  <si>
    <t xml:space="preserve">09:21</t>
  </si>
  <si>
    <t xml:space="preserve">EGGS HÖNS</t>
  </si>
  <si>
    <t xml:space="preserve">08:37</t>
  </si>
  <si>
    <t xml:space="preserve">08:11</t>
  </si>
  <si>
    <t xml:space="preserve">7:26</t>
  </si>
  <si>
    <t xml:space="preserve">8:33</t>
  </si>
  <si>
    <t xml:space="preserve">Jumbo, Recoleta (121)</t>
  </si>
  <si>
    <t xml:space="preserve">8:52</t>
  </si>
  <si>
    <t xml:space="preserve">Starbucks Balvanera</t>
  </si>
  <si>
    <t xml:space="preserve">9:07</t>
  </si>
  <si>
    <t xml:space="preserve">McDonald's - AP1 int</t>
  </si>
  <si>
    <t xml:space="preserve">9:34</t>
  </si>
  <si>
    <t xml:space="preserve">9:41</t>
  </si>
  <si>
    <t xml:space="preserve">10:06</t>
  </si>
  <si>
    <t xml:space="preserve">10:47</t>
  </si>
  <si>
    <t xml:space="preserve">McDonald's Desayunos - SFC int</t>
  </si>
  <si>
    <t xml:space="preserve">11:53</t>
  </si>
  <si>
    <t xml:space="preserve">12:04</t>
  </si>
  <si>
    <t xml:space="preserve">McDonald's - LAR int</t>
  </si>
  <si>
    <t xml:space="preserve">12:35</t>
  </si>
  <si>
    <t xml:space="preserve">Franco Parma - Vicente López</t>
  </si>
  <si>
    <t xml:space="preserve">Sushipop - Barrio Norte</t>
  </si>
  <si>
    <t xml:space="preserve">13:08</t>
  </si>
  <si>
    <t xml:space="preserve">13:22</t>
  </si>
  <si>
    <t xml:space="preserve">McDonald's Turbo - FLA</t>
  </si>
  <si>
    <t xml:space="preserve">13:38</t>
  </si>
  <si>
    <t xml:space="preserve">Mostaza Florida</t>
  </si>
  <si>
    <t xml:space="preserve">21:00</t>
  </si>
  <si>
    <t xml:space="preserve">La Malbequería cocina porteña - Palermo</t>
  </si>
  <si>
    <t xml:space="preserve">21:16</t>
  </si>
  <si>
    <t xml:space="preserve">Gourmet de Shangai - Palermo</t>
  </si>
  <si>
    <t xml:space="preserve">22:32</t>
  </si>
  <si>
    <t xml:space="preserve">Aroha Cervecería</t>
  </si>
  <si>
    <t xml:space="preserve">Accademia Della Pizza - Villa Crespo</t>
  </si>
  <si>
    <t xml:space="preserve">11:00</t>
  </si>
  <si>
    <t xml:space="preserve">Borja Special</t>
  </si>
  <si>
    <t xml:space="preserve">19/11/2025</t>
  </si>
  <si>
    <t xml:space="preserve">11:10</t>
  </si>
  <si>
    <t xml:space="preserve">Cinna - Paraguay</t>
  </si>
  <si>
    <t xml:space="preserve">14:00</t>
  </si>
  <si>
    <t xml:space="preserve">14:21</t>
  </si>
  <si>
    <t xml:space="preserve">Rappi Favor Bs As CABA (Villa Crespo/Chacarita)</t>
  </si>
  <si>
    <t xml:space="preserve">14:58</t>
  </si>
  <si>
    <t xml:space="preserve">15:46</t>
  </si>
  <si>
    <t xml:space="preserve">Romario - Beruti</t>
  </si>
  <si>
    <t xml:space="preserve">21:51</t>
  </si>
  <si>
    <t xml:space="preserve">La Malbequería Cocina Porteña - Palermo</t>
  </si>
  <si>
    <t xml:space="preserve">22:07</t>
  </si>
  <si>
    <t xml:space="preserve">Let it Vegan</t>
  </si>
  <si>
    <t xml:space="preserve">22:28</t>
  </si>
  <si>
    <t xml:space="preserve">Ainara Helados Veganos</t>
  </si>
  <si>
    <t xml:space="preserve">23:21</t>
  </si>
  <si>
    <t xml:space="preserve">KOI Beer &amp; Dumplings - Lavalleja</t>
  </si>
  <si>
    <t xml:space="preserve">10:13</t>
  </si>
  <si>
    <t xml:space="preserve">9:49</t>
  </si>
  <si>
    <t xml:space="preserve">Churrería El Topo - Palermo</t>
  </si>
  <si>
    <t xml:space="preserve">9:10</t>
  </si>
  <si>
    <t xml:space="preserve">8:46</t>
  </si>
  <si>
    <t xml:space="preserve">6:58</t>
  </si>
  <si>
    <t xml:space="preserve">6:18</t>
  </si>
  <si>
    <t xml:space="preserve">04:50</t>
  </si>
  <si>
    <t xml:space="preserve">McCafé - CHE</t>
  </si>
  <si>
    <t xml:space="preserve">03:48</t>
  </si>
  <si>
    <t xml:space="preserve">Jevi, Corrientes 3501</t>
  </si>
  <si>
    <t xml:space="preserve">03:02</t>
  </si>
  <si>
    <t xml:space="preserve">01:54</t>
  </si>
  <si>
    <t xml:space="preserve">CHE - McDonald's Av. Córdoba 3831</t>
  </si>
  <si>
    <t xml:space="preserve">00:48</t>
  </si>
  <si>
    <t xml:space="preserve">00:06</t>
  </si>
  <si>
    <t xml:space="preserve">22:47</t>
  </si>
  <si>
    <t xml:space="preserve">25/11/2025</t>
  </si>
  <si>
    <t xml:space="preserve">John John Burgers - Mario Bravo</t>
  </si>
  <si>
    <t xml:space="preserve">21:41</t>
  </si>
  <si>
    <t xml:space="preserve">DIA Envío Rápido - Almagro</t>
  </si>
  <si>
    <t xml:space="preserve">21:20</t>
  </si>
  <si>
    <t xml:space="preserve">20:49</t>
  </si>
  <si>
    <t xml:space="preserve">20:34</t>
  </si>
  <si>
    <t xml:space="preserve">Peña La Morena</t>
  </si>
  <si>
    <t xml:space="preserve">20:02</t>
  </si>
  <si>
    <t xml:space="preserve">Turbo - Perón</t>
  </si>
  <si>
    <t xml:space="preserve">19:46</t>
  </si>
  <si>
    <t xml:space="preserve">Rappi Favor - Bs As CABA (Balvanera/Once)</t>
  </si>
  <si>
    <t xml:space="preserve">23:38</t>
  </si>
  <si>
    <t xml:space="preserve">28/11/2025</t>
  </si>
  <si>
    <t xml:space="preserve">22:56</t>
  </si>
  <si>
    <t xml:space="preserve">22:42</t>
  </si>
  <si>
    <t xml:space="preserve">22:23</t>
  </si>
  <si>
    <t xml:space="preserve">21:49</t>
  </si>
  <si>
    <t xml:space="preserve">Don Hernacios</t>
  </si>
  <si>
    <t xml:space="preserve">20:56</t>
  </si>
  <si>
    <t xml:space="preserve">20:14</t>
  </si>
  <si>
    <t xml:space="preserve">Pollos Trak - Arenales</t>
  </si>
  <si>
    <t xml:space="preserve">Pizza Alla Pala - Pueyrredón</t>
  </si>
  <si>
    <t xml:space="preserve">23:20</t>
  </si>
  <si>
    <t xml:space="preserve">La Guitarrita - Olivos</t>
  </si>
  <si>
    <t xml:space="preserve">29/11/2025</t>
  </si>
  <si>
    <t xml:space="preserve">23:02</t>
  </si>
  <si>
    <t xml:space="preserve">Shell, Olivos (56)</t>
  </si>
  <si>
    <t xml:space="preserve">22:43</t>
  </si>
  <si>
    <t xml:space="preserve">McDonald's - MAI int Turbo</t>
  </si>
  <si>
    <t xml:space="preserve">M&amp;M KIOSCO Av. Maipu 578</t>
  </si>
  <si>
    <t xml:space="preserve">22:10</t>
  </si>
  <si>
    <t xml:space="preserve">Fresh Market, DOT (1905)</t>
  </si>
  <si>
    <t xml:space="preserve">21:34</t>
  </si>
  <si>
    <t xml:space="preserve">Carrefour Express, Larralde (525)</t>
  </si>
  <si>
    <t xml:space="preserve">21:18</t>
  </si>
  <si>
    <t xml:space="preserve">Mostaza - Cabildo y Monroe</t>
  </si>
  <si>
    <t xml:space="preserve">Lo de Jesús - Belgrano</t>
  </si>
  <si>
    <t xml:space="preserve">20:28</t>
  </si>
  <si>
    <t xml:space="preserve">Jiro Sushi - Núñez - Turbo</t>
  </si>
  <si>
    <t xml:space="preserve">20:07</t>
  </si>
  <si>
    <t xml:space="preserve">Salimos Fuerte, Belgrano</t>
  </si>
  <si>
    <t xml:space="preserve">19:48</t>
  </si>
  <si>
    <t xml:space="preserve">19:28</t>
  </si>
  <si>
    <t xml:space="preserve">Kangoo Pet Food - Scalabrini Ortiz</t>
  </si>
  <si>
    <t xml:space="preserve">19:08</t>
  </si>
  <si>
    <t xml:space="preserve">Carrefour Express Almagro</t>
  </si>
  <si>
    <t xml:space="preserve">18:17</t>
  </si>
  <si>
    <t xml:space="preserve">05:29</t>
  </si>
  <si>
    <t xml:space="preserve">05:09</t>
  </si>
  <si>
    <t xml:space="preserve">04:42</t>
  </si>
  <si>
    <t xml:space="preserve">4:15 a. m.</t>
  </si>
  <si>
    <t xml:space="preserve">Open 25, J. Salguero 3077</t>
  </si>
  <si>
    <t xml:space="preserve">3:57 a. m.</t>
  </si>
  <si>
    <t xml:space="preserve">3:14 a. m.</t>
  </si>
  <si>
    <t xml:space="preserve">2:06 a. m.</t>
  </si>
  <si>
    <t xml:space="preserve">12:20 a. m.</t>
  </si>
  <si>
    <t xml:space="preserve">4:20 am</t>
  </si>
  <si>
    <t xml:space="preserve">30/11/2025</t>
  </si>
  <si>
    <t xml:space="preserve">3:37 am</t>
  </si>
  <si>
    <t xml:space="preserve">1:53 am</t>
  </si>
  <si>
    <t xml:space="preserve">OLI - McDonald's Olivos</t>
  </si>
  <si>
    <t xml:space="preserve">1:21 am</t>
  </si>
  <si>
    <t xml:space="preserve">Rapanui - Olivos</t>
  </si>
  <si>
    <t xml:space="preserve">12:52 am</t>
  </si>
  <si>
    <t xml:space="preserve">Turbo - Vicente Lopez</t>
  </si>
  <si>
    <t xml:space="preserve">12:34 am</t>
  </si>
  <si>
    <t xml:space="preserve">12:21 am</t>
  </si>
  <si>
    <t xml:space="preserve">12:03 am</t>
  </si>
  <si>
    <t xml:space="preserve">10:53 pm</t>
  </si>
  <si>
    <t xml:space="preserve">Asu Mare Barra Cevichera - Once</t>
  </si>
  <si>
    <t xml:space="preserve">03/12/2025</t>
  </si>
  <si>
    <t xml:space="preserve">11:39 pm</t>
  </si>
  <si>
    <t xml:space="preserve">11:52 pm</t>
  </si>
  <si>
    <t xml:space="preserve">5:51 a. m.</t>
  </si>
  <si>
    <t xml:space="preserve">The Best, Paraguay</t>
  </si>
  <si>
    <t xml:space="preserve">04/12/2025</t>
  </si>
  <si>
    <t xml:space="preserve">5:19 a. m.</t>
  </si>
  <si>
    <t xml:space="preserve">4:55 a. m.</t>
  </si>
  <si>
    <t xml:space="preserve">4:01 a. m.</t>
  </si>
  <si>
    <t xml:space="preserve">1:09 a. m.</t>
  </si>
  <si>
    <t xml:space="preserve">1:40 a. m.</t>
  </si>
  <si>
    <t xml:space="preserve">Postres McDonald's - SF3 int</t>
  </si>
  <si>
    <t xml:space="preserve">2:20 a. m.</t>
  </si>
  <si>
    <t xml:space="preserve">2:56 a. m.</t>
  </si>
  <si>
    <t xml:space="preserve">3:25 a. m.</t>
  </si>
  <si>
    <t xml:space="preserve">12:56 am</t>
  </si>
  <si>
    <t xml:space="preserve">SFC - McDonald's Santa Fe y Callao Av. Santa Fe 1780</t>
  </si>
  <si>
    <t xml:space="preserve">12:19 am</t>
  </si>
  <si>
    <t xml:space="preserve">7:45 am</t>
  </si>
  <si>
    <t xml:space="preserve">Las Medialunas del Abuelo Viamonte</t>
  </si>
  <si>
    <t xml:space="preserve">09/12/2025</t>
  </si>
  <si>
    <t xml:space="preserve">8:13 am</t>
  </si>
  <si>
    <t xml:space="preserve">Turbo, Perón</t>
  </si>
  <si>
    <t xml:space="preserve">8:36 am</t>
  </si>
  <si>
    <t xml:space="preserve">Farmacias Dr Ahorro, Recoleta</t>
  </si>
  <si>
    <t xml:space="preserve">8:55 am</t>
  </si>
  <si>
    <t xml:space="preserve">10:28 am</t>
  </si>
  <si>
    <t xml:space="preserve">11:00 am</t>
  </si>
  <si>
    <t xml:space="preserve">Mostaza Deli – Recoleta Mall</t>
  </si>
  <si>
    <t xml:space="preserve">23:43</t>
  </si>
  <si>
    <t xml:space="preserve">Lo de Jesús - Caballito Turbo</t>
  </si>
  <si>
    <t xml:space="preserve">12/12/2025</t>
  </si>
  <si>
    <t xml:space="preserve">23:07</t>
  </si>
  <si>
    <t xml:space="preserve">Helados Daniel - Av. Rivadavia - Turbo</t>
  </si>
  <si>
    <t xml:space="preserve">22:22</t>
  </si>
  <si>
    <t xml:space="preserve">22:03</t>
  </si>
  <si>
    <t xml:space="preserve">21:39</t>
  </si>
  <si>
    <t xml:space="preserve">Umi Sushi - Caballito - Turbo</t>
  </si>
  <si>
    <t xml:space="preserve">21:07</t>
  </si>
  <si>
    <t xml:space="preserve">Helados Daniel - Río de Janeiro - Turbo</t>
  </si>
  <si>
    <t xml:space="preserve">20:08</t>
  </si>
  <si>
    <t xml:space="preserve">Cremolatti - Rivadavia - Turbo</t>
  </si>
  <si>
    <t xml:space="preserve">19:14</t>
  </si>
  <si>
    <t xml:space="preserve">18:41</t>
  </si>
  <si>
    <t xml:space="preserve">18:27</t>
  </si>
  <si>
    <t xml:space="preserve">Kentucky Turbo - Otamendi</t>
  </si>
  <si>
    <t xml:space="preserve">14:24</t>
  </si>
  <si>
    <t xml:space="preserve">13:31</t>
  </si>
  <si>
    <t xml:space="preserve">13:07</t>
  </si>
  <si>
    <t xml:space="preserve">11:15</t>
  </si>
  <si>
    <t xml:space="preserve">Starbucks Pque Rivadavia</t>
  </si>
  <si>
    <t xml:space="preserve">12:45</t>
  </si>
  <si>
    <t xml:space="preserve">10:26</t>
  </si>
  <si>
    <t xml:space="preserve">10:02</t>
  </si>
  <si>
    <t xml:space="preserve">09:44</t>
  </si>
  <si>
    <t xml:space="preserve">21:54</t>
  </si>
  <si>
    <t xml:space="preserve">Perro Pancho</t>
  </si>
  <si>
    <t xml:space="preserve">13/12/2025</t>
  </si>
  <si>
    <t xml:space="preserve">19:16</t>
  </si>
  <si>
    <t xml:space="preserve">Monti Bar de Pastas</t>
  </si>
  <si>
    <t xml:space="preserve">18:55</t>
  </si>
  <si>
    <t xml:space="preserve">Lo de Jesús</t>
  </si>
  <si>
    <t xml:space="preserve">14:11</t>
  </si>
  <si>
    <t xml:space="preserve">Sedai Sushi Bowls</t>
  </si>
  <si>
    <t xml:space="preserve">13:58</t>
  </si>
  <si>
    <t xml:space="preserve">13:42</t>
  </si>
  <si>
    <t xml:space="preserve">13:23</t>
  </si>
  <si>
    <t xml:space="preserve">13:05</t>
  </si>
  <si>
    <t xml:space="preserve">Chemuzza - Premier</t>
  </si>
  <si>
    <t xml:space="preserve">12:55</t>
  </si>
  <si>
    <t xml:space="preserve">KFC Turbo - Obelisco</t>
  </si>
  <si>
    <t xml:space="preserve">12:43</t>
  </si>
  <si>
    <t xml:space="preserve">12:23</t>
  </si>
  <si>
    <t xml:space="preserve">AB2 - McDonald's Abasto Corrientes 3247 Automac</t>
  </si>
  <si>
    <t xml:space="preserve">McDonald's Abasto Corrientes 3247 Automac</t>
  </si>
  <si>
    <t xml:space="preserve">11:59</t>
  </si>
  <si>
    <t xml:space="preserve">Sheikob's Bagels</t>
  </si>
  <si>
    <t xml:space="preserve">11:28</t>
  </si>
  <si>
    <t xml:space="preserve">Labán Patisserie</t>
  </si>
  <si>
    <t xml:space="preserve">11:04</t>
  </si>
  <si>
    <t xml:space="preserve">SF6 - McDonald's Avda. Santa Fe 3684</t>
  </si>
  <si>
    <t xml:space="preserve">McDonald's Avda. Santa Fe 3684</t>
  </si>
  <si>
    <t xml:space="preserve">10:29</t>
  </si>
  <si>
    <t xml:space="preserve">Dulce Hora - Palermo II</t>
  </si>
  <si>
    <t xml:space="preserve">9:39</t>
  </si>
  <si>
    <t xml:space="preserve">Mostaza Pellegrini</t>
  </si>
  <si>
    <t xml:space="preserve">Babieca Cafeteria</t>
  </si>
  <si>
    <t xml:space="preserve">07:39</t>
  </si>
  <si>
    <t xml:space="preserve">McCafé - CYJ</t>
  </si>
  <si>
    <t xml:space="preserve">15/12/2025</t>
  </si>
  <si>
    <t xml:space="preserve">08:24</t>
  </si>
  <si>
    <t xml:space="preserve">La Mantequería Barrio Norte</t>
  </si>
  <si>
    <t xml:space="preserve">08:43</t>
  </si>
  <si>
    <t xml:space="preserve">Starbucks Castex</t>
  </si>
  <si>
    <t xml:space="preserve">09:50</t>
  </si>
  <si>
    <t xml:space="preserve">10:14</t>
  </si>
  <si>
    <t xml:space="preserve">Café Kajue</t>
  </si>
  <si>
    <t xml:space="preserve">10:49</t>
  </si>
  <si>
    <t xml:space="preserve">12:28 p. m.</t>
  </si>
  <si>
    <t xml:space="preserve">Churrería el Topo – Diagonal</t>
  </si>
  <si>
    <t xml:space="preserve">11:27 a. m.</t>
  </si>
  <si>
    <t xml:space="preserve">10:19 a. m.</t>
  </si>
  <si>
    <t xml:space="preserve">Pan de Queso Brasil – Almagro</t>
  </si>
  <si>
    <t xml:space="preserve">9:46 a. m.</t>
  </si>
  <si>
    <t xml:space="preserve">McDonald’s – MED</t>
  </si>
  <si>
    <t xml:space="preserve">9:36 a. m.</t>
  </si>
  <si>
    <t xml:space="preserve">9:05 a. m.</t>
  </si>
  <si>
    <t xml:space="preserve">Coto, Palermo (56)</t>
  </si>
  <si>
    <t xml:space="preserve">11:42 p. m.</t>
  </si>
  <si>
    <t xml:space="preserve">Wendy's - Distrito Arcos x 2</t>
  </si>
  <si>
    <t xml:space="preserve">11:03 p. m.</t>
  </si>
  <si>
    <t xml:space="preserve">10:06 p. m.</t>
  </si>
  <si>
    <t xml:space="preserve">Fat Broder</t>
  </si>
  <si>
    <t xml:space="preserve">9:37 p. m.</t>
  </si>
  <si>
    <t xml:space="preserve">9:17 p. m.</t>
  </si>
  <si>
    <t xml:space="preserve">Kfc Recoleta Mall</t>
  </si>
  <si>
    <t xml:space="preserve">Fabric Sushi Recoleta Mall</t>
  </si>
  <si>
    <t xml:space="preserve">18/12/2025</t>
  </si>
  <si>
    <t xml:space="preserve">8:48 p. m.</t>
  </si>
  <si>
    <t xml:space="preserve">Open 25, Av. Pueyrredon 1498 (32)</t>
  </si>
  <si>
    <t xml:space="preserve">8:33 p. m.</t>
  </si>
  <si>
    <t xml:space="preserve">Wendy's - Alto Palermo</t>
  </si>
  <si>
    <t xml:space="preserve">Wendy's - Alto Palermo x 2</t>
  </si>
  <si>
    <t xml:space="preserve">7:57 p. m.</t>
  </si>
  <si>
    <t xml:space="preserve">Rappi Favor, Bs As CABA (Palermo)</t>
  </si>
  <si>
    <t xml:space="preserve">7:22 p. m.</t>
  </si>
  <si>
    <t xml:space="preserve">6:15 p. m.</t>
  </si>
  <si>
    <t xml:space="preserve">5:47 p. m.</t>
  </si>
  <si>
    <t xml:space="preserve">Rappi Favor, Bs As CABA (Almagro/Boedo)</t>
  </si>
  <si>
    <t xml:space="preserve">11:16 pm</t>
  </si>
  <si>
    <t xml:space="preserve">Casa Sáenz - Botánico</t>
  </si>
  <si>
    <t xml:space="preserve">22/12/2025</t>
  </si>
  <si>
    <t xml:space="preserve">9:43 pm</t>
  </si>
  <si>
    <t xml:space="preserve">Rincón Norteño - Estado de Israel</t>
  </si>
  <si>
    <t xml:space="preserve">8:58 pm</t>
  </si>
  <si>
    <t xml:space="preserve">La Causa Nikkei - Scalabrini</t>
  </si>
  <si>
    <t xml:space="preserve">8:32 pm</t>
  </si>
  <si>
    <t xml:space="preserve">Lo de Jesús - Caballito</t>
  </si>
  <si>
    <t xml:space="preserve">Tierra de Nadie - Acoyte</t>
  </si>
  <si>
    <t xml:space="preserve">7:24 p. m.</t>
  </si>
  <si>
    <t xml:space="preserve">DIA Envío Rápido, Falcon</t>
  </si>
  <si>
    <t xml:space="preserve">6:40 p. m.</t>
  </si>
  <si>
    <t xml:space="preserve">DIA Envío Rápido, Boedo</t>
  </si>
  <si>
    <t xml:space="preserve">5:59 p. m.</t>
  </si>
  <si>
    <t xml:space="preserve">McDonalds Desayunos - AR4 int</t>
  </si>
  <si>
    <t xml:space="preserve">5:42 p. m.</t>
  </si>
  <si>
    <t xml:space="preserve">11:36 p. m.</t>
  </si>
  <si>
    <t xml:space="preserve">23/12/2025</t>
  </si>
  <si>
    <t xml:space="preserve">11:05 p. m.</t>
  </si>
  <si>
    <t xml:space="preserve">10:55 p. m.</t>
  </si>
  <si>
    <t xml:space="preserve">El Maiten Empanadas</t>
  </si>
  <si>
    <t xml:space="preserve">10:30 p. m.</t>
  </si>
  <si>
    <t xml:space="preserve">Burger King - Abasto</t>
  </si>
  <si>
    <t xml:space="preserve">SF6 - McDonald's Avda. Santa Fé 3684</t>
  </si>
  <si>
    <t xml:space="preserve">9:13 p. m.</t>
  </si>
  <si>
    <t xml:space="preserve">8:29 p. m.</t>
  </si>
  <si>
    <t xml:space="preserve">8:04 p. m.</t>
  </si>
  <si>
    <t xml:space="preserve">Coto, 103-Caballito Av. Gaona 1956</t>
  </si>
  <si>
    <t xml:space="preserve">7:27 p. m.</t>
  </si>
  <si>
    <t xml:space="preserve">Rapanui Turbo - Caballito</t>
  </si>
  <si>
    <t xml:space="preserve">7:08 p. m.</t>
  </si>
  <si>
    <t xml:space="preserve">Lo de Jesús - Caballito - Turbo</t>
  </si>
  <si>
    <t xml:space="preserve">6:29 p. m.</t>
  </si>
  <si>
    <t xml:space="preserve">McDonald's Turbo - AR5 Int</t>
  </si>
  <si>
    <t xml:space="preserve">6:05 p. m.</t>
  </si>
  <si>
    <t xml:space="preserve">2:41 pm</t>
  </si>
  <si>
    <t xml:space="preserve">DIA Envío Rápido, Juan Francisco Segui</t>
  </si>
  <si>
    <t xml:space="preserve">24/12/2025</t>
  </si>
  <si>
    <t xml:space="preserve">2:10 pm</t>
  </si>
  <si>
    <t xml:space="preserve">1:38 pm</t>
  </si>
  <si>
    <t xml:space="preserve">Burger King - P. Italia</t>
  </si>
  <si>
    <t xml:space="preserve">1:08 pm</t>
  </si>
  <si>
    <t xml:space="preserve">Helados Italia - Palermo</t>
  </si>
  <si>
    <t xml:space="preserve">Che Sushi - Soler</t>
  </si>
  <si>
    <t xml:space="preserve">11:49 AM</t>
  </si>
  <si>
    <t xml:space="preserve">McCafé - R10</t>
  </si>
  <si>
    <t xml:space="preserve">11:37 AM</t>
  </si>
  <si>
    <t xml:space="preserve">TaDa - SF Recoleta</t>
  </si>
  <si>
    <t xml:space="preserve">11:17 AM</t>
  </si>
  <si>
    <t xml:space="preserve">Carrefour Recoleta / Disco Uriburu</t>
  </si>
  <si>
    <t xml:space="preserve">Carrefour</t>
  </si>
  <si>
    <t xml:space="preserve">09:47 AM</t>
  </si>
  <si>
    <t xml:space="preserve">Rapanui Retiro</t>
  </si>
  <si>
    <t xml:space="preserve">07:12 AM</t>
  </si>
  <si>
    <t xml:space="preserve">05:46 AM</t>
  </si>
  <si>
    <t xml:space="preserve">5:06 am</t>
  </si>
  <si>
    <t xml:space="preserve">4:26 am</t>
  </si>
  <si>
    <t xml:space="preserve">3:26 am</t>
  </si>
  <si>
    <t xml:space="preserve">Turbo - Centenera</t>
  </si>
  <si>
    <t xml:space="preserve">3:05 am</t>
  </si>
  <si>
    <t xml:space="preserve">2:46 am</t>
  </si>
  <si>
    <t xml:space="preserve">2:25 am</t>
  </si>
  <si>
    <t xml:space="preserve">1:50 am</t>
  </si>
  <si>
    <t xml:space="preserve">11:32 p. m.</t>
  </si>
  <si>
    <t xml:space="preserve">25/12/2025</t>
  </si>
  <si>
    <t xml:space="preserve">11:14 p. m.</t>
  </si>
  <si>
    <t xml:space="preserve">10:20 p. m.</t>
  </si>
  <si>
    <t xml:space="preserve">El Hornito Santiagueño Av. Las Heras</t>
  </si>
  <si>
    <t xml:space="preserve">La Causa Nikkei- Cerviño</t>
  </si>
  <si>
    <t xml:space="preserve">9:48 p. m.</t>
  </si>
  <si>
    <t xml:space="preserve">9:13 pm</t>
  </si>
  <si>
    <t xml:space="preserve">7:56 pm</t>
  </si>
  <si>
    <t xml:space="preserve">6:52 pm</t>
  </si>
  <si>
    <t xml:space="preserve">5:57 pm</t>
  </si>
  <si>
    <t xml:space="preserve">Il Quotidiano - Alto Palermo</t>
  </si>
  <si>
    <t xml:space="preserve">4:55 pm</t>
  </si>
  <si>
    <t xml:space="preserve">4:14 pm</t>
  </si>
  <si>
    <t xml:space="preserve">Asu Yopo</t>
  </si>
  <si>
    <t xml:space="preserve">2:19 pm</t>
  </si>
  <si>
    <t xml:space="preserve">2:36 pm</t>
  </si>
  <si>
    <t xml:space="preserve">Brozziano - Av. Santa Fe</t>
  </si>
  <si>
    <t xml:space="preserve">3:04 pm</t>
  </si>
  <si>
    <t xml:space="preserve">Farmacity, Canning (73)</t>
  </si>
  <si>
    <t xml:space="preserve">3:22 pm</t>
  </si>
  <si>
    <t xml:space="preserve">11:24 pm</t>
  </si>
  <si>
    <t xml:space="preserve">Rappi Favor Bs As CABA (Palermo)</t>
  </si>
  <si>
    <t xml:space="preserve">27/12/2025</t>
  </si>
  <si>
    <t xml:space="preserve">11:05 pm</t>
  </si>
  <si>
    <t xml:space="preserve">10:16 pm</t>
  </si>
  <si>
    <t xml:space="preserve">Massey Familia - Cerviño</t>
  </si>
  <si>
    <t xml:space="preserve">10:03 pm</t>
  </si>
  <si>
    <t xml:space="preserve">Grido - Parque Las Heras 5215</t>
  </si>
  <si>
    <t xml:space="preserve">9:34 pm</t>
  </si>
  <si>
    <t xml:space="preserve">Pizza Yerman–Villa Crespo</t>
  </si>
  <si>
    <t xml:space="preserve">Los Muchachos de Punto y Banca</t>
  </si>
  <si>
    <t xml:space="preserve">9:06 pm</t>
  </si>
  <si>
    <t xml:space="preserve">CHE – McDonald's Av. Córdoba 3831</t>
  </si>
  <si>
    <t xml:space="preserve">7:47 pm</t>
  </si>
  <si>
    <t xml:space="preserve">DIA Envío Rápido, Caballito (90)</t>
  </si>
  <si>
    <t xml:space="preserve">Jumbo, Acoyte (5260)</t>
  </si>
  <si>
    <t xml:space="preserve">6:49 pm</t>
  </si>
  <si>
    <t xml:space="preserve">6:20 pm</t>
  </si>
  <si>
    <t xml:space="preserve">5:37 pm</t>
  </si>
  <si>
    <t xml:space="preserve">11:26 am</t>
  </si>
  <si>
    <t xml:space="preserve">Borja Specialty Coffee by Cande</t>
  </si>
  <si>
    <t xml:space="preserve">10:58 am</t>
  </si>
  <si>
    <t xml:space="preserve">Cobre Cafe Palermo</t>
  </si>
  <si>
    <t xml:space="preserve">10:33 am</t>
  </si>
  <si>
    <t xml:space="preserve">9:50 am</t>
  </si>
  <si>
    <t xml:space="preserve">La Mantequeria - Palermo</t>
  </si>
  <si>
    <t xml:space="preserve">9:12 am</t>
  </si>
  <si>
    <t xml:space="preserve">Panadería Venezolana Galipán</t>
  </si>
  <si>
    <t xml:space="preserve">10:31 pm</t>
  </si>
  <si>
    <t xml:space="preserve">10:11 pm</t>
  </si>
  <si>
    <t xml:space="preserve">Masago Sushi</t>
  </si>
  <si>
    <t xml:space="preserve">9:48 pm</t>
  </si>
  <si>
    <t xml:space="preserve">Bravo Pizza Romana</t>
  </si>
  <si>
    <t xml:space="preserve">9:08 pm</t>
  </si>
  <si>
    <t xml:space="preserve">Izakaya By Sushi Pop - Coronel Diaz</t>
  </si>
  <si>
    <t xml:space="preserve">Piccantino</t>
  </si>
  <si>
    <t xml:space="preserve">7:50 pm</t>
  </si>
  <si>
    <t xml:space="preserve">Disco, Uriburu Recoleta (35)</t>
  </si>
  <si>
    <t xml:space="preserve">12:51 pm</t>
  </si>
  <si>
    <t xml:space="preserve">11:18 am</t>
  </si>
  <si>
    <t xml:space="preserve">Vea, San Cristóbal (696)</t>
  </si>
  <si>
    <t xml:space="preserve">10:04 am</t>
  </si>
  <si>
    <t xml:space="preserve">La Mantequeria Barrio Norte</t>
  </si>
  <si>
    <t xml:space="preserve">9:39 am</t>
  </si>
  <si>
    <t xml:space="preserve">McCafé - AB2</t>
  </si>
  <si>
    <t xml:space="preserve">9:20 am</t>
  </si>
  <si>
    <t xml:space="preserve">Easy, Almagro (164)</t>
  </si>
  <si>
    <t xml:space="preserve">9:08 am</t>
  </si>
  <si>
    <t xml:space="preserve">9:29 pm</t>
  </si>
  <si>
    <t xml:space="preserve">Tienda de Empanadas - Ecuador</t>
  </si>
  <si>
    <t xml:space="preserve">9:16 pm</t>
  </si>
  <si>
    <t xml:space="preserve">Che Sushi - Coronel Diaz</t>
  </si>
  <si>
    <t xml:space="preserve">8:25 pm</t>
  </si>
  <si>
    <t xml:space="preserve">8:09 pm</t>
  </si>
  <si>
    <t xml:space="preserve">7:25 pm</t>
  </si>
  <si>
    <t xml:space="preserve">11:13 pm</t>
  </si>
  <si>
    <t xml:space="preserve">AR2 - McDonald's Av Rivadavia 5108</t>
  </si>
  <si>
    <t xml:space="preserve">9:59 pm</t>
  </si>
  <si>
    <t xml:space="preserve">Copados cafe</t>
  </si>
  <si>
    <t xml:space="preserve">9:42 pm</t>
  </si>
  <si>
    <t xml:space="preserve">The Flour Store</t>
  </si>
  <si>
    <t xml:space="preserve">5:13 am</t>
  </si>
  <si>
    <t xml:space="preserve">3:14 am</t>
  </si>
  <si>
    <t xml:space="preserve">2:28 am</t>
  </si>
  <si>
    <t xml:space="preserve">1:52 am</t>
  </si>
  <si>
    <t xml:space="preserve">1:08 am</t>
  </si>
  <si>
    <t xml:space="preserve">8:38 pm</t>
  </si>
  <si>
    <t xml:space="preserve">01/01/2026</t>
  </si>
  <si>
    <t xml:space="preserve">8:13 pm</t>
  </si>
  <si>
    <t xml:space="preserve">Tekeditos</t>
  </si>
  <si>
    <t xml:space="preserve">Cala Pizza - Recoleta</t>
  </si>
  <si>
    <t xml:space="preserve">7:35 pm</t>
  </si>
  <si>
    <t xml:space="preserve">Nicolo - Independencia</t>
  </si>
  <si>
    <t xml:space="preserve">5:47 pm</t>
  </si>
  <si>
    <t xml:space="preserve">Las Medialunas Del Abuelo - Bartolome Mitre</t>
  </si>
  <si>
    <t xml:space="preserve">5:23 pm</t>
  </si>
  <si>
    <t xml:space="preserve">Brozziano - Río</t>
  </si>
  <si>
    <t xml:space="preserve">5:05 pm</t>
  </si>
  <si>
    <t xml:space="preserve">4:42 pm</t>
  </si>
  <si>
    <t xml:space="preserve">McDonald's - AR4 int</t>
  </si>
  <si>
    <t xml:space="preserve">4:10 pm</t>
  </si>
  <si>
    <t xml:space="preserve">Enfrascados</t>
  </si>
  <si>
    <t xml:space="preserve">3:51 pm</t>
  </si>
  <si>
    <t xml:space="preserve">Nicolo - Gaona y Terrero</t>
  </si>
  <si>
    <t xml:space="preserve">3:36 pm</t>
  </si>
  <si>
    <t xml:space="preserve">Nicolo - Segurola</t>
  </si>
  <si>
    <t xml:space="preserve">3:05 pm</t>
  </si>
  <si>
    <t xml:space="preserve">SM1 - McDonald's Av. San Martín 2880</t>
  </si>
  <si>
    <t xml:space="preserve">McDonald's Av. San Martín 2880</t>
  </si>
  <si>
    <t xml:space="preserve">2:35 pm</t>
  </si>
  <si>
    <t xml:space="preserve">2:08 pm</t>
  </si>
  <si>
    <t xml:space="preserve">1:58 pm</t>
  </si>
  <si>
    <t xml:space="preserve">Il Trovatore Gelato</t>
  </si>
  <si>
    <t xml:space="preserve">1:40 pm</t>
  </si>
  <si>
    <t xml:space="preserve">Mostaza Acoyte</t>
  </si>
  <si>
    <t xml:space="preserve">1:16 pm</t>
  </si>
  <si>
    <t xml:space="preserve">Accademia Della Pizza Boedo</t>
  </si>
  <si>
    <t xml:space="preserve">12:27 pm</t>
  </si>
  <si>
    <t xml:space="preserve">Almagro Pet24hs</t>
  </si>
  <si>
    <t xml:space="preserve">12:03 pm</t>
  </si>
  <si>
    <t xml:space="preserve">La Gioconda</t>
  </si>
  <si>
    <t xml:space="preserve">11:49 a. m.</t>
  </si>
  <si>
    <t xml:space="preserve">La Argentina - Arenales</t>
  </si>
  <si>
    <t xml:space="preserve">11:08 a. m.</t>
  </si>
  <si>
    <t xml:space="preserve">21:31</t>
  </si>
  <si>
    <t xml:space="preserve">02/01/2026</t>
  </si>
  <si>
    <t xml:space="preserve">22:02</t>
  </si>
  <si>
    <t xml:space="preserve">22:58</t>
  </si>
  <si>
    <t xml:space="preserve">Grido - Palermo I</t>
  </si>
  <si>
    <t xml:space="preserve">Accademia della Pizza</t>
  </si>
  <si>
    <t xml:space="preserve">23:49</t>
  </si>
  <si>
    <t xml:space="preserve">Cremolatti - Aguero</t>
  </si>
  <si>
    <t xml:space="preserve">5:54 am</t>
  </si>
  <si>
    <t xml:space="preserve">03/01/2026</t>
  </si>
  <si>
    <t xml:space="preserve">5:35 am</t>
  </si>
  <si>
    <t xml:space="preserve">5:11 am</t>
  </si>
  <si>
    <t xml:space="preserve">3:54 am</t>
  </si>
  <si>
    <t xml:space="preserve">3:42 am</t>
  </si>
  <si>
    <t xml:space="preserve">3:18 am</t>
  </si>
  <si>
    <t xml:space="preserve">Sazon Market</t>
  </si>
  <si>
    <t xml:space="preserve">1:17 am</t>
  </si>
  <si>
    <t xml:space="preserve">12:47 am</t>
  </si>
  <si>
    <t xml:space="preserve">11:25 pm</t>
  </si>
  <si>
    <t xml:space="preserve">Los Maestros - Barrio Norte</t>
  </si>
  <si>
    <t xml:space="preserve">04/01/2026</t>
  </si>
  <si>
    <t xml:space="preserve">9:01 pm</t>
  </si>
  <si>
    <t xml:space="preserve">Nicolo - Honduras</t>
  </si>
  <si>
    <t xml:space="preserve">8:03 pm</t>
  </si>
  <si>
    <t xml:space="preserve">DIA Envío Rápido, San Cristóbal (912)</t>
  </si>
  <si>
    <t xml:space="preserve">7:06 pm</t>
  </si>
  <si>
    <t xml:space="preserve">Doa Bysuship</t>
  </si>
  <si>
    <t xml:space="preserve">11:29 pm</t>
  </si>
  <si>
    <t xml:space="preserve">05/01/2026</t>
  </si>
  <si>
    <t xml:space="preserve">11:01 pm</t>
  </si>
  <si>
    <t xml:space="preserve">10:39 pm</t>
  </si>
  <si>
    <t xml:space="preserve">KFC Recoleta Mall</t>
  </si>
  <si>
    <t xml:space="preserve">10:29 pm</t>
  </si>
  <si>
    <t xml:space="preserve">10:01 pm</t>
  </si>
  <si>
    <t xml:space="preserve">SF3 - McDonald's Av. Santa Fe 2468</t>
  </si>
  <si>
    <t xml:space="preserve">9:37 pm</t>
  </si>
  <si>
    <t xml:space="preserve">Jiro Sushi Veggie - Palermo</t>
  </si>
  <si>
    <t xml:space="preserve">9:22 pm</t>
  </si>
  <si>
    <t xml:space="preserve">Sushi Lives - Tucuman</t>
  </si>
  <si>
    <t xml:space="preserve">8:44 pm</t>
  </si>
  <si>
    <t xml:space="preserve">5:55 am</t>
  </si>
  <si>
    <t xml:space="preserve">5:41 am</t>
  </si>
  <si>
    <t xml:space="preserve">Open 25 - Av. Santa Fe 4596</t>
  </si>
  <si>
    <t xml:space="preserve">5:04 am</t>
  </si>
  <si>
    <t xml:space="preserve">Naguaráche Colegiales</t>
  </si>
  <si>
    <t xml:space="preserve">4:35 am</t>
  </si>
  <si>
    <t xml:space="preserve">2:51 am</t>
  </si>
  <si>
    <t xml:space="preserve">2:40 am</t>
  </si>
  <si>
    <t xml:space="preserve">1:39 am</t>
  </si>
  <si>
    <t xml:space="preserve">1:13 am</t>
  </si>
  <si>
    <t xml:space="preserve">12:07 pm</t>
  </si>
  <si>
    <t xml:space="preserve">Disco - Quintana Recoleta</t>
  </si>
  <si>
    <t xml:space="preserve">10:46 am</t>
  </si>
  <si>
    <t xml:space="preserve">Lemoulin de la Fleur - Talcahuano 888</t>
  </si>
  <si>
    <t xml:space="preserve">Cafeteria LuAn</t>
  </si>
  <si>
    <t xml:space="preserve">9:55 am</t>
  </si>
  <si>
    <t xml:space="preserve">Churrería el Topo - Diagonal</t>
  </si>
  <si>
    <t xml:space="preserve">9:00 am</t>
  </si>
  <si>
    <t xml:space="preserve">La Mantequeria - Recoleta</t>
  </si>
  <si>
    <t xml:space="preserve">8:39 am</t>
  </si>
  <si>
    <t xml:space="preserve">Martinelli Caffe</t>
  </si>
  <si>
    <t xml:space="preserve">7:57 am</t>
  </si>
  <si>
    <t xml:space="preserve">Postres McDonald's - CLH int</t>
  </si>
  <si>
    <t xml:space="preserve">7:07 am</t>
  </si>
  <si>
    <t xml:space="preserve">PuntoMix</t>
  </si>
  <si>
    <t xml:space="preserve">6:54 am</t>
  </si>
  <si>
    <t xml:space="preserve">08/01/2026</t>
  </si>
  <si>
    <t xml:space="preserve">10:45 pm</t>
  </si>
  <si>
    <t xml:space="preserve">Desarmadero</t>
  </si>
  <si>
    <t xml:space="preserve">10:06 pm</t>
  </si>
  <si>
    <t xml:space="preserve">Dean And Dennys - Abasto Shopping</t>
  </si>
  <si>
    <t xml:space="preserve">Cartago Comida Árabe</t>
  </si>
  <si>
    <t xml:space="preserve">9:04 pm</t>
  </si>
  <si>
    <t xml:space="preserve">Pizzería Yunta</t>
  </si>
  <si>
    <t xml:space="preserve">6:36 pm</t>
  </si>
  <si>
    <t xml:space="preserve">5:16 pm</t>
  </si>
  <si>
    <t xml:space="preserve">1:18 pm</t>
  </si>
  <si>
    <t xml:space="preserve">451176477</t>
  </si>
  <si>
    <t xml:space="preserve">12:42 pm</t>
  </si>
  <si>
    <t xml:space="preserve">11:33 am</t>
  </si>
  <si>
    <t xml:space="preserve">Brozziano - Peña</t>
  </si>
  <si>
    <t xml:space="preserve">11:22 am</t>
  </si>
  <si>
    <t xml:space="preserve">Bienmesabe</t>
  </si>
  <si>
    <t xml:space="preserve">11:03 am</t>
  </si>
  <si>
    <t xml:space="preserve">Turbo Market, Peron</t>
  </si>
  <si>
    <t xml:space="preserve">10:45 am</t>
  </si>
  <si>
    <t xml:space="preserve">Mostaza Deli - Abasto</t>
  </si>
  <si>
    <t xml:space="preserve">10:24 am</t>
  </si>
  <si>
    <t xml:space="preserve">8:44 am</t>
  </si>
  <si>
    <t xml:space="preserve">8:01 am</t>
  </si>
  <si>
    <t xml:space="preserve">7:43 am</t>
  </si>
  <si>
    <t xml:space="preserve">7:33 am</t>
  </si>
  <si>
    <t xml:space="preserve">5:00 am</t>
  </si>
  <si>
    <t xml:space="preserve">5:40 am</t>
  </si>
  <si>
    <t xml:space="preserve">6:59 am</t>
  </si>
  <si>
    <t xml:space="preserve">7:14 am</t>
  </si>
  <si>
    <t xml:space="preserve">Turbo Market, Perón</t>
  </si>
  <si>
    <t xml:space="preserve">2:03 am</t>
  </si>
  <si>
    <t xml:space="preserve">09/01/2026</t>
  </si>
  <si>
    <t xml:space="preserve">1:54 am</t>
  </si>
  <si>
    <t xml:space="preserve">1:01 am</t>
  </si>
  <si>
    <t xml:space="preserve">12:04 am</t>
  </si>
  <si>
    <t xml:space="preserve">Milanga &amp; Co - Av. Santa Fe</t>
  </si>
  <si>
    <t xml:space="preserve">DIA, Juan de Garay</t>
  </si>
  <si>
    <t xml:space="preserve">Jumbo, Recoleta</t>
  </si>
  <si>
    <t xml:space="preserve">10:45 a. m.</t>
  </si>
  <si>
    <t xml:space="preserve">10:24 a. m.</t>
  </si>
  <si>
    <t xml:space="preserve">8:01 a. m.</t>
  </si>
  <si>
    <t xml:space="preserve">7:43 a. m.</t>
  </si>
  <si>
    <t xml:space="preserve">7:33 a. m.</t>
  </si>
  <si>
    <t xml:space="preserve">7:14 a. m.</t>
  </si>
  <si>
    <t xml:space="preserve">6:59 a. m.</t>
  </si>
  <si>
    <t xml:space="preserve">5:40 a. m.</t>
  </si>
  <si>
    <t xml:space="preserve">5:00 a. m.</t>
  </si>
  <si>
    <t xml:space="preserve">6:20 p. m.</t>
  </si>
  <si>
    <t xml:space="preserve">1:22 p. m.</t>
  </si>
  <si>
    <t xml:space="preserve">12:31 p. m.</t>
  </si>
  <si>
    <t xml:space="preserve">12:00 p. m.</t>
  </si>
  <si>
    <t xml:space="preserve">11:33 a. m.</t>
  </si>
  <si>
    <t xml:space="preserve">FLA - McDonald's Florida 568</t>
  </si>
  <si>
    <t xml:space="preserve">10:10 p. m.</t>
  </si>
  <si>
    <t xml:space="preserve">Carrefour, Belgrano (386)</t>
  </si>
  <si>
    <t xml:space="preserve">9:07 p. m.</t>
  </si>
  <si>
    <t xml:space="preserve">Dean &amp; Dennys Turbo - Recoleta</t>
  </si>
  <si>
    <t xml:space="preserve">8:42 p. m.</t>
  </si>
  <si>
    <t xml:space="preserve">DIA Envío Rápido, Marcelo T de Alvear (301)</t>
  </si>
  <si>
    <t xml:space="preserve">11:12 a. m.</t>
  </si>
  <si>
    <t xml:space="preserve">Zonatec</t>
  </si>
  <si>
    <t xml:space="preserve">10:52 a. m.</t>
  </si>
  <si>
    <t xml:space="preserve">McCafé - FL2</t>
  </si>
  <si>
    <t xml:space="preserve">10:21 a. m.</t>
  </si>
  <si>
    <t xml:space="preserve">Farmacity, Av De Mayo (52)</t>
  </si>
  <si>
    <t xml:space="preserve">La Mantequeria - Microcentro</t>
  </si>
  <si>
    <t xml:space="preserve">9:17 a. m.</t>
  </si>
  <si>
    <t xml:space="preserve">McDonald s Desayunos - FLA</t>
  </si>
  <si>
    <t xml:space="preserve">9:00 a. m.</t>
  </si>
  <si>
    <t xml:space="preserve">Merci Recoleta</t>
  </si>
  <si>
    <t xml:space="preserve">8:36 a. m.</t>
  </si>
  <si>
    <t xml:space="preserve">McDonald s Desayunos - SFC int</t>
  </si>
  <si>
    <t xml:space="preserve">8:02 a. m.</t>
  </si>
  <si>
    <t xml:space="preserve">Tienda de Café - Córdoba</t>
  </si>
  <si>
    <t xml:space="preserve">Teque Pops</t>
  </si>
  <si>
    <t xml:space="preserve">10:49 p. m.</t>
  </si>
  <si>
    <t xml:space="preserve">Glumy</t>
  </si>
  <si>
    <t xml:space="preserve">10:32 p. m.</t>
  </si>
  <si>
    <t xml:space="preserve">Open 25, AV. MEDRANO 928 (295)</t>
  </si>
  <si>
    <t xml:space="preserve">10:08 p. m.</t>
  </si>
  <si>
    <t xml:space="preserve">Paraiso Deli</t>
  </si>
  <si>
    <t xml:space="preserve">9:45 p. m.</t>
  </si>
  <si>
    <t xml:space="preserve">9:14 p. m.</t>
  </si>
  <si>
    <t xml:space="preserve">8:32 p. m.</t>
  </si>
  <si>
    <t xml:space="preserve">Mcdonald's Turbo - CLH</t>
  </si>
  <si>
    <t xml:space="preserve">7:52 p. m.</t>
  </si>
  <si>
    <t xml:space="preserve">7:32 p. m.</t>
  </si>
  <si>
    <t xml:space="preserve">6:38 a. m.</t>
  </si>
  <si>
    <t xml:space="preserve">5:26 a. m.</t>
  </si>
  <si>
    <t xml:space="preserve">5:01 a. m.</t>
  </si>
  <si>
    <t xml:space="preserve">4:29 a. m.</t>
  </si>
  <si>
    <t xml:space="preserve">3:56 a. m.</t>
  </si>
  <si>
    <t xml:space="preserve">2:52 a. m.</t>
  </si>
  <si>
    <t xml:space="preserve">1:29 a. m.</t>
  </si>
  <si>
    <t xml:space="preserve">Kremowy - Balvanera li</t>
  </si>
  <si>
    <t xml:space="preserve">1:02 a. m.</t>
  </si>
  <si>
    <t xml:space="preserve">12:31 a. m.</t>
  </si>
  <si>
    <t xml:space="preserve">11:52 p. m.</t>
  </si>
  <si>
    <t xml:space="preserve">null</t>
  </si>
  <si>
    <t xml:space="preserve">11:10 p. m.</t>
  </si>
  <si>
    <t xml:space="preserve">10:40 p. m.</t>
  </si>
  <si>
    <t xml:space="preserve">MAD - McDonald's Av. Alicia Moreau de Justo 1190</t>
  </si>
  <si>
    <t xml:space="preserve">9:54 p. m.</t>
  </si>
  <si>
    <t xml:space="preserve">9:34 p. m.</t>
  </si>
  <si>
    <t xml:space="preserve">9:12 p. m.</t>
  </si>
  <si>
    <t xml:space="preserve">Pollos Trak - Uruguay</t>
  </si>
  <si>
    <t xml:space="preserve">8:53 p. m.</t>
  </si>
  <si>
    <t xml:space="preserve">Rob's Churros Recoleta</t>
  </si>
  <si>
    <t xml:space="preserve">8:34 p. m.</t>
  </si>
  <si>
    <t xml:space="preserve">Milanga City</t>
  </si>
  <si>
    <t xml:space="preserve">8:14 p. m.</t>
  </si>
  <si>
    <t xml:space="preserve">Asu Mare Varra Cevichera #67213</t>
  </si>
  <si>
    <t xml:space="preserve">2:44 p. m.</t>
  </si>
  <si>
    <t xml:space="preserve">Starbucks Uriburu</t>
  </si>
  <si>
    <t xml:space="preserve">1:49 p. m.</t>
  </si>
  <si>
    <t xml:space="preserve">Sushi Boom</t>
  </si>
  <si>
    <t xml:space="preserve">Morita Microcentro</t>
  </si>
  <si>
    <t xml:space="preserve">1:12 p. m.</t>
  </si>
  <si>
    <t xml:space="preserve">Disco, Quintana Recoleta</t>
  </si>
  <si>
    <t xml:space="preserve">12:27 p. m.</t>
  </si>
  <si>
    <t xml:space="preserve">MandaleFruta, Recoleta</t>
  </si>
  <si>
    <t xml:space="preserve">10:50 a. m.</t>
  </si>
  <si>
    <t xml:space="preserve">Costumbres Argentinas - Microcentro</t>
  </si>
  <si>
    <t xml:space="preserve">10:27 a. m.</t>
  </si>
  <si>
    <t xml:space="preserve">Import Coffee Company - Esmeralda</t>
  </si>
  <si>
    <t xml:space="preserve">10:08 a. m.</t>
  </si>
  <si>
    <t xml:space="preserve">9:51 a. m.</t>
  </si>
  <si>
    <t xml:space="preserve">9:37 a. m.</t>
  </si>
  <si>
    <t xml:space="preserve">7:57 a. m.</t>
  </si>
  <si>
    <t xml:space="preserve">Mostaza Av de Mayo</t>
  </si>
  <si>
    <t xml:space="preserve">11:48 p.m.</t>
  </si>
  <si>
    <t xml:space="preserve">Kremowy - Balvanera II</t>
  </si>
  <si>
    <t xml:space="preserve">12:28 a.m.</t>
  </si>
  <si>
    <t xml:space="preserve">Burger King - Cine</t>
  </si>
  <si>
    <t xml:space="preserve">12:10 a.m.</t>
  </si>
  <si>
    <t xml:space="preserve">Monti Bar de Pastas - Barrio Norte</t>
  </si>
  <si>
    <t xml:space="preserve">5:02 p.m.</t>
  </si>
  <si>
    <t xml:space="preserve">Green Eat Turbo - Pueyrredón</t>
  </si>
  <si>
    <t xml:space="preserve">Franco Parma - Palermo</t>
  </si>
  <si>
    <t xml:space="preserve">2:20 p.m.</t>
  </si>
  <si>
    <t xml:space="preserve">12:18 p. m.</t>
  </si>
  <si>
    <t xml:space="preserve">Sedai Sushi Bowls - palermo</t>
  </si>
  <si>
    <t xml:space="preserve">11:43 a. m.</t>
  </si>
  <si>
    <t xml:space="preserve">11:11 a. m.</t>
  </si>
  <si>
    <t xml:space="preserve">10:53 a. m.</t>
  </si>
  <si>
    <t xml:space="preserve">10:16 a. m.</t>
  </si>
  <si>
    <t xml:space="preserve">9:54 a.m.</t>
  </si>
  <si>
    <t xml:space="preserve">DIA Envío Rápido, Cerviño</t>
  </si>
  <si>
    <t xml:space="preserve">9:17 a.m.</t>
  </si>
  <si>
    <t xml:space="preserve">McCafé - CLH</t>
  </si>
  <si>
    <t xml:space="preserve">8:42 a.m.</t>
  </si>
  <si>
    <t xml:space="preserve">McDonald's Desayunos - CPY int</t>
  </si>
  <si>
    <t xml:space="preserve">8:23 a.m.</t>
  </si>
  <si>
    <t xml:space="preserve">8:06 a.m.</t>
  </si>
  <si>
    <t xml:space="preserve">7:11 a.m.</t>
  </si>
  <si>
    <t xml:space="preserve">6:40 a.m.</t>
  </si>
  <si>
    <t xml:space="preserve">McCafé - SF6</t>
  </si>
  <si>
    <t xml:space="preserve">6:05 a.m.</t>
  </si>
  <si>
    <t xml:space="preserve">4:25 a.m.</t>
  </si>
  <si>
    <t xml:space="preserve">2:48 a.m.</t>
  </si>
  <si>
    <t xml:space="preserve">Freddo- Palermo</t>
  </si>
  <si>
    <t xml:space="preserve">2:29 a.m.</t>
  </si>
  <si>
    <t xml:space="preserve">Búffala</t>
  </si>
  <si>
    <t xml:space="preserve">1:05 a.m.</t>
  </si>
  <si>
    <t xml:space="preserve">10:03 p.m.</t>
  </si>
  <si>
    <t xml:space="preserve">Lo de jesus Palermo</t>
  </si>
  <si>
    <t xml:space="preserve">Doña Lola Rotiseria - Palermo</t>
  </si>
  <si>
    <t xml:space="preserve">9:04 p.m.</t>
  </si>
  <si>
    <t xml:space="preserve">Farmacity, larrea</t>
  </si>
  <si>
    <t xml:space="preserve">Sultán Shawarma</t>
  </si>
  <si>
    <t xml:space="preserve">Tandoor</t>
  </si>
  <si>
    <t xml:space="preserve">7:03 p.m.</t>
  </si>
  <si>
    <t xml:space="preserve">6:27 p.m.</t>
  </si>
  <si>
    <t xml:space="preserve">6:04 p. m.</t>
  </si>
  <si>
    <t xml:space="preserve">Open 25, AV. PUYERREDON 1498 (32)</t>
  </si>
  <si>
    <t xml:space="preserve">5:08 p. m.</t>
  </si>
  <si>
    <t xml:space="preserve">La Spiga</t>
  </si>
  <si>
    <t xml:space="preserve">4:51 p. m.</t>
  </si>
  <si>
    <t xml:space="preserve">Las Medialunas Del Abuelo Viamonte</t>
  </si>
  <si>
    <t xml:space="preserve">The Food Truck Store _ Las Heras</t>
  </si>
  <si>
    <t xml:space="preserve">4:11 p. m.</t>
  </si>
  <si>
    <t xml:space="preserve">3:04 p. m.</t>
  </si>
  <si>
    <t xml:space="preserve">La payada cid campeador #57979</t>
  </si>
  <si>
    <t xml:space="preserve">2:50 p. m.</t>
  </si>
  <si>
    <t xml:space="preserve">2:14 p. m.</t>
  </si>
  <si>
    <t xml:space="preserve">Oi Tea Burger y Reposteria</t>
  </si>
  <si>
    <t xml:space="preserve">1:46 p. m.</t>
  </si>
  <si>
    <t xml:space="preserve">12:10 p. m.</t>
  </si>
  <si>
    <t xml:space="preserve">Lo de Jesús - Palermo</t>
  </si>
  <si>
    <t xml:space="preserve">Dietetica Tierra Madre</t>
  </si>
  <si>
    <t xml:space="preserve">11:13 a. m.</t>
  </si>
  <si>
    <t xml:space="preserve">510 - Market Almagro</t>
  </si>
  <si>
    <t xml:space="preserve">3:41 p. m.</t>
  </si>
  <si>
    <t xml:space="preserve">Easy, Almagro</t>
  </si>
  <si>
    <t xml:space="preserve">3:23 p. m.</t>
  </si>
  <si>
    <t xml:space="preserve">Tori Chipchi Abasto</t>
  </si>
  <si>
    <t xml:space="preserve">2:37 p. m.</t>
  </si>
  <si>
    <t xml:space="preserve">1:40 p. m.</t>
  </si>
  <si>
    <t xml:space="preserve">10:41 p. m.</t>
  </si>
  <si>
    <t xml:space="preserve">365, Av Corrientes 2800</t>
  </si>
  <si>
    <t xml:space="preserve">10:21 p. m.</t>
  </si>
  <si>
    <t xml:space="preserve">8:57 p. m.</t>
  </si>
  <si>
    <t xml:space="preserve">8:39 p. m.</t>
  </si>
  <si>
    <t xml:space="preserve">Monti Milas - Barrio Norte</t>
  </si>
  <si>
    <t xml:space="preserve">8:07 p. m.</t>
  </si>
  <si>
    <t xml:space="preserve">10:47 p. m.</t>
  </si>
  <si>
    <t xml:space="preserve">10:15 p. m.</t>
  </si>
  <si>
    <t xml:space="preserve">9:42 p. m.</t>
  </si>
  <si>
    <t xml:space="preserve">Kentucky - Propizio</t>
  </si>
  <si>
    <t xml:space="preserve">PIZZA DATA - Palermo</t>
  </si>
  <si>
    <t xml:space="preserve">8:17 p. m.</t>
  </si>
  <si>
    <t xml:space="preserve">3:19 p. m.</t>
  </si>
  <si>
    <t xml:space="preserve">Império da Coxinha Congresso Rodríguez Peña 33</t>
  </si>
  <si>
    <t xml:space="preserve">2:36 p. m.</t>
  </si>
  <si>
    <t xml:space="preserve">Incentivos</t>
  </si>
  <si>
    <t xml:space="preserve">2:12 p. m.</t>
  </si>
  <si>
    <t xml:space="preserve">La Leñita Azcuenaga</t>
  </si>
  <si>
    <t xml:space="preserve">1:47 p. m.</t>
  </si>
  <si>
    <t xml:space="preserve">Soylu Gluten Free</t>
  </si>
  <si>
    <t xml:space="preserve">12:44 p.m.</t>
  </si>
  <si>
    <t xml:space="preserve">Dean &amp; Dennys - Corrientes</t>
  </si>
  <si>
    <t xml:space="preserve">Shami Shawarma - Tribunales</t>
  </si>
  <si>
    <t xml:space="preserve">11:37 p. m.</t>
  </si>
  <si>
    <t xml:space="preserve">11:02 p. m.</t>
  </si>
  <si>
    <t xml:space="preserve">10:02 p. m.</t>
  </si>
  <si>
    <t xml:space="preserve">Babieca - Parrilla</t>
  </si>
  <si>
    <t xml:space="preserve">9:50 p. m.</t>
  </si>
  <si>
    <t xml:space="preserve">8:24 p. m.</t>
  </si>
  <si>
    <t xml:space="preserve">7:53 p. m.</t>
  </si>
  <si>
    <t xml:space="preserve">6:48 p. m.</t>
  </si>
  <si>
    <t xml:space="preserve">5:49 p. m.</t>
  </si>
  <si>
    <t xml:space="preserve">Farmacity, Salguero Y Libertador (334)</t>
  </si>
  <si>
    <t xml:space="preserve">Starbucks Castex - Turbo</t>
  </si>
  <si>
    <t xml:space="preserve">4:13 p. m.</t>
  </si>
  <si>
    <t xml:space="preserve">11:18 p.m.</t>
  </si>
  <si>
    <t xml:space="preserve">La Farola - Av. Córdoba</t>
  </si>
  <si>
    <t xml:space="preserve">9:47 p.m.</t>
  </si>
  <si>
    <t xml:space="preserve">9:22 p. m.</t>
  </si>
  <si>
    <t xml:space="preserve">8:36 p. m.</t>
  </si>
  <si>
    <t xml:space="preserve">7:20 p. m.</t>
  </si>
  <si>
    <t xml:space="preserve">Burger King Desayunos del Rey - Once</t>
  </si>
  <si>
    <t xml:space="preserve">6:49 p. m.</t>
  </si>
  <si>
    <t xml:space="preserve">6:02 p. m.</t>
  </si>
  <si>
    <t xml:space="preserve">Nicolo - Bocayuva</t>
  </si>
  <si>
    <t xml:space="preserve">5:51 p. m.</t>
  </si>
  <si>
    <t xml:space="preserve">BA Bakery - PERÓN</t>
  </si>
  <si>
    <t xml:space="preserve">5:31 p. m.</t>
  </si>
  <si>
    <t xml:space="preserve">4:29 p. m.</t>
  </si>
  <si>
    <t xml:space="preserve">São Medialunas y Café - Plaza Houssay</t>
  </si>
  <si>
    <t xml:space="preserve">4:09 p. m.</t>
  </si>
  <si>
    <t xml:space="preserve">Open 25, Av. Corrientes 2500 (353)</t>
  </si>
  <si>
    <t xml:space="preserve">Doña Lola Rotiseria - Barrio Norte</t>
  </si>
  <si>
    <t xml:space="preserve">1:21 p. m.</t>
  </si>
  <si>
    <t xml:space="preserve">Green &amp; Company - Abasto</t>
  </si>
  <si>
    <t xml:space="preserve">12:43 p. m.</t>
  </si>
  <si>
    <t xml:space="preserve">Kfc - Pueyrredón - Turbo</t>
  </si>
  <si>
    <t xml:space="preserve">11:59 a. m.</t>
  </si>
  <si>
    <t xml:space="preserve">11:34 a. m.</t>
  </si>
  <si>
    <t xml:space="preserve">Pigmento, Av Santa Fe 2211</t>
  </si>
  <si>
    <t xml:space="preserve">11:28 p.m.</t>
  </si>
  <si>
    <t xml:space="preserve">Pizza Alla Pala - Chacas</t>
  </si>
  <si>
    <t xml:space="preserve">Benaim</t>
  </si>
  <si>
    <t xml:space="preserve">10:05 p.m.</t>
  </si>
  <si>
    <t xml:space="preserve">Jiro Sushi - Palermo</t>
  </si>
  <si>
    <t xml:space="preserve">9:12 p.m.</t>
  </si>
  <si>
    <t xml:space="preserve">8:52 p.m.</t>
  </si>
  <si>
    <t xml:space="preserve">Romario - Arenales</t>
  </si>
  <si>
    <t xml:space="preserve">6:55 p. m.</t>
  </si>
  <si>
    <t xml:space="preserve">6:34 p. m.</t>
  </si>
  <si>
    <t xml:space="preserve">6:17 p. m.</t>
  </si>
  <si>
    <t xml:space="preserve">5:11 p. m.</t>
  </si>
  <si>
    <t xml:space="preserve">4:25 p. m.</t>
  </si>
  <si>
    <t xml:space="preserve">Rapanui - Retiro</t>
  </si>
  <si>
    <t xml:space="preserve">4:05 p.m.</t>
  </si>
  <si>
    <t xml:space="preserve">Jerry's Vegan Burgers - Recoleta</t>
  </si>
  <si>
    <t xml:space="preserve">3:35 p.m.</t>
  </si>
  <si>
    <t xml:space="preserve">Green &amp; Sea - Alto Palermo</t>
  </si>
  <si>
    <t xml:space="preserve">3:11 p.m.</t>
  </si>
  <si>
    <t xml:space="preserve">Milanga And Co Turbo - Av. Santa Fe</t>
  </si>
  <si>
    <t xml:space="preserve">2:51 p.m.</t>
  </si>
  <si>
    <t xml:space="preserve">DIA Envío Rápido, Juan Francisco Segui (402)</t>
  </si>
  <si>
    <t xml:space="preserve">12:02 a.m.</t>
  </si>
  <si>
    <t xml:space="preserve">12,06 a.m.</t>
  </si>
  <si>
    <t xml:space="preserve">Chicken Chill - Once</t>
  </si>
  <si>
    <t xml:space="preserve">7:09 p. m.</t>
  </si>
  <si>
    <t xml:space="preserve">Easy, Palermo (106)</t>
  </si>
  <si>
    <t xml:space="preserve">5:53 p. m.</t>
  </si>
  <si>
    <t xml:space="preserve">Sándwicheria NuestraMiga - Chacarita</t>
  </si>
  <si>
    <t xml:space="preserve">5:33 p. m.</t>
  </si>
  <si>
    <t xml:space="preserve">Ben Pet Shop Camargo</t>
  </si>
  <si>
    <t xml:space="preserve">5:01 p. m.</t>
  </si>
  <si>
    <t xml:space="preserve">Leocan, Palermo</t>
  </si>
  <si>
    <t xml:space="preserve">Saigón Palermo</t>
  </si>
  <si>
    <t xml:space="preserve">9:10 p. m.</t>
  </si>
  <si>
    <t xml:space="preserve">7:16 p. m.</t>
  </si>
  <si>
    <t xml:space="preserve">6:11 p.m.</t>
  </si>
  <si>
    <t xml:space="preserve">La Guitarrita - Palermo</t>
  </si>
  <si>
    <t xml:space="preserve">Tea Connection - Sinclair</t>
  </si>
  <si>
    <t xml:space="preserve">Andes Mercado - Almagro</t>
  </si>
  <si>
    <t xml:space="preserve">5:32 p. m.</t>
  </si>
  <si>
    <t xml:space="preserve">Acai Brasil - Abasto</t>
  </si>
  <si>
    <t xml:space="preserve">4:49 p. m.</t>
  </si>
  <si>
    <t xml:space="preserve">Jumbo, Almagro (5231)</t>
  </si>
  <si>
    <t xml:space="preserve">3:42 p. m.</t>
  </si>
  <si>
    <t xml:space="preserve">2:06 p. m.</t>
  </si>
  <si>
    <t xml:space="preserve">Monster Cookies Barrio Norte</t>
  </si>
  <si>
    <t xml:space="preserve">1:03 p. m.</t>
  </si>
  <si>
    <t xml:space="preserve">Carrefour, Scalabrini Ortiz</t>
  </si>
  <si>
    <t xml:space="preserve">12:34 p. m.</t>
  </si>
  <si>
    <t xml:space="preserve">Barra Enchilada</t>
  </si>
  <si>
    <t xml:space="preserve">11:58 a. m.</t>
  </si>
  <si>
    <t xml:space="preserve">.Green Boom</t>
  </si>
  <si>
    <t xml:space="preserve">10:56 p.m.</t>
  </si>
  <si>
    <t xml:space="preserve">10:29 p.m.</t>
  </si>
  <si>
    <t xml:space="preserve">Pizza Alla Pala - Medrano</t>
  </si>
  <si>
    <t xml:space="preserve">Wendy's - Abasto - Turbo</t>
  </si>
  <si>
    <t xml:space="preserve">Cremolatti - Aguero - Turbo</t>
  </si>
  <si>
    <t xml:space="preserve">7:39 p. m.</t>
  </si>
  <si>
    <t xml:space="preserve">6:18 p. m.</t>
  </si>
  <si>
    <t xml:space="preserve">Disco, Quintana Recoleta (18)</t>
  </si>
  <si>
    <t xml:space="preserve">5:26 p. m.</t>
  </si>
  <si>
    <t xml:space="preserve">Las Medialunas del Abuelo - Recoleta</t>
  </si>
  <si>
    <t xml:space="preserve">4:53 p. m.</t>
  </si>
  <si>
    <t xml:space="preserve">Carrefour Express, Araoz</t>
  </si>
  <si>
    <t xml:space="preserve">McDonald s Desayunos - AP1 int</t>
  </si>
  <si>
    <t xml:space="preserve">12:09 p. m.</t>
  </si>
  <si>
    <t xml:space="preserve">Gardenia Floreria Boutique - Palermo</t>
  </si>
  <si>
    <t xml:space="preserve">10:31 a. m.</t>
  </si>
  <si>
    <t xml:space="preserve">Atelier Fuerza - Palermo</t>
  </si>
  <si>
    <t xml:space="preserve">9:09 a.m.</t>
  </si>
  <si>
    <t xml:space="preserve">8:21 a.m.</t>
  </si>
  <si>
    <t xml:space="preserve">Mr Tasty - Almagro</t>
  </si>
  <si>
    <t xml:space="preserve">11:31 p. m.</t>
  </si>
  <si>
    <t xml:space="preserve">Solo Empanadas - Palermo</t>
  </si>
  <si>
    <t xml:space="preserve">10:48 p. m.</t>
  </si>
  <si>
    <t xml:space="preserve">Sushiunico Canitas</t>
  </si>
  <si>
    <t xml:space="preserve">10:24 p. m.</t>
  </si>
  <si>
    <t xml:space="preserve">Kentucky - Godoy Cruz</t>
  </si>
  <si>
    <t xml:space="preserve">9:49 p. m.</t>
  </si>
  <si>
    <t xml:space="preserve">Fabric Sushi Palermo Hollywood</t>
  </si>
  <si>
    <t xml:space="preserve">9:39 p. m.</t>
  </si>
  <si>
    <t xml:space="preserve">8:10 p. m.</t>
  </si>
  <si>
    <t xml:space="preserve">Rincón Norteño - Barrio Norte</t>
  </si>
  <si>
    <t xml:space="preserve">7:11 p. m.</t>
  </si>
  <si>
    <t xml:space="preserve">Rochino, Vidt</t>
  </si>
  <si>
    <t xml:space="preserve">6:57 p. m.</t>
  </si>
  <si>
    <t xml:space="preserve">6:43 p. m.</t>
  </si>
  <si>
    <t xml:space="preserve">6:07 p. m.</t>
  </si>
  <si>
    <t xml:space="preserve">5:46 p. m.</t>
  </si>
  <si>
    <t xml:space="preserve">5:25 p. m.</t>
  </si>
  <si>
    <t xml:space="preserve">5:06 p. m.</t>
  </si>
  <si>
    <t xml:space="preserve">4:50 p.m.</t>
  </si>
  <si>
    <t xml:space="preserve">12:03 p.m.</t>
  </si>
  <si>
    <t xml:space="preserve">Kopi - Gurruchaga</t>
  </si>
  <si>
    <t xml:space="preserve">Starbucks Villa Crespo</t>
  </si>
  <si>
    <t xml:space="preserve">11:28 a.m.</t>
  </si>
  <si>
    <t xml:space="preserve">Quiero Mas Pan</t>
  </si>
  <si>
    <t xml:space="preserve">11:10 a.m.</t>
  </si>
  <si>
    <t xml:space="preserve">Carrefour, Scalabrini II (277)</t>
  </si>
  <si>
    <t xml:space="preserve">10:06 a.m.</t>
  </si>
  <si>
    <t xml:space="preserve">Almagro Petshop24hs</t>
  </si>
  <si>
    <t xml:space="preserve">9:34 a.m.</t>
  </si>
  <si>
    <t xml:space="preserve">McDonald s Desayunos - EK2 int</t>
  </si>
  <si>
    <t xml:space="preserve">8:52 a.m.</t>
  </si>
  <si>
    <t xml:space="preserve">McDonald s - R10 int</t>
  </si>
  <si>
    <t xml:space="preserve">8:22 a.m.</t>
  </si>
  <si>
    <t xml:space="preserve">Doña Cocina Tipo Casa - Guardia Vieja</t>
  </si>
  <si>
    <t xml:space="preserve">455319266</t>
  </si>
  <si>
    <t xml:space="preserve">10:12 p.m.</t>
  </si>
  <si>
    <t xml:space="preserve">9:58 p.m.</t>
  </si>
  <si>
    <t xml:space="preserve">Solo empanadas parque centenario</t>
  </si>
  <si>
    <t xml:space="preserve">Teque gusta - Almagro</t>
  </si>
  <si>
    <t xml:space="preserve">455296221</t>
  </si>
  <si>
    <t xml:space="preserve">Accademia Della Pizza - Av. Sta Fe</t>
  </si>
  <si>
    <t xml:space="preserve">1810 Cocina Regional</t>
  </si>
  <si>
    <t xml:space="preserve">455285033</t>
  </si>
  <si>
    <t xml:space="preserve">455278019</t>
  </si>
  <si>
    <t xml:space="preserve">7:44 p. m.</t>
  </si>
  <si>
    <t xml:space="preserve">4:03 p. m.</t>
  </si>
  <si>
    <t xml:space="preserve">3:27 p. m.</t>
  </si>
  <si>
    <t xml:space="preserve">2:27 p. m.</t>
  </si>
  <si>
    <t xml:space="preserve">2:04 p. m.</t>
  </si>
  <si>
    <t xml:space="preserve">el Boliche de Nico PALERMO</t>
  </si>
  <si>
    <t xml:space="preserve">455238033</t>
  </si>
  <si>
    <t xml:space="preserve">Diletto - Peron</t>
  </si>
  <si>
    <t xml:space="preserve">1:06 p. m.</t>
  </si>
  <si>
    <t xml:space="preserve">12:23 p. m.</t>
  </si>
  <si>
    <t xml:space="preserve">La Payada - Salguero</t>
  </si>
  <si>
    <t xml:space="preserve">Grido Caballito VII</t>
  </si>
  <si>
    <t xml:space="preserve">8:18 p.m.</t>
  </si>
  <si>
    <t xml:space="preserve">Pierino Pastelería</t>
  </si>
  <si>
    <t xml:space="preserve">Crecía Bollería Juncal 2179</t>
  </si>
  <si>
    <t xml:space="preserve">6:31 p. m.</t>
  </si>
  <si>
    <t xml:space="preserve">Josinerías</t>
  </si>
  <si>
    <t xml:space="preserve">5:48 p. m.</t>
  </si>
  <si>
    <t xml:space="preserve">2:20 p. m.</t>
  </si>
  <si>
    <t xml:space="preserve">Tienda de Empanadas - Palermo</t>
  </si>
  <si>
    <t xml:space="preserve">Nicolo - Moreno</t>
  </si>
  <si>
    <t xml:space="preserve">1:45 p. m.</t>
  </si>
  <si>
    <t xml:space="preserve">Starbucks Congreso</t>
  </si>
  <si>
    <t xml:space="preserve">12:48 p. m.</t>
  </si>
  <si>
    <t xml:space="preserve">Ol' Days - Puerto Madero</t>
  </si>
  <si>
    <t xml:space="preserve">12:24 p. m.</t>
  </si>
  <si>
    <t xml:space="preserve">Confitería Pesce</t>
  </si>
  <si>
    <t xml:space="preserve">12:01 p. m.</t>
  </si>
  <si>
    <t xml:space="preserve">Green Eat Turbo - Florida</t>
  </si>
  <si>
    <t xml:space="preserve">Rincón Norteño - Paraguay</t>
  </si>
  <si>
    <t xml:space="preserve">Teque Pops Jean Jaures</t>
  </si>
  <si>
    <t xml:space="preserve">11:07 p.m.</t>
  </si>
  <si>
    <t xml:space="preserve">Kentucky Café - Obelisco</t>
  </si>
  <si>
    <t xml:space="preserve">MED - McDonald's Av. Corrientes 3966</t>
  </si>
  <si>
    <t xml:space="preserve">TEQUELUNA</t>
  </si>
  <si>
    <t xml:space="preserve">8:52 p. m.</t>
  </si>
  <si>
    <t xml:space="preserve">Rotiseria y Sandwicheria Taso 84</t>
  </si>
  <si>
    <t xml:space="preserve">8:31 p. m.</t>
  </si>
  <si>
    <t xml:space="preserve">Império da Coxinha - Congresso Rodríguez Peña 33</t>
  </si>
  <si>
    <t xml:space="preserve">Relicioso</t>
  </si>
  <si>
    <t xml:space="preserve">8:02 p. m.</t>
  </si>
  <si>
    <t xml:space="preserve">7:04 p. m.</t>
  </si>
  <si>
    <t xml:space="preserve">2:27 p.m.</t>
  </si>
  <si>
    <t xml:space="preserve">La Causa Nikkei - Callao</t>
  </si>
  <si>
    <t xml:space="preserve">1:41 p.m.</t>
  </si>
  <si>
    <t xml:space="preserve">Green &amp; Company - Galerías Pacífico</t>
  </si>
  <si>
    <t xml:space="preserve">1:14 p. m.</t>
  </si>
  <si>
    <t xml:space="preserve">12:38 p. m.</t>
  </si>
  <si>
    <t xml:space="preserve">11:15 a. m.</t>
  </si>
  <si>
    <t xml:space="preserve">10:00 a. m.</t>
  </si>
  <si>
    <t xml:space="preserve">11:54 p. m.</t>
  </si>
  <si>
    <t xml:space="preserve">Nicolo - Scalabrini</t>
  </si>
  <si>
    <t xml:space="preserve">11:15 p. m.</t>
  </si>
  <si>
    <t xml:space="preserve">El Colmo</t>
  </si>
  <si>
    <t xml:space="preserve">10:26 p. m.</t>
  </si>
  <si>
    <t xml:space="preserve">9:29 p. m.</t>
  </si>
  <si>
    <t xml:space="preserve">Schock Ba Cervino</t>
  </si>
  <si>
    <t xml:space="preserve">9:05 p. m.</t>
  </si>
  <si>
    <t xml:space="preserve">Mcdonald's Turbo - Sf2 Int</t>
  </si>
  <si>
    <t xml:space="preserve">8:45 p. m.</t>
  </si>
  <si>
    <t xml:space="preserve">Farmacity, lafinur (353)</t>
  </si>
  <si>
    <t xml:space="preserve">6:26 p. m.</t>
  </si>
  <si>
    <t xml:space="preserve">10:34 p. m.</t>
  </si>
  <si>
    <t xml:space="preserve">Volta - Recoleta</t>
  </si>
  <si>
    <t xml:space="preserve">10:18 p. m.</t>
  </si>
  <si>
    <t xml:space="preserve">9:26 p. m.</t>
  </si>
  <si>
    <t xml:space="preserve">BurgerTify - Recoleta</t>
  </si>
  <si>
    <t xml:space="preserve">Brioche Dorée - Portal Palermo</t>
  </si>
  <si>
    <t xml:space="preserve">Persicco - Salguero y Cabello</t>
  </si>
  <si>
    <t xml:space="preserve">4:59 p. m.</t>
  </si>
  <si>
    <t xml:space="preserve">Starbucks Cabello - Turbo</t>
  </si>
  <si>
    <t xml:space="preserve">4:24 p. m.</t>
  </si>
  <si>
    <t xml:space="preserve">3:25 p. m.</t>
  </si>
  <si>
    <t xml:space="preserve">2:56 p. m.</t>
  </si>
  <si>
    <t xml:space="preserve">2:43 p. m.</t>
  </si>
  <si>
    <t xml:space="preserve">Dean And Dennys - Barrio Norte - Turbo</t>
  </si>
  <si>
    <t xml:space="preserve">Avecor</t>
  </si>
  <si>
    <t xml:space="preserve">476824132</t>
  </si>
  <si>
    <t xml:space="preserve">4:06 a.m.</t>
  </si>
  <si>
    <t xml:space="preserve">La Despensa, Monserrat</t>
  </si>
  <si>
    <t xml:space="preserve">476823998</t>
  </si>
  <si>
    <t xml:space="preserve">3:35 a.m.</t>
  </si>
  <si>
    <t xml:space="preserve">Bajoncito Curioso</t>
  </si>
  <si>
    <t xml:space="preserve">476823775</t>
  </si>
  <si>
    <t xml:space="preserve">3:15 a.m.</t>
  </si>
  <si>
    <t xml:space="preserve">Mostaza Corrientes y 9 de julio</t>
  </si>
  <si>
    <t xml:space="preserve">476823660</t>
  </si>
  <si>
    <t xml:space="preserve">2:55 a.m.</t>
  </si>
  <si>
    <t xml:space="preserve">476823525</t>
  </si>
  <si>
    <t xml:space="preserve">2:33 a.m.</t>
  </si>
  <si>
    <t xml:space="preserve">476823249</t>
  </si>
  <si>
    <t xml:space="preserve">476822412</t>
  </si>
  <si>
    <t xml:space="preserve">2:01 a.m.</t>
  </si>
  <si>
    <t xml:space="preserve">476823015</t>
  </si>
  <si>
    <t xml:space="preserve">1:49 a.m.</t>
  </si>
  <si>
    <t xml:space="preserve">476822416</t>
  </si>
  <si>
    <t xml:space="preserve">476821765</t>
  </si>
  <si>
    <t xml:space="preserve">476819056</t>
  </si>
  <si>
    <t xml:space="preserve">477112088</t>
  </si>
  <si>
    <t xml:space="preserve">477110692</t>
  </si>
  <si>
    <t xml:space="preserve">477104266</t>
  </si>
  <si>
    <t xml:space="preserve">477104479</t>
  </si>
  <si>
    <t xml:space="preserve">9:26 p.m.</t>
  </si>
  <si>
    <t xml:space="preserve">477099915</t>
  </si>
  <si>
    <t xml:space="preserve">9:09 p.m.</t>
  </si>
  <si>
    <t xml:space="preserve">FullSer 24hs - Av. Santa Fe</t>
  </si>
  <si>
    <t xml:space="preserve">477094854</t>
  </si>
  <si>
    <t xml:space="preserve">477086986</t>
  </si>
  <si>
    <t xml:space="preserve">1:58 p. m.</t>
  </si>
  <si>
    <t xml:space="preserve">El Buen Sándwich - Villa Crespo</t>
  </si>
  <si>
    <t xml:space="preserve">477041024</t>
  </si>
  <si>
    <t xml:space="preserve">1:11 p. m.</t>
  </si>
  <si>
    <t xml:space="preserve">Lima Ensaladas - Almagro</t>
  </si>
  <si>
    <t xml:space="preserve">477038934</t>
  </si>
  <si>
    <t xml:space="preserve">12:37 p. m.</t>
  </si>
  <si>
    <t xml:space="preserve">477024947</t>
  </si>
  <si>
    <t xml:space="preserve">7:40 a. m.</t>
  </si>
  <si>
    <t xml:space="preserve">McDonald s Desayunos - AR5 int</t>
  </si>
  <si>
    <t xml:space="preserve">477024824</t>
  </si>
  <si>
    <t xml:space="preserve">7:25 a. m.</t>
  </si>
  <si>
    <t xml:space="preserve">6:24 a.m.</t>
  </si>
  <si>
    <t xml:space="preserve">Fullser Bulnes 24hs</t>
  </si>
  <si>
    <t xml:space="preserve">477024613</t>
  </si>
  <si>
    <t xml:space="preserve">6:06 a.m.</t>
  </si>
  <si>
    <t xml:space="preserve">477024559</t>
  </si>
  <si>
    <t xml:space="preserve">477024320</t>
  </si>
  <si>
    <t xml:space="preserve">477024314</t>
  </si>
  <si>
    <t xml:space="preserve">4:24 a.m.</t>
  </si>
  <si>
    <t xml:space="preserve">477024206</t>
  </si>
  <si>
    <t xml:space="preserve">10:28 a.m.</t>
  </si>
  <si>
    <t xml:space="preserve">Starbucks Paseo de la Infanta</t>
  </si>
  <si>
    <t xml:space="preserve">477539586</t>
  </si>
  <si>
    <t xml:space="preserve">Dos Escudos Confitería San Benito</t>
  </si>
  <si>
    <t xml:space="preserve">477539097</t>
  </si>
  <si>
    <t xml:space="preserve">477537671</t>
  </si>
  <si>
    <t xml:space="preserve">9:38 a.m.</t>
  </si>
  <si>
    <t xml:space="preserve">477537260</t>
  </si>
  <si>
    <t xml:space="preserve">9:12 a.m.</t>
  </si>
  <si>
    <t xml:space="preserve">477536816</t>
  </si>
  <si>
    <t xml:space="preserve">8:55 a.m.</t>
  </si>
  <si>
    <t xml:space="preserve">477536087</t>
  </si>
  <si>
    <t xml:space="preserve">8:26 a.m.</t>
  </si>
  <si>
    <t xml:space="preserve">477484863</t>
  </si>
  <si>
    <t xml:space="preserve">8:05 a.m.</t>
  </si>
  <si>
    <t xml:space="preserve">477535634</t>
  </si>
  <si>
    <t xml:space="preserve">477535638</t>
  </si>
  <si>
    <t xml:space="preserve">7:30 a.m.</t>
  </si>
  <si>
    <t xml:space="preserve">477535538</t>
  </si>
  <si>
    <t xml:space="preserve">Guapaletas - Abasto</t>
  </si>
  <si>
    <t xml:space="preserve">478596753</t>
  </si>
  <si>
    <t xml:space="preserve">478576684</t>
  </si>
  <si>
    <t xml:space="preserve">2:55 p. m.</t>
  </si>
  <si>
    <t xml:space="preserve">478574419</t>
  </si>
  <si>
    <t xml:space="preserve">478574590</t>
  </si>
  <si>
    <t xml:space="preserve">478572012</t>
  </si>
  <si>
    <t xml:space="preserve">11:35 a.m.</t>
  </si>
  <si>
    <t xml:space="preserve">Gourmet de Shangai - Turbo</t>
  </si>
  <si>
    <t xml:space="preserve">478566609</t>
  </si>
  <si>
    <t xml:space="preserve">Jumbo, Juan B Justo (5263)</t>
  </si>
  <si>
    <t xml:space="preserve">478559351</t>
  </si>
  <si>
    <t xml:space="preserve">7:40 a.m.</t>
  </si>
  <si>
    <t xml:space="preserve">Rappi Favor, Bs As CABA (Devoto/Villa del Parque)</t>
  </si>
  <si>
    <t xml:space="preserve">478570528</t>
  </si>
  <si>
    <t xml:space="preserve">4:28 a.m.</t>
  </si>
  <si>
    <t xml:space="preserve">Shanghai Express - Paternal</t>
  </si>
  <si>
    <t xml:space="preserve">478558002</t>
  </si>
  <si>
    <t xml:space="preserve">3:54 a.m.</t>
  </si>
  <si>
    <t xml:space="preserve">Coto, Paternal (2)</t>
  </si>
  <si>
    <t xml:space="preserve">478552478</t>
  </si>
  <si>
    <t xml:space="preserve">2:54 a.m.</t>
  </si>
  <si>
    <t xml:space="preserve">Mirana Burger Villa Crespo</t>
  </si>
  <si>
    <t xml:space="preserve">478553569</t>
  </si>
  <si>
    <t xml:space="preserve">2:09 p. m.</t>
  </si>
  <si>
    <t xml:space="preserve">478544192</t>
  </si>
  <si>
    <t xml:space="preserve">1:51 p. m.</t>
  </si>
  <si>
    <t xml:space="preserve">Rappi Favor, Bs As CABA (Balvanera/ Once)</t>
  </si>
  <si>
    <t xml:space="preserve">478550203</t>
  </si>
  <si>
    <t xml:space="preserve">1:26 p. m.</t>
  </si>
  <si>
    <t xml:space="preserve">47852065</t>
  </si>
  <si>
    <t xml:space="preserve">Postres McDonald's - AR5 int</t>
  </si>
  <si>
    <t xml:space="preserve">478543453</t>
  </si>
  <si>
    <t xml:space="preserve">478543488</t>
  </si>
  <si>
    <t xml:space="preserve">478543496</t>
  </si>
  <si>
    <t xml:space="preserve">478542974</t>
  </si>
  <si>
    <t xml:space="preserve">478542976</t>
  </si>
  <si>
    <t xml:space="preserve">11:44 p. m.</t>
  </si>
  <si>
    <t xml:space="preserve">The best, sarmiento</t>
  </si>
  <si>
    <t xml:space="preserve">482471917</t>
  </si>
  <si>
    <t xml:space="preserve">El Hornito Santiagueño - Villa Crespo</t>
  </si>
  <si>
    <t xml:space="preserve">482467504</t>
  </si>
  <si>
    <t xml:space="preserve">11:12 p. m.</t>
  </si>
  <si>
    <t xml:space="preserve">482463881</t>
  </si>
  <si>
    <t xml:space="preserve">10:54 p. m.</t>
  </si>
  <si>
    <t xml:space="preserve">Helados Daniel - Charcas</t>
  </si>
  <si>
    <t xml:space="preserve">482461354</t>
  </si>
  <si>
    <t xml:space="preserve">10:37 p. m.</t>
  </si>
  <si>
    <t xml:space="preserve">482447536</t>
  </si>
  <si>
    <t xml:space="preserve">Burritos Mexicanos</t>
  </si>
  <si>
    <t xml:space="preserve">482441450</t>
  </si>
  <si>
    <t xml:space="preserve">9:43 p. m.</t>
  </si>
  <si>
    <t xml:space="preserve">Kfc - Galerías Pacífico - Turbo</t>
  </si>
  <si>
    <t xml:space="preserve">482436000</t>
  </si>
  <si>
    <t xml:space="preserve">482422654</t>
  </si>
  <si>
    <t xml:space="preserve">482414310</t>
  </si>
  <si>
    <t xml:space="preserve">8:11 p. m.</t>
  </si>
  <si>
    <t xml:space="preserve">Kfc - Pueyrredón</t>
  </si>
  <si>
    <t xml:space="preserve">482407862</t>
  </si>
  <si>
    <t xml:space="preserve">7:48 p. m.</t>
  </si>
  <si>
    <t xml:space="preserve">482403811</t>
  </si>
  <si>
    <t xml:space="preserve">482401609</t>
  </si>
  <si>
    <t xml:space="preserve">482401056</t>
  </si>
  <si>
    <t xml:space="preserve">4:43 p. m.</t>
  </si>
  <si>
    <t xml:space="preserve">La Birra Bar - Colegiales</t>
  </si>
  <si>
    <t xml:space="preserve">482381974</t>
  </si>
  <si>
    <t xml:space="preserve">4:16 p. m.</t>
  </si>
  <si>
    <t xml:space="preserve">482378831</t>
  </si>
  <si>
    <t xml:space="preserve">3:49 p. m.</t>
  </si>
  <si>
    <t xml:space="preserve">Gluten Free Caba - Pringles 400</t>
  </si>
  <si>
    <t xml:space="preserve">482372039</t>
  </si>
  <si>
    <t xml:space="preserve">482372670</t>
  </si>
  <si>
    <t xml:space="preserve">el Desembarco - Recoleta</t>
  </si>
  <si>
    <t xml:space="preserve">483195862</t>
  </si>
  <si>
    <t xml:space="preserve">Mr Tasty - Recoleta</t>
  </si>
  <si>
    <t xml:space="preserve">483196507</t>
  </si>
  <si>
    <t xml:space="preserve">SI</t>
  </si>
  <si>
    <t xml:space="preserve">10:50 p. m.</t>
  </si>
  <si>
    <t xml:space="preserve">Wendy's - Abasto.</t>
  </si>
  <si>
    <t xml:space="preserve">483192993</t>
  </si>
  <si>
    <t xml:space="preserve">10:29 p. m.</t>
  </si>
  <si>
    <t xml:space="preserve">483185869</t>
  </si>
  <si>
    <t xml:space="preserve">483185890</t>
  </si>
  <si>
    <t xml:space="preserve">10:07 p. m.</t>
  </si>
  <si>
    <t xml:space="preserve">483169473</t>
  </si>
  <si>
    <t xml:space="preserve">Xalapa</t>
  </si>
  <si>
    <t xml:space="preserve">483170731</t>
  </si>
  <si>
    <t xml:space="preserve">9:20 p. m.</t>
  </si>
  <si>
    <t xml:space="preserve">483156884</t>
  </si>
  <si>
    <t xml:space="preserve">Sensu Abasto</t>
  </si>
  <si>
    <t xml:space="preserve">483153498</t>
  </si>
  <si>
    <t xml:space="preserve">AB2 - McDonald's</t>
  </si>
  <si>
    <t xml:space="preserve">483144087</t>
  </si>
  <si>
    <t xml:space="preserve">DIA Envío Rápido, Almagro (769)</t>
  </si>
  <si>
    <t xml:space="preserve">483145939</t>
  </si>
  <si>
    <t xml:space="preserve">Tienda natura , abasto</t>
  </si>
  <si>
    <t xml:space="preserve">483139517</t>
  </si>
  <si>
    <t xml:space="preserve">483110243</t>
  </si>
  <si>
    <t xml:space="preserve">1:54 p. m.</t>
  </si>
  <si>
    <t xml:space="preserve">483105850</t>
  </si>
  <si>
    <t xml:space="preserve">1:39 p. m.</t>
  </si>
  <si>
    <t xml:space="preserve">483102890</t>
  </si>
  <si>
    <t xml:space="preserve">12:55 p. m.</t>
  </si>
  <si>
    <t xml:space="preserve">Farmacity, Monroe Y Moldes (187)</t>
  </si>
  <si>
    <t xml:space="preserve">483095968</t>
  </si>
  <si>
    <t xml:space="preserve">12:40 p. m.</t>
  </si>
  <si>
    <t xml:space="preserve">Casero &amp; Natural - Lacroze (Empanadas Gourmet)</t>
  </si>
  <si>
    <t xml:space="preserve">483092659</t>
  </si>
  <si>
    <t xml:space="preserve">12:07 p. m.</t>
  </si>
  <si>
    <t xml:space="preserve">Alberdi Libertador</t>
  </si>
  <si>
    <t xml:space="preserve">483089952</t>
  </si>
  <si>
    <t xml:space="preserve">483086018</t>
  </si>
  <si>
    <t xml:space="preserve">Total_Ingresos</t>
  </si>
  <si>
    <t xml:space="preserve">Cant_Pedidos</t>
  </si>
  <si>
    <t xml:space="preserve">DOBLETE</t>
  </si>
  <si>
    <t xml:space="preserve">Cantidad total Pedidios</t>
  </si>
  <si>
    <t xml:space="preserve">Ticket_Promedio(No tiene en cuenta doblete)</t>
  </si>
  <si>
    <t xml:space="preserve">Seg Horario   1</t>
  </si>
  <si>
    <t xml:space="preserve">Seg Horario   2</t>
  </si>
  <si>
    <t xml:space="preserve">Seg Horario   3</t>
  </si>
  <si>
    <t xml:space="preserve">Seg Horario   4</t>
  </si>
  <si>
    <t xml:space="preserve">Seg Horario   5</t>
  </si>
  <si>
    <t xml:space="preserve">Seg Horario   6</t>
  </si>
  <si>
    <t xml:space="preserve">Seg Horario   7</t>
  </si>
  <si>
    <t xml:space="preserve">Seg Horario   8</t>
  </si>
  <si>
    <t xml:space="preserve">Seg Horario   9</t>
  </si>
  <si>
    <t xml:space="preserve">Seg Horario   10</t>
  </si>
  <si>
    <t xml:space="preserve">Seg Horario   11</t>
  </si>
  <si>
    <t xml:space="preserve">Seg Horario   12</t>
  </si>
  <si>
    <t xml:space="preserve">Viernes</t>
  </si>
  <si>
    <t xml:space="preserve">Lunes</t>
  </si>
  <si>
    <t xml:space="preserve">Martes</t>
  </si>
  <si>
    <t xml:space="preserve">Miercoles</t>
  </si>
  <si>
    <t xml:space="preserve">Sabado</t>
  </si>
  <si>
    <t xml:space="preserve">Domingo</t>
  </si>
  <si>
    <t xml:space="preserve">Jueves</t>
  </si>
  <si>
    <t xml:space="preserve">12//09/2025</t>
  </si>
  <si>
    <t xml:space="preserve">Métrica</t>
  </si>
  <si>
    <t xml:space="preserve">Valor</t>
  </si>
  <si>
    <t xml:space="preserve">Total Ingresos</t>
  </si>
  <si>
    <t xml:space="preserve">Cantidad Pedidos</t>
  </si>
  <si>
    <t xml:space="preserve">Ticket Promedio</t>
  </si>
  <si>
    <t xml:space="preserve">mes </t>
  </si>
  <si>
    <t xml:space="preserve">ingresos</t>
  </si>
  <si>
    <t xml:space="preserve">Dias Registrados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</si>
  <si>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</si>
  <si>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</si>
  <si>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</si>
  <si>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</si>
  <si>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</si>
  <si>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</si>
  <si>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</si>
  <si>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</si>
  <si>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</si>
  <si>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</si>
  <si>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</si>
  <si>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</si>
  <si>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Hora_24h</t>
  </si>
  <si>
    <t xml:space="preserve">20 Agosto</t>
  </si>
  <si>
    <t xml:space="preserve">16:54</t>
  </si>
  <si>
    <t xml:space="preserve">17:20</t>
  </si>
  <si>
    <t xml:space="preserve">17:50</t>
  </si>
  <si>
    <t xml:space="preserve">18:11</t>
  </si>
  <si>
    <t xml:space="preserve">18:33</t>
  </si>
  <si>
    <t xml:space="preserve">18:47</t>
  </si>
  <si>
    <t xml:space="preserve">19:23</t>
  </si>
  <si>
    <t xml:space="preserve">19:37</t>
  </si>
  <si>
    <t xml:space="preserve">20:18</t>
  </si>
  <si>
    <t xml:space="preserve">20:27</t>
  </si>
  <si>
    <t xml:space="preserve">20:58</t>
  </si>
  <si>
    <t xml:space="preserve">22:36</t>
  </si>
  <si>
    <t xml:space="preserve">21 Agosto</t>
  </si>
  <si>
    <t xml:space="preserve">00:56</t>
  </si>
  <si>
    <t xml:space="preserve">01:11</t>
  </si>
  <si>
    <t xml:space="preserve">01:21</t>
  </si>
  <si>
    <t xml:space="preserve">01:37</t>
  </si>
  <si>
    <t xml:space="preserve">01:53</t>
  </si>
  <si>
    <t xml:space="preserve">05:49</t>
  </si>
  <si>
    <t xml:space="preserve">06:39</t>
  </si>
  <si>
    <t xml:space="preserve">06:51</t>
  </si>
  <si>
    <t xml:space="preserve">07:05</t>
  </si>
  <si>
    <t xml:space="preserve">08:10</t>
  </si>
  <si>
    <t xml:space="preserve">08:29</t>
  </si>
  <si>
    <t xml:space="preserve">09:02</t>
  </si>
  <si>
    <t xml:space="preserve">09:31</t>
  </si>
  <si>
    <t xml:space="preserve">13:48</t>
  </si>
  <si>
    <t xml:space="preserve">14:26</t>
  </si>
  <si>
    <t xml:space="preserve">15:02</t>
  </si>
  <si>
    <t xml:space="preserve">15:36</t>
  </si>
  <si>
    <t xml:space="preserve">16:10</t>
  </si>
  <si>
    <t xml:space="preserve">16:36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</si>
</sst>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dd/mm/yyyy;@"/>
    <numFmt numFmtId="168" formatCode="General"/>
    <numFmt numFmtId="169" formatCode="hh:mm:ss;@"/>
    <numFmt numFmtId="170" formatCode="[$-2C0A]hh:mm:ss\ AM/PM;@"/>
    <numFmt numFmtId="171" formatCode="hh:mm\ AM/PM"/>
    <numFmt numFmtId="172" formatCode="hh:mm"/>
    <numFmt numFmtId="173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/>
        <bgColor rgb="FF339966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2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BACC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60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1430" activePane="bottomLeft" state="frozen"/>
      <selection pane="topLeft" activeCell="K1" activeCellId="0" sqref="K1"/>
      <selection pane="bottomLeft" activeCell="T1449" activeCellId="0" sqref="T1449:T1452"/>
    </sheetView>
  </sheetViews>
  <sheetFormatPr defaultColWidth="8.88671875" defaultRowHeight="14.25" zeroHeight="false" outlineLevelRow="0" outlineLevelCol="0"/>
  <cols>
    <col collapsed="false" customWidth="true" hidden="false" outlineLevel="0" max="2" min="2" style="1" width="11.44"/>
    <col collapsed="false" customWidth="true" hidden="false" outlineLevel="0" max="3" min="3" style="1" width="21.88"/>
    <col collapsed="false" customWidth="true" hidden="false" outlineLevel="0" max="4" min="4" style="1" width="47.88"/>
    <col collapsed="false" customWidth="true" hidden="false" outlineLevel="0" max="5" min="5" style="2" width="21.88"/>
    <col collapsed="false" customWidth="true" hidden="false" outlineLevel="0" max="6" min="6" style="1" width="40.67"/>
    <col collapsed="false" customWidth="true" hidden="false" outlineLevel="0" max="7" min="7" style="1" width="16.44"/>
    <col collapsed="false" customWidth="true" hidden="false" outlineLevel="0" max="8" min="8" style="3" width="17.11"/>
    <col collapsed="false" customWidth="true" hidden="false" outlineLevel="0" max="11" min="9" style="1" width="17.11"/>
    <col collapsed="false" customWidth="true" hidden="false" outlineLevel="0" max="12" min="12" style="4" width="17.11"/>
    <col collapsed="false" customWidth="true" hidden="false" outlineLevel="0" max="13" min="13" style="5" width="12.44"/>
    <col collapsed="false" customWidth="true" hidden="false" outlineLevel="0" max="15" min="14" style="1" width="12.44"/>
    <col collapsed="false" customWidth="true" hidden="false" outlineLevel="0" max="16" min="16" style="6" width="12.44"/>
    <col collapsed="false" customWidth="true" hidden="false" outlineLevel="0" max="17" min="17" style="1" width="12.44"/>
    <col collapsed="false" customWidth="true" hidden="false" outlineLevel="0" max="18" min="18" style="1" width="33.67"/>
  </cols>
  <sheetData>
    <row r="1" s="13" customFormat="true" ht="55.2" hidden="false" customHeight="false" outlineLevel="0" collapsed="false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4</v>
      </c>
      <c r="H1" s="10" t="s">
        <v>6</v>
      </c>
      <c r="I1" s="8" t="s">
        <v>7</v>
      </c>
      <c r="J1" s="7" t="s">
        <v>8</v>
      </c>
      <c r="K1" s="8" t="s">
        <v>9</v>
      </c>
      <c r="L1" s="11" t="s">
        <v>10</v>
      </c>
      <c r="M1" s="12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7" t="s">
        <v>17</v>
      </c>
      <c r="T1" s="7" t="s">
        <v>18</v>
      </c>
    </row>
    <row r="2" customFormat="false" ht="14.25" hidden="false" customHeight="false" outlineLevel="0" collapsed="false">
      <c r="A2" s="1" t="n">
        <v>4</v>
      </c>
      <c r="B2" s="14" t="s">
        <v>19</v>
      </c>
      <c r="C2" s="14" t="s">
        <v>20</v>
      </c>
      <c r="D2" s="14" t="s">
        <v>21</v>
      </c>
      <c r="E2" s="15"/>
      <c r="F2" s="14"/>
      <c r="G2" s="14"/>
      <c r="H2" s="14" t="n">
        <v>1910</v>
      </c>
      <c r="I2" s="14"/>
      <c r="J2" s="14"/>
      <c r="K2" s="14"/>
      <c r="L2" s="16"/>
      <c r="M2" s="17" t="n">
        <v>45863</v>
      </c>
      <c r="N2" s="14" t="n">
        <f aca="false">DAY(M2)</f>
        <v>25</v>
      </c>
      <c r="O2" s="14" t="str">
        <f aca="false">TEXT(M2,"DDDD")</f>
        <v>viernes</v>
      </c>
      <c r="P2" s="18" t="n">
        <f aca="false">MONTH(M2)</f>
        <v>7</v>
      </c>
      <c r="Q2" s="14" t="str">
        <f aca="false">TEXT(M2,"MMMM")</f>
        <v>julio</v>
      </c>
    </row>
    <row r="3" customFormat="false" ht="14.25" hidden="false" customHeight="false" outlineLevel="0" collapsed="false">
      <c r="A3" s="1" t="n">
        <v>4</v>
      </c>
      <c r="B3" s="14" t="s">
        <v>22</v>
      </c>
      <c r="C3" s="14" t="s">
        <v>20</v>
      </c>
      <c r="D3" s="14" t="s">
        <v>23</v>
      </c>
      <c r="E3" s="15"/>
      <c r="F3" s="14"/>
      <c r="G3" s="14"/>
      <c r="H3" s="14" t="n">
        <v>2350</v>
      </c>
      <c r="I3" s="14"/>
      <c r="J3" s="14"/>
      <c r="K3" s="14"/>
      <c r="L3" s="16"/>
      <c r="M3" s="17" t="n">
        <v>45863</v>
      </c>
      <c r="N3" s="14" t="n">
        <f aca="false">DAY(M3)</f>
        <v>25</v>
      </c>
      <c r="O3" s="14" t="str">
        <f aca="false">TEXT(M3,"DDDD")</f>
        <v>viernes</v>
      </c>
      <c r="P3" s="18" t="n">
        <f aca="false">MONTH(M3)</f>
        <v>7</v>
      </c>
      <c r="Q3" s="14" t="str">
        <f aca="false">TEXT(M3,"MMMM")</f>
        <v>julio</v>
      </c>
    </row>
    <row r="4" customFormat="false" ht="14.25" hidden="false" customHeight="false" outlineLevel="0" collapsed="false">
      <c r="A4" s="1" t="n">
        <v>1</v>
      </c>
      <c r="B4" s="14" t="s">
        <v>24</v>
      </c>
      <c r="C4" s="14" t="s">
        <v>20</v>
      </c>
      <c r="D4" s="14" t="s">
        <v>25</v>
      </c>
      <c r="E4" s="15"/>
      <c r="F4" s="14"/>
      <c r="G4" s="14"/>
      <c r="H4" s="14" t="n">
        <v>2481</v>
      </c>
      <c r="I4" s="14"/>
      <c r="J4" s="14"/>
      <c r="K4" s="14"/>
      <c r="L4" s="16"/>
      <c r="M4" s="17" t="n">
        <v>45863</v>
      </c>
      <c r="N4" s="14" t="n">
        <f aca="false">DAY(M4)</f>
        <v>25</v>
      </c>
      <c r="O4" s="14" t="str">
        <f aca="false">TEXT(M4,"DDDD")</f>
        <v>viernes</v>
      </c>
      <c r="P4" s="18" t="n">
        <f aca="false">MONTH(M4)</f>
        <v>7</v>
      </c>
      <c r="Q4" s="14" t="str">
        <f aca="false">TEXT(M4,"MMMM")</f>
        <v>julio</v>
      </c>
    </row>
    <row r="5" customFormat="false" ht="14.25" hidden="false" customHeight="false" outlineLevel="0" collapsed="false">
      <c r="A5" s="1" t="n">
        <v>1</v>
      </c>
      <c r="B5" s="14" t="s">
        <v>26</v>
      </c>
      <c r="C5" s="14" t="s">
        <v>20</v>
      </c>
      <c r="D5" s="14" t="s">
        <v>27</v>
      </c>
      <c r="E5" s="15"/>
      <c r="F5" s="14"/>
      <c r="G5" s="14"/>
      <c r="H5" s="14" t="n">
        <v>2141</v>
      </c>
      <c r="I5" s="14"/>
      <c r="J5" s="14"/>
      <c r="K5" s="14"/>
      <c r="L5" s="16"/>
      <c r="M5" s="17" t="n">
        <v>45863</v>
      </c>
      <c r="N5" s="14" t="n">
        <f aca="false">DAY(M5)</f>
        <v>25</v>
      </c>
      <c r="O5" s="14" t="str">
        <f aca="false">TEXT(M5,"DDDD")</f>
        <v>viernes</v>
      </c>
      <c r="P5" s="18" t="n">
        <f aca="false">MONTH(M5)</f>
        <v>7</v>
      </c>
      <c r="Q5" s="14" t="str">
        <f aca="false">TEXT(M5,"MMMM")</f>
        <v>julio</v>
      </c>
    </row>
    <row r="6" customFormat="false" ht="14.25" hidden="false" customHeight="false" outlineLevel="0" collapsed="false">
      <c r="A6" s="1" t="n">
        <v>1</v>
      </c>
      <c r="B6" s="14" t="s">
        <v>28</v>
      </c>
      <c r="C6" s="14" t="s">
        <v>20</v>
      </c>
      <c r="D6" s="14" t="s">
        <v>29</v>
      </c>
      <c r="E6" s="15"/>
      <c r="F6" s="14"/>
      <c r="G6" s="14"/>
      <c r="H6" s="14" t="n">
        <v>3260</v>
      </c>
      <c r="I6" s="14"/>
      <c r="J6" s="14"/>
      <c r="K6" s="14"/>
      <c r="L6" s="16"/>
      <c r="M6" s="17" t="n">
        <v>45863</v>
      </c>
      <c r="N6" s="14" t="n">
        <f aca="false">DAY(M6)</f>
        <v>25</v>
      </c>
      <c r="O6" s="14" t="str">
        <f aca="false">TEXT(M6,"DDDD")</f>
        <v>viernes</v>
      </c>
      <c r="P6" s="18" t="n">
        <f aca="false">MONTH(M6)</f>
        <v>7</v>
      </c>
      <c r="Q6" s="14" t="str">
        <f aca="false">TEXT(M6,"MMMM")</f>
        <v>julio</v>
      </c>
    </row>
    <row r="7" customFormat="false" ht="14.25" hidden="false" customHeight="false" outlineLevel="0" collapsed="false">
      <c r="A7" s="1" t="n">
        <v>1</v>
      </c>
      <c r="B7" s="14" t="s">
        <v>30</v>
      </c>
      <c r="C7" s="14" t="s">
        <v>20</v>
      </c>
      <c r="D7" s="14" t="s">
        <v>31</v>
      </c>
      <c r="E7" s="15"/>
      <c r="F7" s="14"/>
      <c r="G7" s="14"/>
      <c r="H7" s="14" t="n">
        <v>2610</v>
      </c>
      <c r="I7" s="14"/>
      <c r="J7" s="14"/>
      <c r="K7" s="14"/>
      <c r="L7" s="16"/>
      <c r="M7" s="17" t="n">
        <v>45863</v>
      </c>
      <c r="N7" s="14" t="n">
        <f aca="false">DAY(M7)</f>
        <v>25</v>
      </c>
      <c r="O7" s="14" t="str">
        <f aca="false">TEXT(M7,"DDDD")</f>
        <v>viernes</v>
      </c>
      <c r="P7" s="18" t="n">
        <f aca="false">MONTH(M7)</f>
        <v>7</v>
      </c>
      <c r="Q7" s="14" t="str">
        <f aca="false">TEXT(M7,"MMMM")</f>
        <v>julio</v>
      </c>
    </row>
    <row r="8" customFormat="false" ht="14.25" hidden="false" customHeight="false" outlineLevel="0" collapsed="false">
      <c r="A8" s="1" t="n">
        <v>1</v>
      </c>
      <c r="B8" s="14" t="s">
        <v>32</v>
      </c>
      <c r="C8" s="14" t="s">
        <v>20</v>
      </c>
      <c r="D8" s="14" t="s">
        <v>33</v>
      </c>
      <c r="E8" s="15"/>
      <c r="F8" s="14"/>
      <c r="G8" s="14"/>
      <c r="H8" s="14" t="n">
        <v>5475</v>
      </c>
      <c r="I8" s="14"/>
      <c r="J8" s="14"/>
      <c r="K8" s="14"/>
      <c r="L8" s="16"/>
      <c r="M8" s="17" t="n">
        <v>45863</v>
      </c>
      <c r="N8" s="14" t="n">
        <f aca="false">DAY(M8)</f>
        <v>25</v>
      </c>
      <c r="O8" s="14" t="str">
        <f aca="false">TEXT(M8,"DDDD")</f>
        <v>viernes</v>
      </c>
      <c r="P8" s="18" t="n">
        <f aca="false">MONTH(M8)</f>
        <v>7</v>
      </c>
      <c r="Q8" s="14" t="str">
        <f aca="false">TEXT(M8,"MMMM")</f>
        <v>julio</v>
      </c>
    </row>
    <row r="9" customFormat="false" ht="14.25" hidden="false" customHeight="false" outlineLevel="0" collapsed="false">
      <c r="A9" s="1" t="n">
        <v>5</v>
      </c>
      <c r="B9" s="14" t="s">
        <v>34</v>
      </c>
      <c r="C9" s="14" t="s">
        <v>20</v>
      </c>
      <c r="D9" s="14" t="s">
        <v>35</v>
      </c>
      <c r="E9" s="15"/>
      <c r="F9" s="14" t="s">
        <v>36</v>
      </c>
      <c r="G9" s="14"/>
      <c r="H9" s="14" t="n">
        <v>3430</v>
      </c>
      <c r="I9" s="14" t="n">
        <v>2710</v>
      </c>
      <c r="J9" s="14"/>
      <c r="K9" s="14" t="n">
        <v>600</v>
      </c>
      <c r="L9" s="16"/>
      <c r="M9" s="17" t="n">
        <v>45866</v>
      </c>
      <c r="N9" s="14" t="n">
        <f aca="false">DAY(M9)</f>
        <v>28</v>
      </c>
      <c r="O9" s="14" t="str">
        <f aca="false">TEXT(M9,"DDDD")</f>
        <v>lunes</v>
      </c>
      <c r="P9" s="18" t="n">
        <f aca="false">MONTH(M9)</f>
        <v>7</v>
      </c>
      <c r="Q9" s="14" t="str">
        <f aca="false">TEXT(M9,"MMMM")</f>
        <v>julio</v>
      </c>
    </row>
    <row r="10" customFormat="false" ht="14.25" hidden="false" customHeight="false" outlineLevel="0" collapsed="false">
      <c r="A10" s="1" t="n">
        <v>5</v>
      </c>
      <c r="B10" s="14" t="s">
        <v>37</v>
      </c>
      <c r="C10" s="14" t="s">
        <v>38</v>
      </c>
      <c r="D10" s="14" t="s">
        <v>39</v>
      </c>
      <c r="E10" s="15"/>
      <c r="F10" s="14"/>
      <c r="G10" s="14"/>
      <c r="H10" s="14" t="n">
        <v>2960</v>
      </c>
      <c r="I10" s="14" t="n">
        <v>1400</v>
      </c>
      <c r="J10" s="14"/>
      <c r="K10" s="14" t="n">
        <v>1500</v>
      </c>
      <c r="L10" s="16"/>
      <c r="M10" s="17" t="n">
        <v>45866</v>
      </c>
      <c r="N10" s="14" t="n">
        <f aca="false">DAY(M10)</f>
        <v>28</v>
      </c>
      <c r="O10" s="14" t="str">
        <f aca="false">TEXT(M10,"DDDD")</f>
        <v>lunes</v>
      </c>
      <c r="P10" s="18" t="n">
        <f aca="false">MONTH(M10)</f>
        <v>7</v>
      </c>
      <c r="Q10" s="14" t="str">
        <f aca="false">TEXT(M10,"MMMM")</f>
        <v>julio</v>
      </c>
    </row>
    <row r="11" customFormat="false" ht="14.25" hidden="false" customHeight="false" outlineLevel="0" collapsed="false">
      <c r="A11" s="1" t="n">
        <v>5</v>
      </c>
      <c r="B11" s="14" t="s">
        <v>40</v>
      </c>
      <c r="C11" s="14" t="s">
        <v>38</v>
      </c>
      <c r="D11" s="14" t="s">
        <v>41</v>
      </c>
      <c r="E11" s="15"/>
      <c r="F11" s="14" t="s">
        <v>41</v>
      </c>
      <c r="G11" s="14"/>
      <c r="H11" s="14" t="n">
        <v>4710</v>
      </c>
      <c r="I11" s="14" t="n">
        <v>3250</v>
      </c>
      <c r="J11" s="14" t="n">
        <v>40</v>
      </c>
      <c r="K11" s="14" t="n">
        <v>1300</v>
      </c>
      <c r="L11" s="16"/>
      <c r="M11" s="17" t="n">
        <v>45866</v>
      </c>
      <c r="N11" s="14" t="n">
        <f aca="false">DAY(M11)</f>
        <v>28</v>
      </c>
      <c r="O11" s="14" t="str">
        <f aca="false">TEXT(M11,"DDDD")</f>
        <v>lunes</v>
      </c>
      <c r="P11" s="18" t="n">
        <f aca="false">MONTH(M11)</f>
        <v>7</v>
      </c>
      <c r="Q11" s="14" t="str">
        <f aca="false">TEXT(M11,"MMMM")</f>
        <v>julio</v>
      </c>
    </row>
    <row r="12" customFormat="false" ht="14.25" hidden="false" customHeight="false" outlineLevel="0" collapsed="false">
      <c r="A12" s="1" t="n">
        <v>5</v>
      </c>
      <c r="B12" s="14" t="s">
        <v>42</v>
      </c>
      <c r="C12" s="14" t="s">
        <v>38</v>
      </c>
      <c r="D12" s="14" t="s">
        <v>43</v>
      </c>
      <c r="E12" s="15"/>
      <c r="F12" s="14"/>
      <c r="G12" s="14"/>
      <c r="H12" s="14" t="n">
        <v>5100</v>
      </c>
      <c r="I12" s="14" t="n">
        <v>3540</v>
      </c>
      <c r="J12" s="14"/>
      <c r="K12" s="14" t="n">
        <v>1460</v>
      </c>
      <c r="L12" s="16"/>
      <c r="M12" s="17" t="n">
        <v>45866</v>
      </c>
      <c r="N12" s="14" t="n">
        <f aca="false">DAY(M12)</f>
        <v>28</v>
      </c>
      <c r="O12" s="14" t="str">
        <f aca="false">TEXT(M12,"DDDD")</f>
        <v>lunes</v>
      </c>
      <c r="P12" s="18" t="n">
        <f aca="false">MONTH(M12)</f>
        <v>7</v>
      </c>
      <c r="Q12" s="14" t="str">
        <f aca="false">TEXT(M12,"MMMM")</f>
        <v>julio</v>
      </c>
    </row>
    <row r="13" customFormat="false" ht="14.25" hidden="false" customHeight="false" outlineLevel="0" collapsed="false">
      <c r="A13" s="1" t="n">
        <v>5</v>
      </c>
      <c r="B13" s="14" t="s">
        <v>44</v>
      </c>
      <c r="C13" s="14" t="s">
        <v>38</v>
      </c>
      <c r="D13" s="14" t="s">
        <v>45</v>
      </c>
      <c r="E13" s="15"/>
      <c r="F13" s="14"/>
      <c r="G13" s="14"/>
      <c r="H13" s="14" t="n">
        <v>2030</v>
      </c>
      <c r="I13" s="14" t="n">
        <v>1220</v>
      </c>
      <c r="J13" s="14"/>
      <c r="K13" s="14" t="n">
        <v>750</v>
      </c>
      <c r="L13" s="16"/>
      <c r="M13" s="17" t="n">
        <v>45866</v>
      </c>
      <c r="N13" s="14" t="n">
        <f aca="false">DAY(M13)</f>
        <v>28</v>
      </c>
      <c r="O13" s="14" t="str">
        <f aca="false">TEXT(M13,"DDDD")</f>
        <v>lunes</v>
      </c>
      <c r="P13" s="18" t="n">
        <f aca="false">MONTH(M13)</f>
        <v>7</v>
      </c>
      <c r="Q13" s="14" t="str">
        <f aca="false">TEXT(M13,"MMMM")</f>
        <v>julio</v>
      </c>
    </row>
    <row r="14" customFormat="false" ht="14.25" hidden="false" customHeight="false" outlineLevel="0" collapsed="false">
      <c r="A14" s="1" t="n">
        <v>4</v>
      </c>
      <c r="B14" s="14" t="s">
        <v>46</v>
      </c>
      <c r="C14" s="14" t="s">
        <v>20</v>
      </c>
      <c r="D14" s="14" t="s">
        <v>47</v>
      </c>
      <c r="E14" s="15"/>
      <c r="F14" s="14" t="s">
        <v>47</v>
      </c>
      <c r="G14" s="14"/>
      <c r="H14" s="14" t="n">
        <v>2120</v>
      </c>
      <c r="I14" s="14" t="n">
        <v>1800</v>
      </c>
      <c r="J14" s="14"/>
      <c r="K14" s="14" t="n">
        <v>200</v>
      </c>
      <c r="L14" s="16"/>
      <c r="M14" s="17" t="n">
        <v>45866</v>
      </c>
      <c r="N14" s="14" t="n">
        <f aca="false">DAY(M14)</f>
        <v>28</v>
      </c>
      <c r="O14" s="14" t="str">
        <f aca="false">TEXT(M14,"DDDD")</f>
        <v>lunes</v>
      </c>
      <c r="P14" s="18" t="n">
        <f aca="false">MONTH(M14)</f>
        <v>7</v>
      </c>
      <c r="Q14" s="14" t="str">
        <f aca="false">TEXT(M14,"MMMM")</f>
        <v>julio</v>
      </c>
    </row>
    <row r="15" customFormat="false" ht="14.25" hidden="false" customHeight="false" outlineLevel="0" collapsed="false">
      <c r="A15" s="1" t="n">
        <v>4</v>
      </c>
      <c r="B15" s="14" t="s">
        <v>48</v>
      </c>
      <c r="C15" s="14" t="s">
        <v>20</v>
      </c>
      <c r="D15" s="14" t="s">
        <v>49</v>
      </c>
      <c r="E15" s="15"/>
      <c r="F15" s="14"/>
      <c r="G15" s="14"/>
      <c r="H15" s="14" t="n">
        <v>1610</v>
      </c>
      <c r="I15" s="14"/>
      <c r="J15" s="14"/>
      <c r="K15" s="14"/>
      <c r="L15" s="16"/>
      <c r="M15" s="17" t="n">
        <v>45866</v>
      </c>
      <c r="N15" s="14" t="n">
        <f aca="false">DAY(M15)</f>
        <v>28</v>
      </c>
      <c r="O15" s="14" t="str">
        <f aca="false">TEXT(M15,"DDDD")</f>
        <v>lunes</v>
      </c>
      <c r="P15" s="18" t="n">
        <f aca="false">MONTH(M15)</f>
        <v>7</v>
      </c>
      <c r="Q15" s="14" t="str">
        <f aca="false">TEXT(M15,"MMMM")</f>
        <v>julio</v>
      </c>
    </row>
    <row r="16" customFormat="false" ht="14.25" hidden="false" customHeight="false" outlineLevel="0" collapsed="false">
      <c r="A16" s="1" t="n">
        <v>12</v>
      </c>
      <c r="B16" s="14" t="s">
        <v>50</v>
      </c>
      <c r="C16" s="14" t="s">
        <v>20</v>
      </c>
      <c r="D16" s="14" t="s">
        <v>51</v>
      </c>
      <c r="E16" s="15"/>
      <c r="F16" s="14" t="s">
        <v>51</v>
      </c>
      <c r="G16" s="14"/>
      <c r="H16" s="14" t="n">
        <v>3120</v>
      </c>
      <c r="I16" s="14"/>
      <c r="J16" s="14"/>
      <c r="K16" s="14"/>
      <c r="L16" s="16"/>
      <c r="M16" s="17" t="n">
        <v>45867</v>
      </c>
      <c r="N16" s="14" t="n">
        <f aca="false">DAY(M16)</f>
        <v>29</v>
      </c>
      <c r="O16" s="14" t="str">
        <f aca="false">TEXT(M16,"DDDD")</f>
        <v>martes</v>
      </c>
      <c r="P16" s="18" t="n">
        <f aca="false">MONTH(M16)</f>
        <v>7</v>
      </c>
      <c r="Q16" s="14" t="str">
        <f aca="false">TEXT(M16,"MMMM")</f>
        <v>julio</v>
      </c>
    </row>
    <row r="17" customFormat="false" ht="14.25" hidden="false" customHeight="false" outlineLevel="0" collapsed="false">
      <c r="A17" s="1" t="n">
        <v>12</v>
      </c>
      <c r="B17" s="14" t="s">
        <v>52</v>
      </c>
      <c r="C17" s="14" t="s">
        <v>38</v>
      </c>
      <c r="D17" s="14" t="s">
        <v>53</v>
      </c>
      <c r="E17" s="15"/>
      <c r="F17" s="14"/>
      <c r="G17" s="14"/>
      <c r="H17" s="14" t="n">
        <v>1940</v>
      </c>
      <c r="I17" s="14" t="n">
        <v>1200</v>
      </c>
      <c r="J17" s="14"/>
      <c r="K17" s="14" t="n">
        <v>680</v>
      </c>
      <c r="L17" s="16"/>
      <c r="M17" s="17" t="n">
        <v>45867</v>
      </c>
      <c r="N17" s="14" t="n">
        <f aca="false">DAY(M17)</f>
        <v>29</v>
      </c>
      <c r="O17" s="14" t="str">
        <f aca="false">TEXT(M17,"DDDD")</f>
        <v>martes</v>
      </c>
      <c r="P17" s="18" t="n">
        <f aca="false">MONTH(M17)</f>
        <v>7</v>
      </c>
      <c r="Q17" s="14" t="str">
        <f aca="false">TEXT(M17,"MMMM")</f>
        <v>julio</v>
      </c>
    </row>
    <row r="18" customFormat="false" ht="14.25" hidden="false" customHeight="false" outlineLevel="0" collapsed="false">
      <c r="A18" s="1" t="n">
        <v>11</v>
      </c>
      <c r="B18" s="14" t="s">
        <v>54</v>
      </c>
      <c r="C18" s="14" t="s">
        <v>38</v>
      </c>
      <c r="D18" s="14" t="s">
        <v>55</v>
      </c>
      <c r="E18" s="15"/>
      <c r="F18" s="14"/>
      <c r="G18" s="14"/>
      <c r="H18" s="14" t="n">
        <v>1470</v>
      </c>
      <c r="I18" s="14" t="n">
        <v>1410</v>
      </c>
      <c r="J18" s="14" t="n">
        <v>60</v>
      </c>
      <c r="K18" s="14"/>
      <c r="L18" s="16"/>
      <c r="M18" s="17" t="n">
        <v>45867</v>
      </c>
      <c r="N18" s="14" t="n">
        <f aca="false">DAY(M18)</f>
        <v>29</v>
      </c>
      <c r="O18" s="14" t="str">
        <f aca="false">TEXT(M18,"DDDD")</f>
        <v>martes</v>
      </c>
      <c r="P18" s="18" t="n">
        <f aca="false">MONTH(M18)</f>
        <v>7</v>
      </c>
      <c r="Q18" s="14" t="str">
        <f aca="false">TEXT(M18,"MMMM")</f>
        <v>julio</v>
      </c>
    </row>
    <row r="19" customFormat="false" ht="14.25" hidden="false" customHeight="false" outlineLevel="0" collapsed="false">
      <c r="A19" s="1" t="n">
        <v>11</v>
      </c>
      <c r="B19" s="14" t="s">
        <v>56</v>
      </c>
      <c r="C19" s="14" t="s">
        <v>38</v>
      </c>
      <c r="D19" s="14" t="s">
        <v>57</v>
      </c>
      <c r="E19" s="15"/>
      <c r="F19" s="14"/>
      <c r="G19" s="14"/>
      <c r="H19" s="14" t="n">
        <v>3400</v>
      </c>
      <c r="I19" s="14"/>
      <c r="J19" s="14"/>
      <c r="K19" s="14"/>
      <c r="L19" s="16"/>
      <c r="M19" s="17" t="n">
        <v>45867</v>
      </c>
      <c r="N19" s="14" t="n">
        <f aca="false">DAY(M19)</f>
        <v>29</v>
      </c>
      <c r="O19" s="14" t="str">
        <f aca="false">TEXT(M19,"DDDD")</f>
        <v>martes</v>
      </c>
      <c r="P19" s="18" t="n">
        <f aca="false">MONTH(M19)</f>
        <v>7</v>
      </c>
      <c r="Q19" s="14" t="str">
        <f aca="false">TEXT(M19,"MMMM")</f>
        <v>julio</v>
      </c>
    </row>
    <row r="20" customFormat="false" ht="14.25" hidden="false" customHeight="false" outlineLevel="0" collapsed="false">
      <c r="A20" s="1" t="n">
        <v>11</v>
      </c>
      <c r="B20" s="14" t="s">
        <v>58</v>
      </c>
      <c r="C20" s="14" t="s">
        <v>38</v>
      </c>
      <c r="D20" s="14" t="s">
        <v>59</v>
      </c>
      <c r="E20" s="15"/>
      <c r="F20" s="14"/>
      <c r="G20" s="14"/>
      <c r="H20" s="14" t="n">
        <v>1260</v>
      </c>
      <c r="I20" s="14" t="n">
        <v>1200</v>
      </c>
      <c r="J20" s="14" t="n">
        <v>60</v>
      </c>
      <c r="K20" s="14"/>
      <c r="L20" s="16"/>
      <c r="M20" s="17" t="n">
        <v>45867</v>
      </c>
      <c r="N20" s="14" t="n">
        <f aca="false">DAY(M20)</f>
        <v>29</v>
      </c>
      <c r="O20" s="14" t="str">
        <f aca="false">TEXT(M20,"DDDD")</f>
        <v>martes</v>
      </c>
      <c r="P20" s="18" t="n">
        <f aca="false">MONTH(M20)</f>
        <v>7</v>
      </c>
      <c r="Q20" s="14" t="str">
        <f aca="false">TEXT(M20,"MMMM")</f>
        <v>julio</v>
      </c>
    </row>
    <row r="21" customFormat="false" ht="14.25" hidden="false" customHeight="false" outlineLevel="0" collapsed="false">
      <c r="A21" s="1" t="n">
        <v>9</v>
      </c>
      <c r="B21" s="14" t="s">
        <v>60</v>
      </c>
      <c r="C21" s="14" t="s">
        <v>20</v>
      </c>
      <c r="D21" s="14" t="s">
        <v>61</v>
      </c>
      <c r="E21" s="15"/>
      <c r="F21" s="14"/>
      <c r="G21" s="14"/>
      <c r="H21" s="14" t="n">
        <v>2500</v>
      </c>
      <c r="I21" s="14" t="n">
        <v>1200</v>
      </c>
      <c r="J21" s="14"/>
      <c r="K21" s="14" t="n">
        <v>1240</v>
      </c>
      <c r="L21" s="16"/>
      <c r="M21" s="17" t="n">
        <v>45867</v>
      </c>
      <c r="N21" s="14" t="n">
        <f aca="false">DAY(M21)</f>
        <v>29</v>
      </c>
      <c r="O21" s="14" t="str">
        <f aca="false">TEXT(M21,"DDDD")</f>
        <v>martes</v>
      </c>
      <c r="P21" s="18" t="n">
        <f aca="false">MONTH(M21)</f>
        <v>7</v>
      </c>
      <c r="Q21" s="14" t="str">
        <f aca="false">TEXT(M21,"MMMM")</f>
        <v>julio</v>
      </c>
    </row>
    <row r="22" customFormat="false" ht="14.25" hidden="false" customHeight="false" outlineLevel="0" collapsed="false">
      <c r="A22" s="1" t="n">
        <v>9</v>
      </c>
      <c r="B22" s="14" t="s">
        <v>62</v>
      </c>
      <c r="C22" s="14" t="s">
        <v>38</v>
      </c>
      <c r="D22" s="14" t="s">
        <v>63</v>
      </c>
      <c r="E22" s="15"/>
      <c r="F22" s="14"/>
      <c r="G22" s="14"/>
      <c r="H22" s="14" t="n">
        <v>1860</v>
      </c>
      <c r="I22" s="14" t="n">
        <v>1200</v>
      </c>
      <c r="J22" s="14"/>
      <c r="K22" s="14" t="n">
        <v>600</v>
      </c>
      <c r="L22" s="16"/>
      <c r="M22" s="17" t="n">
        <v>45867</v>
      </c>
      <c r="N22" s="14" t="n">
        <f aca="false">DAY(M22)</f>
        <v>29</v>
      </c>
      <c r="O22" s="14" t="str">
        <f aca="false">TEXT(M22,"DDDD")</f>
        <v>martes</v>
      </c>
      <c r="P22" s="18" t="n">
        <f aca="false">MONTH(M22)</f>
        <v>7</v>
      </c>
      <c r="Q22" s="14" t="str">
        <f aca="false">TEXT(M22,"MMMM")</f>
        <v>julio</v>
      </c>
    </row>
    <row r="23" customFormat="false" ht="14.25" hidden="false" customHeight="false" outlineLevel="0" collapsed="false">
      <c r="A23" s="1" t="n">
        <v>9</v>
      </c>
      <c r="B23" s="14" t="s">
        <v>64</v>
      </c>
      <c r="C23" s="14" t="s">
        <v>38</v>
      </c>
      <c r="D23" s="14" t="s">
        <v>65</v>
      </c>
      <c r="E23" s="15"/>
      <c r="F23" s="14"/>
      <c r="G23" s="14"/>
      <c r="H23" s="14" t="n">
        <v>1260</v>
      </c>
      <c r="I23" s="14" t="n">
        <v>1200</v>
      </c>
      <c r="J23" s="14" t="n">
        <v>60</v>
      </c>
      <c r="K23" s="14"/>
      <c r="L23" s="16"/>
      <c r="M23" s="17" t="n">
        <v>45867</v>
      </c>
      <c r="N23" s="14" t="n">
        <f aca="false">DAY(M23)</f>
        <v>29</v>
      </c>
      <c r="O23" s="14" t="str">
        <f aca="false">TEXT(M23,"DDDD")</f>
        <v>martes</v>
      </c>
      <c r="P23" s="18" t="n">
        <f aca="false">MONTH(M23)</f>
        <v>7</v>
      </c>
      <c r="Q23" s="14" t="str">
        <f aca="false">TEXT(M23,"MMMM")</f>
        <v>julio</v>
      </c>
    </row>
    <row r="24" customFormat="false" ht="14.25" hidden="false" customHeight="false" outlineLevel="0" collapsed="false">
      <c r="A24" s="1" t="n">
        <v>9</v>
      </c>
      <c r="B24" s="14" t="s">
        <v>66</v>
      </c>
      <c r="C24" s="14" t="s">
        <v>20</v>
      </c>
      <c r="D24" s="14" t="s">
        <v>67</v>
      </c>
      <c r="E24" s="15"/>
      <c r="F24" s="14"/>
      <c r="G24" s="14"/>
      <c r="H24" s="14" t="n">
        <v>2360</v>
      </c>
      <c r="I24" s="14" t="n">
        <v>1200</v>
      </c>
      <c r="J24" s="14"/>
      <c r="K24" s="14" t="n">
        <v>1100</v>
      </c>
      <c r="L24" s="16"/>
      <c r="M24" s="17" t="n">
        <v>45867</v>
      </c>
      <c r="N24" s="14" t="n">
        <f aca="false">DAY(M24)</f>
        <v>29</v>
      </c>
      <c r="O24" s="14" t="str">
        <f aca="false">TEXT(M24,"DDDD")</f>
        <v>martes</v>
      </c>
      <c r="P24" s="18" t="n">
        <f aca="false">MONTH(M24)</f>
        <v>7</v>
      </c>
      <c r="Q24" s="14" t="str">
        <f aca="false">TEXT(M24,"MMMM")</f>
        <v>julio</v>
      </c>
    </row>
    <row r="25" customFormat="false" ht="14.25" hidden="false" customHeight="false" outlineLevel="0" collapsed="false">
      <c r="A25" s="1" t="n">
        <v>9</v>
      </c>
      <c r="B25" s="14" t="s">
        <v>68</v>
      </c>
      <c r="C25" s="14" t="s">
        <v>38</v>
      </c>
      <c r="D25" s="14" t="s">
        <v>69</v>
      </c>
      <c r="E25" s="15"/>
      <c r="F25" s="14"/>
      <c r="G25" s="14"/>
      <c r="H25" s="14" t="n">
        <v>2820</v>
      </c>
      <c r="I25" s="14" t="n">
        <v>1200</v>
      </c>
      <c r="J25" s="14"/>
      <c r="K25" s="14" t="n">
        <v>1560</v>
      </c>
      <c r="L25" s="16"/>
      <c r="M25" s="17" t="n">
        <v>45867</v>
      </c>
      <c r="N25" s="14" t="n">
        <f aca="false">DAY(M25)</f>
        <v>29</v>
      </c>
      <c r="O25" s="14" t="str">
        <f aca="false">TEXT(M25,"DDDD")</f>
        <v>martes</v>
      </c>
      <c r="P25" s="18" t="n">
        <f aca="false">MONTH(M25)</f>
        <v>7</v>
      </c>
      <c r="Q25" s="14" t="str">
        <f aca="false">TEXT(M25,"MMMM")</f>
        <v>julio</v>
      </c>
    </row>
    <row r="26" customFormat="false" ht="14.25" hidden="false" customHeight="false" outlineLevel="0" collapsed="false">
      <c r="A26" s="1" t="n">
        <v>9</v>
      </c>
      <c r="B26" s="14" t="s">
        <v>70</v>
      </c>
      <c r="C26" s="14" t="s">
        <v>20</v>
      </c>
      <c r="D26" s="14" t="s">
        <v>65</v>
      </c>
      <c r="E26" s="15"/>
      <c r="F26" s="14"/>
      <c r="G26" s="14"/>
      <c r="H26" s="14" t="n">
        <v>5850</v>
      </c>
      <c r="I26" s="14" t="n">
        <v>4700</v>
      </c>
      <c r="J26" s="14" t="n">
        <v>40</v>
      </c>
      <c r="K26" s="14" t="n">
        <v>1050</v>
      </c>
      <c r="L26" s="16"/>
      <c r="M26" s="17" t="n">
        <v>45867</v>
      </c>
      <c r="N26" s="14" t="n">
        <f aca="false">DAY(M26)</f>
        <v>29</v>
      </c>
      <c r="O26" s="14" t="str">
        <f aca="false">TEXT(M26,"DDDD")</f>
        <v>martes</v>
      </c>
      <c r="P26" s="18" t="n">
        <f aca="false">MONTH(M26)</f>
        <v>7</v>
      </c>
      <c r="Q26" s="14" t="str">
        <f aca="false">TEXT(M26,"MMMM")</f>
        <v>julio</v>
      </c>
    </row>
    <row r="27" customFormat="false" ht="14.25" hidden="false" customHeight="false" outlineLevel="0" collapsed="false">
      <c r="A27" s="1" t="n">
        <v>8</v>
      </c>
      <c r="B27" s="14" t="s">
        <v>71</v>
      </c>
      <c r="C27" s="14" t="s">
        <v>38</v>
      </c>
      <c r="D27" s="14" t="s">
        <v>72</v>
      </c>
      <c r="E27" s="15"/>
      <c r="F27" s="14"/>
      <c r="G27" s="14"/>
      <c r="H27" s="14" t="n">
        <v>2860</v>
      </c>
      <c r="I27" s="14" t="n">
        <v>1200</v>
      </c>
      <c r="J27" s="14"/>
      <c r="K27" s="14" t="n">
        <v>1600</v>
      </c>
      <c r="L27" s="16"/>
      <c r="M27" s="17" t="n">
        <v>45867</v>
      </c>
      <c r="N27" s="14" t="n">
        <f aca="false">DAY(M27)</f>
        <v>29</v>
      </c>
      <c r="O27" s="14" t="str">
        <f aca="false">TEXT(M27,"DDDD")</f>
        <v>martes</v>
      </c>
      <c r="P27" s="18" t="n">
        <f aca="false">MONTH(M27)</f>
        <v>7</v>
      </c>
      <c r="Q27" s="14" t="str">
        <f aca="false">TEXT(M27,"MMMM")</f>
        <v>julio</v>
      </c>
    </row>
    <row r="28" customFormat="false" ht="14.25" hidden="false" customHeight="false" outlineLevel="0" collapsed="false">
      <c r="A28" s="1" t="n">
        <v>8</v>
      </c>
      <c r="B28" s="14" t="s">
        <v>73</v>
      </c>
      <c r="C28" s="14" t="s">
        <v>38</v>
      </c>
      <c r="D28" s="14" t="s">
        <v>74</v>
      </c>
      <c r="E28" s="15"/>
      <c r="F28" s="14"/>
      <c r="G28" s="14"/>
      <c r="H28" s="14" t="n">
        <v>2280</v>
      </c>
      <c r="I28" s="14" t="n">
        <v>1200</v>
      </c>
      <c r="J28" s="14"/>
      <c r="K28" s="14" t="n">
        <v>1020</v>
      </c>
      <c r="L28" s="16"/>
      <c r="M28" s="17" t="n">
        <v>45867</v>
      </c>
      <c r="N28" s="14" t="n">
        <f aca="false">DAY(M28)</f>
        <v>29</v>
      </c>
      <c r="O28" s="14" t="str">
        <f aca="false">TEXT(M28,"DDDD")</f>
        <v>martes</v>
      </c>
      <c r="P28" s="18" t="n">
        <f aca="false">MONTH(M28)</f>
        <v>7</v>
      </c>
      <c r="Q28" s="14" t="str">
        <f aca="false">TEXT(M28,"MMMM")</f>
        <v>julio</v>
      </c>
    </row>
    <row r="29" customFormat="false" ht="14.25" hidden="false" customHeight="false" outlineLevel="0" collapsed="false">
      <c r="A29" s="1" t="n">
        <v>8</v>
      </c>
      <c r="B29" s="14" t="s">
        <v>75</v>
      </c>
      <c r="C29" s="14" t="s">
        <v>20</v>
      </c>
      <c r="D29" s="14" t="s">
        <v>76</v>
      </c>
      <c r="E29" s="15"/>
      <c r="F29" s="14"/>
      <c r="G29" s="14"/>
      <c r="H29" s="14" t="n">
        <v>2760</v>
      </c>
      <c r="I29" s="14" t="n">
        <v>1200</v>
      </c>
      <c r="J29" s="14"/>
      <c r="K29" s="14" t="n">
        <v>1500</v>
      </c>
      <c r="L29" s="16"/>
      <c r="M29" s="17" t="n">
        <v>45867</v>
      </c>
      <c r="N29" s="14" t="n">
        <f aca="false">DAY(M29)</f>
        <v>29</v>
      </c>
      <c r="O29" s="14" t="str">
        <f aca="false">TEXT(M29,"DDDD")</f>
        <v>martes</v>
      </c>
      <c r="P29" s="18" t="n">
        <f aca="false">MONTH(M29)</f>
        <v>7</v>
      </c>
      <c r="Q29" s="14" t="str">
        <f aca="false">TEXT(M29,"MMMM")</f>
        <v>julio</v>
      </c>
    </row>
    <row r="30" customFormat="false" ht="14.25" hidden="false" customHeight="false" outlineLevel="0" collapsed="false">
      <c r="A30" s="1" t="n">
        <v>7</v>
      </c>
      <c r="B30" s="14" t="s">
        <v>77</v>
      </c>
      <c r="C30" s="14" t="s">
        <v>20</v>
      </c>
      <c r="D30" s="14" t="s">
        <v>78</v>
      </c>
      <c r="E30" s="15"/>
      <c r="F30" s="14" t="s">
        <v>79</v>
      </c>
      <c r="G30" s="14"/>
      <c r="H30" s="14" t="n">
        <v>2570</v>
      </c>
      <c r="I30" s="14" t="n">
        <v>2450</v>
      </c>
      <c r="J30" s="14"/>
      <c r="K30" s="14"/>
      <c r="L30" s="16"/>
      <c r="M30" s="17" t="n">
        <v>45867</v>
      </c>
      <c r="N30" s="14" t="n">
        <f aca="false">DAY(M30)</f>
        <v>29</v>
      </c>
      <c r="O30" s="14" t="str">
        <f aca="false">TEXT(M30,"DDDD")</f>
        <v>martes</v>
      </c>
      <c r="P30" s="18" t="n">
        <f aca="false">MONTH(M30)</f>
        <v>7</v>
      </c>
      <c r="Q30" s="14" t="str">
        <f aca="false">TEXT(M30,"MMMM")</f>
        <v>julio</v>
      </c>
    </row>
    <row r="31" customFormat="false" ht="14.25" hidden="false" customHeight="false" outlineLevel="0" collapsed="false">
      <c r="A31" s="1" t="n">
        <v>11</v>
      </c>
      <c r="B31" s="14" t="s">
        <v>80</v>
      </c>
      <c r="C31" s="14" t="s">
        <v>81</v>
      </c>
      <c r="D31" s="19" t="s">
        <v>82</v>
      </c>
      <c r="E31" s="20"/>
      <c r="F31" s="19" t="s">
        <v>82</v>
      </c>
      <c r="G31" s="19"/>
      <c r="H31" s="19" t="n">
        <v>1920</v>
      </c>
      <c r="I31" s="14" t="n">
        <v>1800</v>
      </c>
      <c r="J31" s="14"/>
      <c r="K31" s="14"/>
      <c r="L31" s="16"/>
      <c r="M31" s="17" t="n">
        <v>45868</v>
      </c>
      <c r="N31" s="14" t="n">
        <f aca="false">DAY(M31)</f>
        <v>30</v>
      </c>
      <c r="O31" s="14" t="str">
        <f aca="false">TEXT(M31,"DDDD")</f>
        <v>miércoles</v>
      </c>
      <c r="P31" s="18" t="n">
        <f aca="false">MONTH(M31)</f>
        <v>7</v>
      </c>
      <c r="Q31" s="14" t="str">
        <f aca="false">TEXT(M31,"MMMM")</f>
        <v>julio</v>
      </c>
      <c r="R31" s="21" t="s">
        <v>83</v>
      </c>
      <c r="S31" s="1" t="n">
        <v>19692</v>
      </c>
    </row>
    <row r="32" customFormat="false" ht="14.25" hidden="false" customHeight="false" outlineLevel="0" collapsed="false">
      <c r="A32" s="1" t="n">
        <v>9</v>
      </c>
      <c r="B32" s="14" t="s">
        <v>84</v>
      </c>
      <c r="C32" s="14" t="s">
        <v>38</v>
      </c>
      <c r="D32" s="19" t="s">
        <v>85</v>
      </c>
      <c r="E32" s="20"/>
      <c r="F32" s="19" t="s">
        <v>85</v>
      </c>
      <c r="G32" s="19"/>
      <c r="H32" s="19" t="n">
        <v>2720</v>
      </c>
      <c r="I32" s="14" t="n">
        <v>2100</v>
      </c>
      <c r="J32" s="14"/>
      <c r="K32" s="14" t="n">
        <v>500</v>
      </c>
      <c r="L32" s="16"/>
      <c r="M32" s="17" t="n">
        <v>45868</v>
      </c>
      <c r="N32" s="14" t="n">
        <f aca="false">DAY(M32)</f>
        <v>30</v>
      </c>
      <c r="O32" s="14" t="str">
        <f aca="false">TEXT(M32,"DDDD")</f>
        <v>miércoles</v>
      </c>
      <c r="P32" s="18" t="n">
        <f aca="false">MONTH(M32)</f>
        <v>7</v>
      </c>
      <c r="Q32" s="14" t="str">
        <f aca="false">TEXT(M32,"MMMM")</f>
        <v>julio</v>
      </c>
    </row>
    <row r="33" customFormat="false" ht="14.25" hidden="false" customHeight="false" outlineLevel="0" collapsed="false">
      <c r="A33" s="1" t="n">
        <v>8</v>
      </c>
      <c r="B33" s="14" t="s">
        <v>86</v>
      </c>
      <c r="C33" s="14" t="s">
        <v>38</v>
      </c>
      <c r="D33" s="19" t="s">
        <v>87</v>
      </c>
      <c r="E33" s="20"/>
      <c r="F33" s="19"/>
      <c r="G33" s="19"/>
      <c r="H33" s="19" t="n">
        <v>2470</v>
      </c>
      <c r="I33" s="14" t="n">
        <v>2050</v>
      </c>
      <c r="J33" s="14"/>
      <c r="K33" s="14" t="n">
        <v>360</v>
      </c>
      <c r="L33" s="16"/>
      <c r="M33" s="17" t="n">
        <v>45868</v>
      </c>
      <c r="N33" s="14" t="n">
        <f aca="false">DAY(M33)</f>
        <v>30</v>
      </c>
      <c r="O33" s="14" t="str">
        <f aca="false">TEXT(M33,"DDDD")</f>
        <v>miércoles</v>
      </c>
      <c r="P33" s="18" t="n">
        <f aca="false">MONTH(M33)</f>
        <v>7</v>
      </c>
      <c r="Q33" s="14" t="str">
        <f aca="false">TEXT(M33,"MMMM")</f>
        <v>julio</v>
      </c>
    </row>
    <row r="34" customFormat="false" ht="14.25" hidden="false" customHeight="false" outlineLevel="0" collapsed="false">
      <c r="A34" s="1" t="n">
        <v>8</v>
      </c>
      <c r="B34" s="14" t="s">
        <v>88</v>
      </c>
      <c r="C34" s="14" t="s">
        <v>20</v>
      </c>
      <c r="D34" s="19" t="s">
        <v>89</v>
      </c>
      <c r="E34" s="20"/>
      <c r="F34" s="19"/>
      <c r="G34" s="19"/>
      <c r="H34" s="19" t="n">
        <v>2060</v>
      </c>
      <c r="I34" s="14" t="n">
        <v>1200</v>
      </c>
      <c r="J34" s="14"/>
      <c r="K34" s="14" t="n">
        <v>800</v>
      </c>
      <c r="L34" s="16"/>
      <c r="M34" s="17" t="n">
        <v>45868</v>
      </c>
      <c r="N34" s="14" t="n">
        <f aca="false">DAY(M34)</f>
        <v>30</v>
      </c>
      <c r="O34" s="14" t="str">
        <f aca="false">TEXT(M34,"DDDD")</f>
        <v>miércoles</v>
      </c>
      <c r="P34" s="18" t="n">
        <f aca="false">MONTH(M34)</f>
        <v>7</v>
      </c>
      <c r="Q34" s="14" t="str">
        <f aca="false">TEXT(M34,"MMMM")</f>
        <v>julio</v>
      </c>
    </row>
    <row r="35" customFormat="false" ht="14.25" hidden="false" customHeight="false" outlineLevel="0" collapsed="false">
      <c r="A35" s="1" t="n">
        <v>8</v>
      </c>
      <c r="B35" s="14" t="s">
        <v>90</v>
      </c>
      <c r="C35" s="14" t="s">
        <v>20</v>
      </c>
      <c r="D35" s="19" t="s">
        <v>82</v>
      </c>
      <c r="E35" s="20"/>
      <c r="F35" s="19"/>
      <c r="G35" s="19"/>
      <c r="H35" s="19" t="n">
        <v>2640</v>
      </c>
      <c r="I35" s="14" t="n">
        <v>1200</v>
      </c>
      <c r="J35" s="14"/>
      <c r="K35" s="14" t="n">
        <v>1380</v>
      </c>
      <c r="L35" s="16"/>
      <c r="M35" s="17" t="n">
        <v>45868</v>
      </c>
      <c r="N35" s="14" t="n">
        <f aca="false">DAY(M35)</f>
        <v>30</v>
      </c>
      <c r="O35" s="14" t="str">
        <f aca="false">TEXT(M35,"DDDD")</f>
        <v>miércoles</v>
      </c>
      <c r="P35" s="18" t="n">
        <f aca="false">MONTH(M35)</f>
        <v>7</v>
      </c>
      <c r="Q35" s="14" t="str">
        <f aca="false">TEXT(M35,"MMMM")</f>
        <v>julio</v>
      </c>
      <c r="R35" s="21" t="s">
        <v>83</v>
      </c>
      <c r="S35" s="1" t="n">
        <v>29719.5</v>
      </c>
    </row>
    <row r="36" customFormat="false" ht="14.25" hidden="false" customHeight="false" outlineLevel="0" collapsed="false">
      <c r="A36" s="1" t="n">
        <v>8</v>
      </c>
      <c r="B36" s="14" t="s">
        <v>91</v>
      </c>
      <c r="C36" s="14" t="s">
        <v>38</v>
      </c>
      <c r="D36" s="19" t="s">
        <v>82</v>
      </c>
      <c r="E36" s="20"/>
      <c r="F36" s="19"/>
      <c r="G36" s="19"/>
      <c r="H36" s="19" t="n">
        <v>2520</v>
      </c>
      <c r="I36" s="14" t="n">
        <v>1200</v>
      </c>
      <c r="J36" s="14"/>
      <c r="K36" s="14" t="n">
        <v>1260</v>
      </c>
      <c r="L36" s="16"/>
      <c r="M36" s="17" t="n">
        <v>45868</v>
      </c>
      <c r="N36" s="14" t="n">
        <f aca="false">DAY(M36)</f>
        <v>30</v>
      </c>
      <c r="O36" s="14" t="str">
        <f aca="false">TEXT(M36,"DDDD")</f>
        <v>miércoles</v>
      </c>
      <c r="P36" s="18" t="n">
        <f aca="false">MONTH(M36)</f>
        <v>7</v>
      </c>
      <c r="Q36" s="14" t="str">
        <f aca="false">TEXT(M36,"MMMM")</f>
        <v>julio</v>
      </c>
    </row>
    <row r="37" customFormat="false" ht="14.25" hidden="false" customHeight="false" outlineLevel="0" collapsed="false">
      <c r="A37" s="1" t="n">
        <v>9</v>
      </c>
      <c r="B37" s="14" t="s">
        <v>92</v>
      </c>
      <c r="C37" s="14" t="s">
        <v>38</v>
      </c>
      <c r="D37" s="14" t="s">
        <v>93</v>
      </c>
      <c r="E37" s="15"/>
      <c r="F37" s="14"/>
      <c r="G37" s="14"/>
      <c r="H37" s="14" t="n">
        <v>1960</v>
      </c>
      <c r="I37" s="14" t="n">
        <v>1200</v>
      </c>
      <c r="J37" s="14"/>
      <c r="K37" s="14" t="n">
        <v>700</v>
      </c>
      <c r="L37" s="16"/>
      <c r="M37" s="17" t="n">
        <v>45870</v>
      </c>
      <c r="N37" s="14" t="n">
        <f aca="false">DAY(M37)</f>
        <v>1</v>
      </c>
      <c r="O37" s="14" t="str">
        <f aca="false">TEXT(M37,"DDDD")</f>
        <v>viernes</v>
      </c>
      <c r="P37" s="18" t="n">
        <f aca="false">MONTH(M37)</f>
        <v>8</v>
      </c>
      <c r="Q37" s="14" t="str">
        <f aca="false">TEXT(M37,"MMMM")</f>
        <v>agosto</v>
      </c>
    </row>
    <row r="38" customFormat="false" ht="14.25" hidden="false" customHeight="false" outlineLevel="0" collapsed="false">
      <c r="A38" s="1" t="n">
        <v>9</v>
      </c>
      <c r="B38" s="14" t="s">
        <v>94</v>
      </c>
      <c r="C38" s="14" t="s">
        <v>20</v>
      </c>
      <c r="D38" s="14" t="s">
        <v>95</v>
      </c>
      <c r="E38" s="15"/>
      <c r="F38" s="14" t="s">
        <v>96</v>
      </c>
      <c r="G38" s="14"/>
      <c r="H38" s="14" t="n">
        <v>3500</v>
      </c>
      <c r="I38" s="14" t="n">
        <v>2100</v>
      </c>
      <c r="J38" s="14"/>
      <c r="K38" s="14" t="n">
        <v>1280</v>
      </c>
      <c r="L38" s="16"/>
      <c r="M38" s="17" t="n">
        <v>45870</v>
      </c>
      <c r="N38" s="14" t="n">
        <f aca="false">DAY(M38)</f>
        <v>1</v>
      </c>
      <c r="O38" s="14" t="str">
        <f aca="false">TEXT(M38,"DDDD")</f>
        <v>viernes</v>
      </c>
      <c r="P38" s="18" t="n">
        <f aca="false">MONTH(M38)</f>
        <v>8</v>
      </c>
      <c r="Q38" s="14" t="str">
        <f aca="false">TEXT(M38,"MMMM")</f>
        <v>agosto</v>
      </c>
    </row>
    <row r="39" customFormat="false" ht="14.25" hidden="false" customHeight="false" outlineLevel="0" collapsed="false">
      <c r="A39" s="1" t="n">
        <v>9</v>
      </c>
      <c r="B39" s="14" t="s">
        <v>97</v>
      </c>
      <c r="C39" s="14" t="s">
        <v>20</v>
      </c>
      <c r="D39" s="14" t="s">
        <v>98</v>
      </c>
      <c r="E39" s="15"/>
      <c r="F39" s="14"/>
      <c r="G39" s="14"/>
      <c r="H39" s="14" t="n">
        <v>3500</v>
      </c>
      <c r="I39" s="14" t="n">
        <v>2840</v>
      </c>
      <c r="J39" s="14"/>
      <c r="K39" s="14" t="n">
        <v>600</v>
      </c>
      <c r="L39" s="16"/>
      <c r="M39" s="17" t="n">
        <v>45870</v>
      </c>
      <c r="N39" s="14" t="n">
        <f aca="false">DAY(M39)</f>
        <v>1</v>
      </c>
      <c r="O39" s="14" t="str">
        <f aca="false">TEXT(M39,"DDDD")</f>
        <v>viernes</v>
      </c>
      <c r="P39" s="18" t="n">
        <f aca="false">MONTH(M39)</f>
        <v>8</v>
      </c>
      <c r="Q39" s="14" t="str">
        <f aca="false">TEXT(M39,"MMMM")</f>
        <v>agosto</v>
      </c>
    </row>
    <row r="40" customFormat="false" ht="14.25" hidden="false" customHeight="false" outlineLevel="0" collapsed="false">
      <c r="A40" s="1" t="n">
        <v>8</v>
      </c>
      <c r="B40" s="14" t="s">
        <v>99</v>
      </c>
      <c r="C40" s="14" t="s">
        <v>38</v>
      </c>
      <c r="D40" s="14" t="s">
        <v>65</v>
      </c>
      <c r="E40" s="15"/>
      <c r="F40" s="14"/>
      <c r="G40" s="14"/>
      <c r="H40" s="14" t="n">
        <v>4400</v>
      </c>
      <c r="I40" s="14" t="n">
        <v>3680</v>
      </c>
      <c r="J40" s="14" t="n">
        <v>40</v>
      </c>
      <c r="K40" s="14" t="n">
        <v>620</v>
      </c>
      <c r="L40" s="16"/>
      <c r="M40" s="17" t="n">
        <v>45870</v>
      </c>
      <c r="N40" s="14" t="n">
        <f aca="false">DAY(M40)</f>
        <v>1</v>
      </c>
      <c r="O40" s="14" t="str">
        <f aca="false">TEXT(M40,"DDDD")</f>
        <v>viernes</v>
      </c>
      <c r="P40" s="18" t="n">
        <f aca="false">MONTH(M40)</f>
        <v>8</v>
      </c>
      <c r="Q40" s="14" t="str">
        <f aca="false">TEXT(M40,"MMMM")</f>
        <v>agosto</v>
      </c>
    </row>
    <row r="41" customFormat="false" ht="14.25" hidden="false" customHeight="false" outlineLevel="0" collapsed="false">
      <c r="A41" s="1" t="n">
        <v>8</v>
      </c>
      <c r="B41" s="14" t="s">
        <v>100</v>
      </c>
      <c r="C41" s="14" t="s">
        <v>20</v>
      </c>
      <c r="D41" s="14" t="s">
        <v>101</v>
      </c>
      <c r="E41" s="15"/>
      <c r="F41" s="14"/>
      <c r="G41" s="14"/>
      <c r="H41" s="14" t="n">
        <v>3880</v>
      </c>
      <c r="I41" s="14" t="n">
        <v>2340</v>
      </c>
      <c r="J41" s="14"/>
      <c r="K41" s="14" t="n">
        <v>1480</v>
      </c>
      <c r="L41" s="16"/>
      <c r="M41" s="17" t="n">
        <v>45870</v>
      </c>
      <c r="N41" s="14" t="n">
        <f aca="false">DAY(M41)</f>
        <v>1</v>
      </c>
      <c r="O41" s="14" t="str">
        <f aca="false">TEXT(M41,"DDDD")</f>
        <v>viernes</v>
      </c>
      <c r="P41" s="18" t="n">
        <f aca="false">MONTH(M41)</f>
        <v>8</v>
      </c>
      <c r="Q41" s="14" t="str">
        <f aca="false">TEXT(M41,"MMMM")</f>
        <v>agosto</v>
      </c>
    </row>
    <row r="42" customFormat="false" ht="14.25" hidden="false" customHeight="false" outlineLevel="0" collapsed="false">
      <c r="A42" s="1" t="n">
        <v>7</v>
      </c>
      <c r="B42" s="14" t="s">
        <v>102</v>
      </c>
      <c r="C42" s="14" t="s">
        <v>38</v>
      </c>
      <c r="D42" s="14" t="s">
        <v>103</v>
      </c>
      <c r="E42" s="15"/>
      <c r="F42" s="14"/>
      <c r="G42" s="14"/>
      <c r="H42" s="14" t="n">
        <v>2860</v>
      </c>
      <c r="I42" s="14" t="n">
        <v>1200</v>
      </c>
      <c r="J42" s="14"/>
      <c r="K42" s="14" t="n">
        <v>1600</v>
      </c>
      <c r="L42" s="16"/>
      <c r="M42" s="17" t="n">
        <v>45870</v>
      </c>
      <c r="N42" s="14" t="n">
        <f aca="false">DAY(M42)</f>
        <v>1</v>
      </c>
      <c r="O42" s="14" t="str">
        <f aca="false">TEXT(M42,"DDDD")</f>
        <v>viernes</v>
      </c>
      <c r="P42" s="18" t="n">
        <f aca="false">MONTH(M42)</f>
        <v>8</v>
      </c>
      <c r="Q42" s="14" t="str">
        <f aca="false">TEXT(M42,"MMMM")</f>
        <v>agosto</v>
      </c>
    </row>
    <row r="43" customFormat="false" ht="14.25" hidden="false" customHeight="false" outlineLevel="0" collapsed="false">
      <c r="A43" s="1" t="n">
        <v>7</v>
      </c>
      <c r="B43" s="14" t="s">
        <v>104</v>
      </c>
      <c r="C43" s="14" t="s">
        <v>38</v>
      </c>
      <c r="D43" s="14" t="s">
        <v>105</v>
      </c>
      <c r="E43" s="15"/>
      <c r="F43" s="14"/>
      <c r="G43" s="14"/>
      <c r="H43" s="14" t="n">
        <v>2610</v>
      </c>
      <c r="I43" s="14" t="n">
        <v>2050</v>
      </c>
      <c r="J43" s="14"/>
      <c r="K43" s="14" t="n">
        <v>500</v>
      </c>
      <c r="L43" s="16"/>
      <c r="M43" s="17" t="n">
        <v>45870</v>
      </c>
      <c r="N43" s="14" t="n">
        <f aca="false">DAY(M43)</f>
        <v>1</v>
      </c>
      <c r="O43" s="14" t="str">
        <f aca="false">TEXT(M43,"DDDD")</f>
        <v>viernes</v>
      </c>
      <c r="P43" s="18" t="n">
        <f aca="false">MONTH(M43)</f>
        <v>8</v>
      </c>
      <c r="Q43" s="14" t="str">
        <f aca="false">TEXT(M43,"MMMM")</f>
        <v>agosto</v>
      </c>
    </row>
    <row r="44" customFormat="false" ht="14.25" hidden="false" customHeight="false" outlineLevel="0" collapsed="false">
      <c r="A44" s="1" t="n">
        <v>7</v>
      </c>
      <c r="B44" s="14" t="s">
        <v>106</v>
      </c>
      <c r="C44" s="14" t="s">
        <v>38</v>
      </c>
      <c r="D44" s="14" t="s">
        <v>107</v>
      </c>
      <c r="E44" s="15"/>
      <c r="F44" s="14" t="s">
        <v>103</v>
      </c>
      <c r="G44" s="14"/>
      <c r="H44" s="14" t="n">
        <v>3570</v>
      </c>
      <c r="I44" s="14" t="n">
        <v>2320</v>
      </c>
      <c r="J44" s="14"/>
      <c r="K44" s="14" t="n">
        <v>1130</v>
      </c>
      <c r="L44" s="16"/>
      <c r="M44" s="17" t="n">
        <v>45870</v>
      </c>
      <c r="N44" s="14" t="n">
        <f aca="false">DAY(M44)</f>
        <v>1</v>
      </c>
      <c r="O44" s="14" t="str">
        <f aca="false">TEXT(M44,"DDDD")</f>
        <v>viernes</v>
      </c>
      <c r="P44" s="18" t="n">
        <f aca="false">MONTH(M44)</f>
        <v>8</v>
      </c>
      <c r="Q44" s="14" t="str">
        <f aca="false">TEXT(M44,"MMMM")</f>
        <v>agosto</v>
      </c>
    </row>
    <row r="45" customFormat="false" ht="14.25" hidden="false" customHeight="false" outlineLevel="0" collapsed="false">
      <c r="A45" s="1" t="n">
        <v>7</v>
      </c>
      <c r="B45" s="14" t="s">
        <v>108</v>
      </c>
      <c r="C45" s="14" t="s">
        <v>20</v>
      </c>
      <c r="D45" s="14" t="s">
        <v>109</v>
      </c>
      <c r="E45" s="15"/>
      <c r="F45" s="14"/>
      <c r="G45" s="14"/>
      <c r="H45" s="14" t="n">
        <v>1860</v>
      </c>
      <c r="I45" s="14" t="n">
        <v>1200</v>
      </c>
      <c r="J45" s="14"/>
      <c r="K45" s="14" t="n">
        <v>600</v>
      </c>
      <c r="L45" s="16"/>
      <c r="M45" s="17" t="n">
        <v>45870</v>
      </c>
      <c r="N45" s="14" t="n">
        <f aca="false">DAY(M45)</f>
        <v>1</v>
      </c>
      <c r="O45" s="14" t="str">
        <f aca="false">TEXT(M45,"DDDD")</f>
        <v>viernes</v>
      </c>
      <c r="P45" s="18" t="n">
        <f aca="false">MONTH(M45)</f>
        <v>8</v>
      </c>
      <c r="Q45" s="14" t="str">
        <f aca="false">TEXT(M45,"MMMM")</f>
        <v>agosto</v>
      </c>
    </row>
    <row r="46" customFormat="false" ht="14.25" hidden="false" customHeight="false" outlineLevel="0" collapsed="false">
      <c r="A46" s="1" t="n">
        <v>7</v>
      </c>
      <c r="B46" s="14" t="s">
        <v>110</v>
      </c>
      <c r="C46" s="14" t="s">
        <v>20</v>
      </c>
      <c r="D46" s="14" t="s">
        <v>111</v>
      </c>
      <c r="E46" s="15"/>
      <c r="F46" s="14"/>
      <c r="G46" s="14"/>
      <c r="H46" s="14" t="n">
        <v>1701</v>
      </c>
      <c r="I46" s="14" t="n">
        <v>1640</v>
      </c>
      <c r="J46" s="14"/>
      <c r="K46" s="14" t="n">
        <v>1</v>
      </c>
      <c r="L46" s="16"/>
      <c r="M46" s="17" t="n">
        <v>45870</v>
      </c>
      <c r="N46" s="14" t="n">
        <f aca="false">DAY(M46)</f>
        <v>1</v>
      </c>
      <c r="O46" s="14" t="str">
        <f aca="false">TEXT(M46,"DDDD")</f>
        <v>viernes</v>
      </c>
      <c r="P46" s="18" t="n">
        <f aca="false">MONTH(M46)</f>
        <v>8</v>
      </c>
      <c r="Q46" s="14" t="str">
        <f aca="false">TEXT(M46,"MMMM")</f>
        <v>agosto</v>
      </c>
    </row>
    <row r="47" customFormat="false" ht="14.25" hidden="false" customHeight="false" outlineLevel="0" collapsed="false">
      <c r="A47" s="1" t="n">
        <v>7</v>
      </c>
      <c r="B47" s="14" t="s">
        <v>112</v>
      </c>
      <c r="C47" s="14" t="s">
        <v>20</v>
      </c>
      <c r="D47" s="14" t="s">
        <v>113</v>
      </c>
      <c r="E47" s="15"/>
      <c r="F47" s="14"/>
      <c r="G47" s="14"/>
      <c r="H47" s="14" t="n">
        <v>3570</v>
      </c>
      <c r="I47" s="14" t="n">
        <v>1830</v>
      </c>
      <c r="J47" s="14"/>
      <c r="K47" s="14" t="n">
        <v>1680</v>
      </c>
      <c r="L47" s="16"/>
      <c r="M47" s="17" t="n">
        <v>45870</v>
      </c>
      <c r="N47" s="14" t="n">
        <f aca="false">DAY(M47)</f>
        <v>1</v>
      </c>
      <c r="O47" s="14" t="str">
        <f aca="false">TEXT(M47,"DDDD")</f>
        <v>viernes</v>
      </c>
      <c r="P47" s="18" t="n">
        <f aca="false">MONTH(M47)</f>
        <v>8</v>
      </c>
      <c r="Q47" s="14" t="str">
        <f aca="false">TEXT(M47,"MMMM")</f>
        <v>agosto</v>
      </c>
    </row>
    <row r="48" customFormat="false" ht="14.25" hidden="false" customHeight="false" outlineLevel="0" collapsed="false">
      <c r="A48" s="1" t="n">
        <v>7</v>
      </c>
      <c r="B48" s="14" t="s">
        <v>114</v>
      </c>
      <c r="C48" s="14" t="s">
        <v>38</v>
      </c>
      <c r="D48" s="14" t="s">
        <v>115</v>
      </c>
      <c r="E48" s="15"/>
      <c r="F48" s="14"/>
      <c r="G48" s="14"/>
      <c r="H48" s="14" t="n">
        <v>3310</v>
      </c>
      <c r="I48" s="14" t="n">
        <v>1310</v>
      </c>
      <c r="J48" s="14"/>
      <c r="K48" s="14" t="n">
        <v>1940</v>
      </c>
      <c r="L48" s="16"/>
      <c r="M48" s="17" t="n">
        <v>45870</v>
      </c>
      <c r="N48" s="14" t="n">
        <f aca="false">DAY(M48)</f>
        <v>1</v>
      </c>
      <c r="O48" s="14" t="str">
        <f aca="false">TEXT(M48,"DDDD")</f>
        <v>viernes</v>
      </c>
      <c r="P48" s="18" t="n">
        <f aca="false">MONTH(M48)</f>
        <v>8</v>
      </c>
      <c r="Q48" s="14" t="str">
        <f aca="false">TEXT(M48,"MMMM")</f>
        <v>agosto</v>
      </c>
    </row>
    <row r="49" customFormat="false" ht="14.25" hidden="false" customHeight="false" outlineLevel="0" collapsed="false">
      <c r="A49" s="1" t="n">
        <v>6</v>
      </c>
      <c r="B49" s="14" t="s">
        <v>116</v>
      </c>
      <c r="C49" s="14" t="s">
        <v>20</v>
      </c>
      <c r="D49" s="14" t="s">
        <v>117</v>
      </c>
      <c r="E49" s="15"/>
      <c r="F49" s="14"/>
      <c r="G49" s="14"/>
      <c r="H49" s="14" t="n">
        <v>2970</v>
      </c>
      <c r="I49" s="14" t="n">
        <v>2170</v>
      </c>
      <c r="J49" s="14" t="n">
        <v>40</v>
      </c>
      <c r="K49" s="14" t="n">
        <v>700</v>
      </c>
      <c r="L49" s="16"/>
      <c r="M49" s="17" t="n">
        <v>45870</v>
      </c>
      <c r="N49" s="14" t="n">
        <f aca="false">DAY(M49)</f>
        <v>1</v>
      </c>
      <c r="O49" s="14" t="str">
        <f aca="false">TEXT(M49,"DDDD")</f>
        <v>viernes</v>
      </c>
      <c r="P49" s="18" t="n">
        <f aca="false">MONTH(M49)</f>
        <v>8</v>
      </c>
      <c r="Q49" s="14" t="str">
        <f aca="false">TEXT(M49,"MMMM")</f>
        <v>agosto</v>
      </c>
    </row>
    <row r="50" customFormat="false" ht="14.25" hidden="false" customHeight="false" outlineLevel="0" collapsed="false">
      <c r="A50" s="1" t="n">
        <v>6</v>
      </c>
      <c r="B50" s="14" t="s">
        <v>118</v>
      </c>
      <c r="C50" s="14" t="s">
        <v>38</v>
      </c>
      <c r="D50" s="14" t="s">
        <v>119</v>
      </c>
      <c r="E50" s="15"/>
      <c r="F50" s="14"/>
      <c r="G50" s="14"/>
      <c r="H50" s="14" t="n">
        <v>2520</v>
      </c>
      <c r="I50" s="14" t="n">
        <v>2460</v>
      </c>
      <c r="J50" s="14"/>
      <c r="K50" s="14"/>
      <c r="L50" s="16"/>
      <c r="M50" s="17" t="n">
        <v>45870</v>
      </c>
      <c r="N50" s="14" t="n">
        <f aca="false">DAY(M50)</f>
        <v>1</v>
      </c>
      <c r="O50" s="14" t="str">
        <f aca="false">TEXT(M50,"DDDD")</f>
        <v>viernes</v>
      </c>
      <c r="P50" s="18" t="n">
        <f aca="false">MONTH(M50)</f>
        <v>8</v>
      </c>
      <c r="Q50" s="14" t="str">
        <f aca="false">TEXT(M50,"MMMM")</f>
        <v>agosto</v>
      </c>
    </row>
    <row r="51" customFormat="false" ht="14.25" hidden="false" customHeight="false" outlineLevel="0" collapsed="false">
      <c r="A51" s="1" t="n">
        <v>6</v>
      </c>
      <c r="B51" s="14" t="s">
        <v>120</v>
      </c>
      <c r="C51" s="14" t="s">
        <v>20</v>
      </c>
      <c r="D51" s="14" t="s">
        <v>117</v>
      </c>
      <c r="E51" s="15"/>
      <c r="F51" s="14"/>
      <c r="G51" s="14"/>
      <c r="H51" s="14" t="n">
        <v>3110</v>
      </c>
      <c r="I51" s="14" t="n">
        <v>2270</v>
      </c>
      <c r="J51" s="14"/>
      <c r="K51" s="14" t="n">
        <v>780</v>
      </c>
      <c r="L51" s="16"/>
      <c r="M51" s="17" t="n">
        <v>45870</v>
      </c>
      <c r="N51" s="14" t="n">
        <f aca="false">DAY(M51)</f>
        <v>1</v>
      </c>
      <c r="O51" s="14" t="str">
        <f aca="false">TEXT(M51,"DDDD")</f>
        <v>viernes</v>
      </c>
      <c r="P51" s="18" t="n">
        <f aca="false">MONTH(M51)</f>
        <v>8</v>
      </c>
      <c r="Q51" s="14" t="str">
        <f aca="false">TEXT(M51,"MMMM")</f>
        <v>agosto</v>
      </c>
    </row>
    <row r="52" customFormat="false" ht="14.25" hidden="false" customHeight="false" outlineLevel="0" collapsed="false">
      <c r="A52" s="1" t="n">
        <v>12</v>
      </c>
      <c r="B52" s="14" t="s">
        <v>121</v>
      </c>
      <c r="C52" s="14" t="s">
        <v>20</v>
      </c>
      <c r="D52" s="14" t="s">
        <v>122</v>
      </c>
      <c r="E52" s="15"/>
      <c r="F52" s="14"/>
      <c r="G52" s="14"/>
      <c r="H52" s="14" t="n">
        <v>2380</v>
      </c>
      <c r="I52" s="14" t="n">
        <v>1640</v>
      </c>
      <c r="J52" s="14"/>
      <c r="K52" s="14" t="n">
        <v>680</v>
      </c>
      <c r="L52" s="16"/>
      <c r="M52" s="17" t="n">
        <v>45871</v>
      </c>
      <c r="N52" s="14" t="n">
        <f aca="false">DAY(M52)</f>
        <v>2</v>
      </c>
      <c r="O52" s="14" t="str">
        <f aca="false">TEXT(M52,"DDDD")</f>
        <v>sábado</v>
      </c>
      <c r="P52" s="18" t="n">
        <f aca="false">MONTH(M52)</f>
        <v>8</v>
      </c>
      <c r="Q52" s="14" t="str">
        <f aca="false">TEXT(M52,"MMMM")</f>
        <v>agosto</v>
      </c>
    </row>
    <row r="53" customFormat="false" ht="14.25" hidden="false" customHeight="false" outlineLevel="0" collapsed="false">
      <c r="A53" s="1" t="n">
        <v>12</v>
      </c>
      <c r="B53" s="14" t="s">
        <v>123</v>
      </c>
      <c r="C53" s="14" t="s">
        <v>38</v>
      </c>
      <c r="D53" s="14" t="s">
        <v>124</v>
      </c>
      <c r="E53" s="15"/>
      <c r="F53" s="14"/>
      <c r="G53" s="14"/>
      <c r="H53" s="14" t="n">
        <v>4050</v>
      </c>
      <c r="I53" s="14" t="n">
        <v>1990</v>
      </c>
      <c r="J53" s="14"/>
      <c r="K53" s="14" t="n">
        <v>2000</v>
      </c>
      <c r="L53" s="16"/>
      <c r="M53" s="17" t="n">
        <v>45871</v>
      </c>
      <c r="N53" s="14" t="n">
        <f aca="false">DAY(M53)</f>
        <v>2</v>
      </c>
      <c r="O53" s="14" t="str">
        <f aca="false">TEXT(M53,"DDDD")</f>
        <v>sábado</v>
      </c>
      <c r="P53" s="18" t="n">
        <f aca="false">MONTH(M53)</f>
        <v>8</v>
      </c>
      <c r="Q53" s="14" t="str">
        <f aca="false">TEXT(M53,"MMMM")</f>
        <v>agosto</v>
      </c>
    </row>
    <row r="54" customFormat="false" ht="14.25" hidden="false" customHeight="false" outlineLevel="0" collapsed="false">
      <c r="A54" s="1" t="n">
        <v>11</v>
      </c>
      <c r="B54" s="14" t="s">
        <v>125</v>
      </c>
      <c r="C54" s="14" t="s">
        <v>20</v>
      </c>
      <c r="D54" s="14" t="s">
        <v>126</v>
      </c>
      <c r="E54" s="15"/>
      <c r="F54" s="14"/>
      <c r="G54" s="14"/>
      <c r="H54" s="14" t="n">
        <v>4780</v>
      </c>
      <c r="I54" s="14" t="n">
        <v>2220</v>
      </c>
      <c r="J54" s="14"/>
      <c r="K54" s="14" t="n">
        <v>2500</v>
      </c>
      <c r="L54" s="16"/>
      <c r="M54" s="17" t="n">
        <v>45871</v>
      </c>
      <c r="N54" s="14" t="n">
        <f aca="false">DAY(M54)</f>
        <v>2</v>
      </c>
      <c r="O54" s="14" t="str">
        <f aca="false">TEXT(M54,"DDDD")</f>
        <v>sábado</v>
      </c>
      <c r="P54" s="18" t="n">
        <f aca="false">MONTH(M54)</f>
        <v>8</v>
      </c>
      <c r="Q54" s="14" t="str">
        <f aca="false">TEXT(M54,"MMMM")</f>
        <v>agosto</v>
      </c>
    </row>
    <row r="55" customFormat="false" ht="14.25" hidden="false" customHeight="false" outlineLevel="0" collapsed="false">
      <c r="A55" s="1" t="n">
        <v>11</v>
      </c>
      <c r="B55" s="22" t="s">
        <v>127</v>
      </c>
      <c r="C55" s="14" t="s">
        <v>20</v>
      </c>
      <c r="D55" s="14" t="s">
        <v>128</v>
      </c>
      <c r="E55" s="15"/>
      <c r="F55" s="14" t="s">
        <v>129</v>
      </c>
      <c r="G55" s="14"/>
      <c r="H55" s="14" t="n">
        <v>6670</v>
      </c>
      <c r="I55" s="14" t="n">
        <v>4910</v>
      </c>
      <c r="J55" s="14" t="n">
        <v>40</v>
      </c>
      <c r="K55" s="14" t="n">
        <v>1600</v>
      </c>
      <c r="L55" s="16"/>
      <c r="M55" s="17" t="n">
        <v>45871</v>
      </c>
      <c r="N55" s="14" t="n">
        <f aca="false">DAY(M55)</f>
        <v>2</v>
      </c>
      <c r="O55" s="14" t="str">
        <f aca="false">TEXT(M55,"DDDD")</f>
        <v>sábado</v>
      </c>
      <c r="P55" s="18" t="n">
        <f aca="false">MONTH(M55)</f>
        <v>8</v>
      </c>
      <c r="Q55" s="14" t="str">
        <f aca="false">TEXT(M55,"MMMM")</f>
        <v>agosto</v>
      </c>
    </row>
    <row r="56" customFormat="false" ht="14.25" hidden="false" customHeight="false" outlineLevel="0" collapsed="false">
      <c r="A56" s="1" t="n">
        <v>11</v>
      </c>
      <c r="B56" s="14" t="s">
        <v>130</v>
      </c>
      <c r="C56" s="14" t="s">
        <v>20</v>
      </c>
      <c r="D56" s="14" t="s">
        <v>131</v>
      </c>
      <c r="E56" s="15"/>
      <c r="F56" s="14"/>
      <c r="G56" s="14"/>
      <c r="H56" s="14" t="n">
        <v>3160</v>
      </c>
      <c r="I56" s="14" t="n">
        <v>1200</v>
      </c>
      <c r="J56" s="14"/>
      <c r="K56" s="14" t="n">
        <v>1900</v>
      </c>
      <c r="L56" s="16"/>
      <c r="M56" s="17" t="n">
        <v>45871</v>
      </c>
      <c r="N56" s="14" t="n">
        <f aca="false">DAY(M56)</f>
        <v>2</v>
      </c>
      <c r="O56" s="14" t="str">
        <f aca="false">TEXT(M56,"DDDD")</f>
        <v>sábado</v>
      </c>
      <c r="P56" s="18" t="n">
        <f aca="false">MONTH(M56)</f>
        <v>8</v>
      </c>
      <c r="Q56" s="14" t="str">
        <f aca="false">TEXT(M56,"MMMM")</f>
        <v>agosto</v>
      </c>
    </row>
    <row r="57" customFormat="false" ht="14.25" hidden="false" customHeight="false" outlineLevel="0" collapsed="false">
      <c r="A57" s="1" t="n">
        <v>11</v>
      </c>
      <c r="B57" s="14" t="s">
        <v>132</v>
      </c>
      <c r="C57" s="14" t="s">
        <v>20</v>
      </c>
      <c r="D57" s="14" t="s">
        <v>133</v>
      </c>
      <c r="E57" s="15"/>
      <c r="F57" s="14" t="s">
        <v>134</v>
      </c>
      <c r="G57" s="14"/>
      <c r="H57" s="14" t="n">
        <v>4830</v>
      </c>
      <c r="I57" s="14" t="n">
        <v>2520</v>
      </c>
      <c r="J57" s="14"/>
      <c r="K57" s="14" t="n">
        <v>2190</v>
      </c>
      <c r="L57" s="16"/>
      <c r="M57" s="17" t="n">
        <v>45871</v>
      </c>
      <c r="N57" s="14" t="n">
        <f aca="false">DAY(M57)</f>
        <v>2</v>
      </c>
      <c r="O57" s="14" t="str">
        <f aca="false">TEXT(M57,"DDDD")</f>
        <v>sábado</v>
      </c>
      <c r="P57" s="18" t="n">
        <f aca="false">MONTH(M57)</f>
        <v>8</v>
      </c>
      <c r="Q57" s="14" t="str">
        <f aca="false">TEXT(M57,"MMMM")</f>
        <v>agosto</v>
      </c>
    </row>
    <row r="58" customFormat="false" ht="14.25" hidden="false" customHeight="false" outlineLevel="0" collapsed="false">
      <c r="A58" s="1" t="n">
        <v>10</v>
      </c>
      <c r="B58" s="14" t="s">
        <v>135</v>
      </c>
      <c r="C58" s="14" t="s">
        <v>20</v>
      </c>
      <c r="D58" s="14" t="s">
        <v>136</v>
      </c>
      <c r="E58" s="15"/>
      <c r="F58" s="14"/>
      <c r="G58" s="14"/>
      <c r="H58" s="14" t="n">
        <v>3490</v>
      </c>
      <c r="I58" s="14" t="n">
        <v>2590</v>
      </c>
      <c r="J58" s="14"/>
      <c r="K58" s="14" t="n">
        <v>840</v>
      </c>
      <c r="L58" s="16"/>
      <c r="M58" s="17" t="n">
        <v>45871</v>
      </c>
      <c r="N58" s="14" t="n">
        <f aca="false">DAY(M58)</f>
        <v>2</v>
      </c>
      <c r="O58" s="14" t="str">
        <f aca="false">TEXT(M58,"DDDD")</f>
        <v>sábado</v>
      </c>
      <c r="P58" s="18" t="n">
        <f aca="false">MONTH(M58)</f>
        <v>8</v>
      </c>
      <c r="Q58" s="14" t="str">
        <f aca="false">TEXT(M58,"MMMM")</f>
        <v>agosto</v>
      </c>
    </row>
    <row r="59" customFormat="false" ht="14.25" hidden="false" customHeight="false" outlineLevel="0" collapsed="false">
      <c r="A59" s="1" t="n">
        <v>10</v>
      </c>
      <c r="B59" s="14" t="s">
        <v>137</v>
      </c>
      <c r="C59" s="14" t="s">
        <v>20</v>
      </c>
      <c r="D59" s="14" t="s">
        <v>138</v>
      </c>
      <c r="E59" s="15"/>
      <c r="F59" s="14" t="s">
        <v>138</v>
      </c>
      <c r="G59" s="14"/>
      <c r="H59" s="14" t="n">
        <v>6250</v>
      </c>
      <c r="I59" s="14" t="n">
        <v>3190</v>
      </c>
      <c r="J59" s="14"/>
      <c r="K59" s="14" t="n">
        <v>2940</v>
      </c>
      <c r="L59" s="16"/>
      <c r="M59" s="17" t="n">
        <v>45871</v>
      </c>
      <c r="N59" s="14" t="n">
        <f aca="false">DAY(M59)</f>
        <v>2</v>
      </c>
      <c r="O59" s="14" t="str">
        <f aca="false">TEXT(M59,"DDDD")</f>
        <v>sábado</v>
      </c>
      <c r="P59" s="18" t="n">
        <f aca="false">MONTH(M59)</f>
        <v>8</v>
      </c>
      <c r="Q59" s="14" t="str">
        <f aca="false">TEXT(M59,"MMMM")</f>
        <v>agosto</v>
      </c>
    </row>
    <row r="60" customFormat="false" ht="14.25" hidden="false" customHeight="false" outlineLevel="0" collapsed="false">
      <c r="A60" s="1" t="n">
        <v>10</v>
      </c>
      <c r="B60" s="14" t="s">
        <v>139</v>
      </c>
      <c r="C60" s="14" t="s">
        <v>140</v>
      </c>
      <c r="D60" s="14" t="s">
        <v>141</v>
      </c>
      <c r="E60" s="15"/>
      <c r="F60" s="14"/>
      <c r="G60" s="14"/>
      <c r="H60" s="14" t="n">
        <v>3040</v>
      </c>
      <c r="I60" s="14" t="n">
        <v>1500</v>
      </c>
      <c r="J60" s="14"/>
      <c r="K60" s="14" t="n">
        <v>1480</v>
      </c>
      <c r="L60" s="16"/>
      <c r="M60" s="17" t="n">
        <v>45871</v>
      </c>
      <c r="N60" s="14" t="n">
        <f aca="false">DAY(M60)</f>
        <v>2</v>
      </c>
      <c r="O60" s="14" t="str">
        <f aca="false">TEXT(M60,"DDDD")</f>
        <v>sábado</v>
      </c>
      <c r="P60" s="18" t="n">
        <f aca="false">MONTH(M60)</f>
        <v>8</v>
      </c>
      <c r="Q60" s="14" t="str">
        <f aca="false">TEXT(M60,"MMMM")</f>
        <v>agosto</v>
      </c>
    </row>
    <row r="61" customFormat="false" ht="14.25" hidden="false" customHeight="false" outlineLevel="0" collapsed="false">
      <c r="A61" s="1" t="n">
        <v>10</v>
      </c>
      <c r="B61" s="14" t="s">
        <v>142</v>
      </c>
      <c r="C61" s="14" t="s">
        <v>20</v>
      </c>
      <c r="D61" s="14" t="s">
        <v>143</v>
      </c>
      <c r="E61" s="15"/>
      <c r="F61" s="14"/>
      <c r="G61" s="14"/>
      <c r="H61" s="14" t="n">
        <v>3340</v>
      </c>
      <c r="I61" s="14" t="n">
        <v>2080</v>
      </c>
      <c r="J61" s="14"/>
      <c r="K61" s="14" t="n">
        <v>1200</v>
      </c>
      <c r="L61" s="16"/>
      <c r="M61" s="17" t="n">
        <v>45871</v>
      </c>
      <c r="N61" s="14" t="n">
        <f aca="false">DAY(M61)</f>
        <v>2</v>
      </c>
      <c r="O61" s="14" t="str">
        <f aca="false">TEXT(M61,"DDDD")</f>
        <v>sábado</v>
      </c>
      <c r="P61" s="18" t="n">
        <f aca="false">MONTH(M61)</f>
        <v>8</v>
      </c>
      <c r="Q61" s="14" t="str">
        <f aca="false">TEXT(M61,"MMMM")</f>
        <v>agosto</v>
      </c>
    </row>
    <row r="62" customFormat="false" ht="14.25" hidden="false" customHeight="false" outlineLevel="0" collapsed="false">
      <c r="A62" s="1" t="n">
        <v>8</v>
      </c>
      <c r="B62" s="14" t="s">
        <v>144</v>
      </c>
      <c r="C62" s="14" t="s">
        <v>20</v>
      </c>
      <c r="D62" s="14" t="s">
        <v>145</v>
      </c>
      <c r="E62" s="15"/>
      <c r="F62" s="14" t="s">
        <v>146</v>
      </c>
      <c r="G62" s="14"/>
      <c r="H62" s="14" t="n">
        <v>2960</v>
      </c>
      <c r="I62" s="14" t="n">
        <v>2100</v>
      </c>
      <c r="J62" s="14"/>
      <c r="K62" s="14" t="n">
        <v>740</v>
      </c>
      <c r="L62" s="16"/>
      <c r="M62" s="17" t="n">
        <v>45871</v>
      </c>
      <c r="N62" s="14" t="n">
        <f aca="false">DAY(M62)</f>
        <v>2</v>
      </c>
      <c r="O62" s="14" t="str">
        <f aca="false">TEXT(M62,"DDDD")</f>
        <v>sábado</v>
      </c>
      <c r="P62" s="18" t="n">
        <f aca="false">MONTH(M62)</f>
        <v>8</v>
      </c>
      <c r="Q62" s="14" t="str">
        <f aca="false">TEXT(M62,"MMMM")</f>
        <v>agosto</v>
      </c>
    </row>
    <row r="63" customFormat="false" ht="14.25" hidden="false" customHeight="false" outlineLevel="0" collapsed="false">
      <c r="A63" s="1" t="n">
        <v>8</v>
      </c>
      <c r="B63" s="14" t="s">
        <v>147</v>
      </c>
      <c r="C63" s="14" t="s">
        <v>20</v>
      </c>
      <c r="D63" s="14" t="s">
        <v>148</v>
      </c>
      <c r="E63" s="15"/>
      <c r="F63" s="14"/>
      <c r="G63" s="14"/>
      <c r="H63" s="14" t="n">
        <v>1580</v>
      </c>
      <c r="I63" s="14" t="n">
        <v>1200</v>
      </c>
      <c r="J63" s="14"/>
      <c r="K63" s="14" t="n">
        <v>320</v>
      </c>
      <c r="L63" s="16"/>
      <c r="M63" s="17" t="n">
        <v>45871</v>
      </c>
      <c r="N63" s="14" t="n">
        <f aca="false">DAY(M63)</f>
        <v>2</v>
      </c>
      <c r="O63" s="14" t="str">
        <f aca="false">TEXT(M63,"DDDD")</f>
        <v>sábado</v>
      </c>
      <c r="P63" s="18" t="n">
        <f aca="false">MONTH(M63)</f>
        <v>8</v>
      </c>
      <c r="Q63" s="14" t="str">
        <f aca="false">TEXT(M63,"MMMM")</f>
        <v>agosto</v>
      </c>
    </row>
    <row r="64" customFormat="false" ht="14.25" hidden="false" customHeight="false" outlineLevel="0" collapsed="false">
      <c r="A64" s="1" t="n">
        <v>8</v>
      </c>
      <c r="B64" s="14" t="s">
        <v>149</v>
      </c>
      <c r="C64" s="14" t="s">
        <v>38</v>
      </c>
      <c r="D64" s="14" t="s">
        <v>150</v>
      </c>
      <c r="E64" s="15"/>
      <c r="F64" s="14" t="s">
        <v>150</v>
      </c>
      <c r="G64" s="14"/>
      <c r="H64" s="14" t="n">
        <v>4060</v>
      </c>
      <c r="I64" s="14" t="n">
        <v>1800</v>
      </c>
      <c r="J64" s="14"/>
      <c r="K64" s="14" t="n">
        <v>2140</v>
      </c>
      <c r="L64" s="16"/>
      <c r="M64" s="17" t="n">
        <v>45871</v>
      </c>
      <c r="N64" s="14" t="n">
        <f aca="false">DAY(M64)</f>
        <v>2</v>
      </c>
      <c r="O64" s="14" t="str">
        <f aca="false">TEXT(M64,"DDDD")</f>
        <v>sábado</v>
      </c>
      <c r="P64" s="18" t="n">
        <f aca="false">MONTH(M64)</f>
        <v>8</v>
      </c>
      <c r="Q64" s="14" t="str">
        <f aca="false">TEXT(M64,"MMMM")</f>
        <v>agosto</v>
      </c>
    </row>
    <row r="65" customFormat="false" ht="14.25" hidden="false" customHeight="false" outlineLevel="0" collapsed="false">
      <c r="A65" s="1" t="n">
        <v>8</v>
      </c>
      <c r="B65" s="14" t="s">
        <v>151</v>
      </c>
      <c r="C65" s="14" t="s">
        <v>38</v>
      </c>
      <c r="D65" s="14" t="s">
        <v>152</v>
      </c>
      <c r="E65" s="15"/>
      <c r="F65" s="14"/>
      <c r="G65" s="14"/>
      <c r="H65" s="14" t="n">
        <v>1260</v>
      </c>
      <c r="I65" s="14" t="n">
        <v>1200</v>
      </c>
      <c r="J65" s="14"/>
      <c r="K65" s="14"/>
      <c r="L65" s="16"/>
      <c r="M65" s="17" t="n">
        <v>45871</v>
      </c>
      <c r="N65" s="14" t="n">
        <f aca="false">DAY(M65)</f>
        <v>2</v>
      </c>
      <c r="O65" s="14" t="str">
        <f aca="false">TEXT(M65,"DDDD")</f>
        <v>sábado</v>
      </c>
      <c r="P65" s="18" t="n">
        <f aca="false">MONTH(M65)</f>
        <v>8</v>
      </c>
      <c r="Q65" s="14" t="str">
        <f aca="false">TEXT(M65,"MMMM")</f>
        <v>agosto</v>
      </c>
    </row>
    <row r="66" customFormat="false" ht="14.25" hidden="false" customHeight="false" outlineLevel="0" collapsed="false">
      <c r="A66" s="1" t="n">
        <v>7</v>
      </c>
      <c r="B66" s="14" t="s">
        <v>153</v>
      </c>
      <c r="C66" s="14" t="s">
        <v>38</v>
      </c>
      <c r="D66" s="14" t="s">
        <v>82</v>
      </c>
      <c r="E66" s="15"/>
      <c r="F66" s="14"/>
      <c r="G66" s="14"/>
      <c r="H66" s="14" t="n">
        <v>1600</v>
      </c>
      <c r="I66" s="14" t="n">
        <v>1200</v>
      </c>
      <c r="J66" s="14"/>
      <c r="K66" s="14" t="n">
        <v>340</v>
      </c>
      <c r="L66" s="16"/>
      <c r="M66" s="17" t="n">
        <v>45871</v>
      </c>
      <c r="N66" s="14" t="n">
        <f aca="false">DAY(M66)</f>
        <v>2</v>
      </c>
      <c r="O66" s="14" t="str">
        <f aca="false">TEXT(M66,"DDDD")</f>
        <v>sábado</v>
      </c>
      <c r="P66" s="18" t="n">
        <f aca="false">MONTH(M66)</f>
        <v>8</v>
      </c>
      <c r="Q66" s="14" t="str">
        <f aca="false">TEXT(M66,"MMMM")</f>
        <v>agosto</v>
      </c>
    </row>
    <row r="67" customFormat="false" ht="14.25" hidden="false" customHeight="false" outlineLevel="0" collapsed="false">
      <c r="A67" s="1" t="n">
        <v>7</v>
      </c>
      <c r="B67" s="14" t="s">
        <v>154</v>
      </c>
      <c r="C67" s="14" t="s">
        <v>20</v>
      </c>
      <c r="D67" s="14" t="s">
        <v>155</v>
      </c>
      <c r="E67" s="15"/>
      <c r="F67" s="14"/>
      <c r="G67" s="14"/>
      <c r="H67" s="14" t="n">
        <v>2420</v>
      </c>
      <c r="I67" s="14" t="n">
        <v>1200</v>
      </c>
      <c r="J67" s="14"/>
      <c r="K67" s="14" t="n">
        <v>1160</v>
      </c>
      <c r="L67" s="16"/>
      <c r="M67" s="17" t="n">
        <v>45871</v>
      </c>
      <c r="N67" s="14" t="n">
        <f aca="false">DAY(M67)</f>
        <v>2</v>
      </c>
      <c r="O67" s="14" t="str">
        <f aca="false">TEXT(M67,"DDDD")</f>
        <v>sábado</v>
      </c>
      <c r="P67" s="18" t="n">
        <f aca="false">MONTH(M67)</f>
        <v>8</v>
      </c>
      <c r="Q67" s="14" t="str">
        <f aca="false">TEXT(M67,"MMMM")</f>
        <v>agosto</v>
      </c>
    </row>
    <row r="68" customFormat="false" ht="14.25" hidden="false" customHeight="false" outlineLevel="0" collapsed="false">
      <c r="A68" s="1" t="n">
        <v>7</v>
      </c>
      <c r="B68" s="14" t="s">
        <v>156</v>
      </c>
      <c r="C68" s="14" t="s">
        <v>38</v>
      </c>
      <c r="D68" s="14" t="s">
        <v>47</v>
      </c>
      <c r="E68" s="15"/>
      <c r="F68" s="14"/>
      <c r="G68" s="14"/>
      <c r="H68" s="14" t="n">
        <v>2380</v>
      </c>
      <c r="I68" s="14" t="n">
        <v>1200</v>
      </c>
      <c r="J68" s="14"/>
      <c r="K68" s="14" t="n">
        <v>1120</v>
      </c>
      <c r="L68" s="16"/>
      <c r="M68" s="17" t="n">
        <v>45871</v>
      </c>
      <c r="N68" s="14" t="n">
        <f aca="false">DAY(M68)</f>
        <v>2</v>
      </c>
      <c r="O68" s="14" t="str">
        <f aca="false">TEXT(M68,"DDDD")</f>
        <v>sábado</v>
      </c>
      <c r="P68" s="18" t="n">
        <f aca="false">MONTH(M68)</f>
        <v>8</v>
      </c>
      <c r="Q68" s="14" t="str">
        <f aca="false">TEXT(M68,"MMMM")</f>
        <v>agosto</v>
      </c>
    </row>
    <row r="69" customFormat="false" ht="14.25" hidden="false" customHeight="false" outlineLevel="0" collapsed="false">
      <c r="A69" s="1" t="n">
        <v>7</v>
      </c>
      <c r="B69" s="14" t="s">
        <v>157</v>
      </c>
      <c r="C69" s="14" t="s">
        <v>38</v>
      </c>
      <c r="D69" s="14" t="s">
        <v>158</v>
      </c>
      <c r="E69" s="15"/>
      <c r="F69" s="14"/>
      <c r="G69" s="14"/>
      <c r="H69" s="14" t="n">
        <v>3080</v>
      </c>
      <c r="I69" s="14" t="n">
        <v>1200</v>
      </c>
      <c r="J69" s="14"/>
      <c r="K69" s="14" t="n">
        <v>1820</v>
      </c>
      <c r="L69" s="16"/>
      <c r="M69" s="17" t="n">
        <v>45871</v>
      </c>
      <c r="N69" s="14" t="n">
        <f aca="false">DAY(M69)</f>
        <v>2</v>
      </c>
      <c r="O69" s="14" t="str">
        <f aca="false">TEXT(M69,"DDDD")</f>
        <v>sábado</v>
      </c>
      <c r="P69" s="18" t="n">
        <f aca="false">MONTH(M69)</f>
        <v>8</v>
      </c>
      <c r="Q69" s="14" t="str">
        <f aca="false">TEXT(M69,"MMMM")</f>
        <v>agosto</v>
      </c>
    </row>
    <row r="70" customFormat="false" ht="14.25" hidden="false" customHeight="false" outlineLevel="0" collapsed="false">
      <c r="A70" s="1" t="n">
        <v>11</v>
      </c>
      <c r="B70" s="14" t="s">
        <v>159</v>
      </c>
      <c r="C70" s="14" t="s">
        <v>20</v>
      </c>
      <c r="D70" s="14" t="s">
        <v>103</v>
      </c>
      <c r="E70" s="15"/>
      <c r="F70" s="14" t="s">
        <v>103</v>
      </c>
      <c r="G70" s="14"/>
      <c r="H70" s="14" t="n">
        <v>3600</v>
      </c>
      <c r="I70" s="14" t="n">
        <v>2100</v>
      </c>
      <c r="J70" s="14"/>
      <c r="K70" s="14" t="n">
        <v>1380</v>
      </c>
      <c r="L70" s="16"/>
      <c r="M70" s="17" t="n">
        <v>45872</v>
      </c>
      <c r="N70" s="14" t="n">
        <f aca="false">DAY(M70)</f>
        <v>3</v>
      </c>
      <c r="O70" s="14" t="str">
        <f aca="false">TEXT(M70,"DDDD")</f>
        <v>domingo</v>
      </c>
      <c r="P70" s="18" t="n">
        <f aca="false">MONTH(M70)</f>
        <v>8</v>
      </c>
      <c r="Q70" s="14" t="str">
        <f aca="false">TEXT(M70,"MMMM")</f>
        <v>agosto</v>
      </c>
    </row>
    <row r="71" customFormat="false" ht="14.25" hidden="false" customHeight="false" outlineLevel="0" collapsed="false">
      <c r="A71" s="1" t="n">
        <v>11</v>
      </c>
      <c r="B71" s="14" t="s">
        <v>160</v>
      </c>
      <c r="C71" s="14" t="s">
        <v>20</v>
      </c>
      <c r="D71" s="14" t="s">
        <v>161</v>
      </c>
      <c r="E71" s="15"/>
      <c r="F71" s="14"/>
      <c r="G71" s="14"/>
      <c r="H71" s="14" t="n">
        <v>2760</v>
      </c>
      <c r="I71" s="14" t="n">
        <v>1200</v>
      </c>
      <c r="J71" s="14"/>
      <c r="K71" s="14" t="n">
        <v>1500</v>
      </c>
      <c r="L71" s="16"/>
      <c r="M71" s="17" t="n">
        <v>45872</v>
      </c>
      <c r="N71" s="14" t="n">
        <f aca="false">DAY(M71)</f>
        <v>3</v>
      </c>
      <c r="O71" s="14" t="str">
        <f aca="false">TEXT(M71,"DDDD")</f>
        <v>domingo</v>
      </c>
      <c r="P71" s="18" t="n">
        <f aca="false">MONTH(M71)</f>
        <v>8</v>
      </c>
      <c r="Q71" s="14" t="str">
        <f aca="false">TEXT(M71,"MMMM")</f>
        <v>agosto</v>
      </c>
    </row>
    <row r="72" customFormat="false" ht="14.25" hidden="false" customHeight="false" outlineLevel="0" collapsed="false">
      <c r="A72" s="1" t="n">
        <v>11</v>
      </c>
      <c r="B72" s="14" t="s">
        <v>162</v>
      </c>
      <c r="C72" s="14" t="s">
        <v>20</v>
      </c>
      <c r="D72" s="14" t="s">
        <v>163</v>
      </c>
      <c r="E72" s="15"/>
      <c r="F72" s="14"/>
      <c r="G72" s="14"/>
      <c r="H72" s="14" t="n">
        <v>1760</v>
      </c>
      <c r="I72" s="14" t="n">
        <v>1700</v>
      </c>
      <c r="J72" s="14"/>
      <c r="K72" s="14"/>
      <c r="L72" s="16"/>
      <c r="M72" s="17" t="n">
        <v>45872</v>
      </c>
      <c r="N72" s="14" t="n">
        <f aca="false">DAY(M72)</f>
        <v>3</v>
      </c>
      <c r="O72" s="14" t="str">
        <f aca="false">TEXT(M72,"DDDD")</f>
        <v>domingo</v>
      </c>
      <c r="P72" s="18" t="n">
        <f aca="false">MONTH(M72)</f>
        <v>8</v>
      </c>
      <c r="Q72" s="14" t="str">
        <f aca="false">TEXT(M72,"MMMM")</f>
        <v>agosto</v>
      </c>
    </row>
    <row r="73" customFormat="false" ht="14.25" hidden="false" customHeight="false" outlineLevel="0" collapsed="false">
      <c r="A73" s="1" t="n">
        <v>10</v>
      </c>
      <c r="B73" s="14" t="s">
        <v>164</v>
      </c>
      <c r="C73" s="14" t="s">
        <v>38</v>
      </c>
      <c r="D73" s="14" t="s">
        <v>85</v>
      </c>
      <c r="E73" s="15"/>
      <c r="F73" s="14"/>
      <c r="G73" s="14"/>
      <c r="H73" s="14" t="n">
        <v>2760</v>
      </c>
      <c r="I73" s="14" t="n">
        <v>1200</v>
      </c>
      <c r="J73" s="14"/>
      <c r="K73" s="14" t="n">
        <v>1500</v>
      </c>
      <c r="L73" s="16"/>
      <c r="M73" s="17" t="n">
        <v>45872</v>
      </c>
      <c r="N73" s="14" t="n">
        <f aca="false">DAY(M73)</f>
        <v>3</v>
      </c>
      <c r="O73" s="14" t="str">
        <f aca="false">TEXT(M73,"DDDD")</f>
        <v>domingo</v>
      </c>
      <c r="P73" s="18" t="n">
        <f aca="false">MONTH(M73)</f>
        <v>8</v>
      </c>
      <c r="Q73" s="14" t="str">
        <f aca="false">TEXT(M73,"MMMM")</f>
        <v>agosto</v>
      </c>
    </row>
    <row r="74" customFormat="false" ht="14.25" hidden="false" customHeight="false" outlineLevel="0" collapsed="false">
      <c r="A74" s="1" t="n">
        <v>10</v>
      </c>
      <c r="B74" s="14" t="s">
        <v>165</v>
      </c>
      <c r="C74" s="14" t="s">
        <v>38</v>
      </c>
      <c r="D74" s="14" t="s">
        <v>166</v>
      </c>
      <c r="E74" s="15"/>
      <c r="F74" s="14"/>
      <c r="G74" s="14"/>
      <c r="H74" s="14" t="n">
        <v>2060</v>
      </c>
      <c r="I74" s="14" t="n">
        <v>1200</v>
      </c>
      <c r="J74" s="14"/>
      <c r="K74" s="14" t="n">
        <v>800</v>
      </c>
      <c r="L74" s="16"/>
      <c r="M74" s="17" t="n">
        <v>45872</v>
      </c>
      <c r="N74" s="14" t="n">
        <f aca="false">DAY(M74)</f>
        <v>3</v>
      </c>
      <c r="O74" s="14" t="str">
        <f aca="false">TEXT(M74,"DDDD")</f>
        <v>domingo</v>
      </c>
      <c r="P74" s="18" t="n">
        <f aca="false">MONTH(M74)</f>
        <v>8</v>
      </c>
      <c r="Q74" s="14" t="str">
        <f aca="false">TEXT(M74,"MMMM")</f>
        <v>agosto</v>
      </c>
    </row>
    <row r="75" customFormat="false" ht="14.25" hidden="false" customHeight="false" outlineLevel="0" collapsed="false">
      <c r="A75" s="1" t="n">
        <v>9</v>
      </c>
      <c r="B75" s="14" t="s">
        <v>167</v>
      </c>
      <c r="C75" s="14" t="s">
        <v>20</v>
      </c>
      <c r="D75" s="14" t="s">
        <v>168</v>
      </c>
      <c r="E75" s="15"/>
      <c r="F75" s="14"/>
      <c r="G75" s="14"/>
      <c r="H75" s="14" t="n">
        <v>3150</v>
      </c>
      <c r="I75" s="14" t="n">
        <v>1650</v>
      </c>
      <c r="J75" s="14"/>
      <c r="K75" s="14" t="n">
        <v>1440</v>
      </c>
      <c r="L75" s="16"/>
      <c r="M75" s="17" t="n">
        <v>45872</v>
      </c>
      <c r="N75" s="14" t="n">
        <f aca="false">DAY(M75)</f>
        <v>3</v>
      </c>
      <c r="O75" s="14" t="str">
        <f aca="false">TEXT(M75,"DDDD")</f>
        <v>domingo</v>
      </c>
      <c r="P75" s="18" t="n">
        <f aca="false">MONTH(M75)</f>
        <v>8</v>
      </c>
      <c r="Q75" s="14" t="str">
        <f aca="false">TEXT(M75,"MMMM")</f>
        <v>agosto</v>
      </c>
    </row>
    <row r="76" customFormat="false" ht="14.25" hidden="false" customHeight="false" outlineLevel="0" collapsed="false">
      <c r="A76" s="1" t="n">
        <v>9</v>
      </c>
      <c r="B76" s="14" t="s">
        <v>169</v>
      </c>
      <c r="C76" s="14" t="s">
        <v>38</v>
      </c>
      <c r="D76" s="14" t="s">
        <v>47</v>
      </c>
      <c r="E76" s="15"/>
      <c r="F76" s="14"/>
      <c r="G76" s="14"/>
      <c r="H76" s="14" t="n">
        <v>2920</v>
      </c>
      <c r="I76" s="14"/>
      <c r="J76" s="14"/>
      <c r="K76" s="14"/>
      <c r="L76" s="16"/>
      <c r="M76" s="17" t="n">
        <v>45872</v>
      </c>
      <c r="N76" s="14" t="n">
        <f aca="false">DAY(M76)</f>
        <v>3</v>
      </c>
      <c r="O76" s="14" t="str">
        <f aca="false">TEXT(M76,"DDDD")</f>
        <v>domingo</v>
      </c>
      <c r="P76" s="18" t="n">
        <f aca="false">MONTH(M76)</f>
        <v>8</v>
      </c>
      <c r="Q76" s="14" t="str">
        <f aca="false">TEXT(M76,"MMMM")</f>
        <v>agosto</v>
      </c>
    </row>
    <row r="77" customFormat="false" ht="14.25" hidden="false" customHeight="false" outlineLevel="0" collapsed="false">
      <c r="A77" s="1" t="n">
        <v>9</v>
      </c>
      <c r="B77" s="14" t="s">
        <v>170</v>
      </c>
      <c r="C77" s="14" t="s">
        <v>38</v>
      </c>
      <c r="D77" s="14" t="s">
        <v>103</v>
      </c>
      <c r="E77" s="15"/>
      <c r="F77" s="14"/>
      <c r="G77" s="14"/>
      <c r="H77" s="14" t="n">
        <v>1760</v>
      </c>
      <c r="I77" s="14" t="n">
        <v>1200</v>
      </c>
      <c r="J77" s="14"/>
      <c r="K77" s="14" t="n">
        <v>500</v>
      </c>
      <c r="L77" s="16"/>
      <c r="M77" s="17" t="n">
        <v>45872</v>
      </c>
      <c r="N77" s="14" t="n">
        <f aca="false">DAY(M77)</f>
        <v>3</v>
      </c>
      <c r="O77" s="14" t="str">
        <f aca="false">TEXT(M77,"DDDD")</f>
        <v>domingo</v>
      </c>
      <c r="P77" s="18" t="n">
        <f aca="false">MONTH(M77)</f>
        <v>8</v>
      </c>
      <c r="Q77" s="14" t="str">
        <f aca="false">TEXT(M77,"MMMM")</f>
        <v>agosto</v>
      </c>
    </row>
    <row r="78" customFormat="false" ht="14.25" hidden="false" customHeight="false" outlineLevel="0" collapsed="false">
      <c r="A78" s="1" t="n">
        <v>8</v>
      </c>
      <c r="B78" s="14" t="s">
        <v>171</v>
      </c>
      <c r="C78" s="14" t="s">
        <v>20</v>
      </c>
      <c r="D78" s="14" t="s">
        <v>47</v>
      </c>
      <c r="E78" s="15"/>
      <c r="F78" s="14"/>
      <c r="G78" s="14"/>
      <c r="H78" s="14" t="n">
        <v>1740</v>
      </c>
      <c r="I78" s="14" t="n">
        <v>1200</v>
      </c>
      <c r="J78" s="14"/>
      <c r="K78" s="14" t="n">
        <v>480</v>
      </c>
      <c r="L78" s="16"/>
      <c r="M78" s="17" t="n">
        <v>45872</v>
      </c>
      <c r="N78" s="14" t="n">
        <f aca="false">DAY(M78)</f>
        <v>3</v>
      </c>
      <c r="O78" s="14" t="str">
        <f aca="false">TEXT(M78,"DDDD")</f>
        <v>domingo</v>
      </c>
      <c r="P78" s="18" t="n">
        <f aca="false">MONTH(M78)</f>
        <v>8</v>
      </c>
      <c r="Q78" s="14" t="str">
        <f aca="false">TEXT(M78,"MMMM")</f>
        <v>agosto</v>
      </c>
    </row>
    <row r="79" customFormat="false" ht="14.25" hidden="false" customHeight="false" outlineLevel="0" collapsed="false">
      <c r="A79" s="1" t="n">
        <v>7</v>
      </c>
      <c r="B79" s="14" t="s">
        <v>172</v>
      </c>
      <c r="C79" s="14" t="s">
        <v>38</v>
      </c>
      <c r="D79" s="14" t="s">
        <v>173</v>
      </c>
      <c r="E79" s="15"/>
      <c r="F79" s="14"/>
      <c r="G79" s="14"/>
      <c r="H79" s="14" t="n">
        <v>2320</v>
      </c>
      <c r="I79" s="14" t="n">
        <v>1320</v>
      </c>
      <c r="J79" s="14"/>
      <c r="K79" s="14" t="n">
        <v>940</v>
      </c>
      <c r="L79" s="16"/>
      <c r="M79" s="17" t="n">
        <v>45872</v>
      </c>
      <c r="N79" s="14" t="n">
        <f aca="false">DAY(M79)</f>
        <v>3</v>
      </c>
      <c r="O79" s="14" t="str">
        <f aca="false">TEXT(M79,"DDDD")</f>
        <v>domingo</v>
      </c>
      <c r="P79" s="18" t="n">
        <f aca="false">MONTH(M79)</f>
        <v>8</v>
      </c>
      <c r="Q79" s="14" t="str">
        <f aca="false">TEXT(M79,"MMMM")</f>
        <v>agosto</v>
      </c>
    </row>
    <row r="80" customFormat="false" ht="14.25" hidden="false" customHeight="false" outlineLevel="0" collapsed="false">
      <c r="A80" s="1" t="n">
        <v>9</v>
      </c>
      <c r="B80" s="14" t="s">
        <v>174</v>
      </c>
      <c r="C80" s="14" t="s">
        <v>38</v>
      </c>
      <c r="D80" s="19" t="s">
        <v>175</v>
      </c>
      <c r="E80" s="20"/>
      <c r="F80" s="14"/>
      <c r="G80" s="14"/>
      <c r="H80" s="19" t="n">
        <v>2700</v>
      </c>
      <c r="I80" s="14" t="n">
        <v>1200</v>
      </c>
      <c r="J80" s="14"/>
      <c r="K80" s="14" t="n">
        <v>1500</v>
      </c>
      <c r="L80" s="16"/>
      <c r="M80" s="17" t="n">
        <v>45875</v>
      </c>
      <c r="N80" s="14" t="n">
        <f aca="false">DAY(M80)</f>
        <v>6</v>
      </c>
      <c r="O80" s="14" t="str">
        <f aca="false">TEXT(M80,"DDDD")</f>
        <v>miércoles</v>
      </c>
      <c r="P80" s="18" t="n">
        <f aca="false">MONTH(M80)</f>
        <v>8</v>
      </c>
      <c r="Q80" s="14" t="str">
        <f aca="false">TEXT(M80,"MMMM")</f>
        <v>agosto</v>
      </c>
    </row>
    <row r="81" customFormat="false" ht="15.75" hidden="false" customHeight="true" outlineLevel="0" collapsed="false">
      <c r="A81" s="1" t="n">
        <v>9</v>
      </c>
      <c r="B81" s="14" t="s">
        <v>176</v>
      </c>
      <c r="C81" s="14" t="s">
        <v>140</v>
      </c>
      <c r="D81" s="19" t="s">
        <v>57</v>
      </c>
      <c r="E81" s="20"/>
      <c r="F81" s="14"/>
      <c r="G81" s="14"/>
      <c r="H81" s="19" t="n">
        <v>2470</v>
      </c>
      <c r="I81" s="14" t="n">
        <v>2470</v>
      </c>
      <c r="J81" s="14"/>
      <c r="K81" s="14"/>
      <c r="L81" s="16"/>
      <c r="M81" s="17" t="n">
        <v>45875</v>
      </c>
      <c r="N81" s="14" t="n">
        <f aca="false">DAY(M81)</f>
        <v>6</v>
      </c>
      <c r="O81" s="14" t="str">
        <f aca="false">TEXT(M81,"DDDD")</f>
        <v>miércoles</v>
      </c>
      <c r="P81" s="18" t="n">
        <f aca="false">MONTH(M81)</f>
        <v>8</v>
      </c>
      <c r="Q81" s="14" t="str">
        <f aca="false">TEXT(M81,"MMMM")</f>
        <v>agosto</v>
      </c>
      <c r="R81" s="21" t="s">
        <v>83</v>
      </c>
      <c r="S81" s="1" t="n">
        <v>9312</v>
      </c>
    </row>
    <row r="82" customFormat="false" ht="14.25" hidden="false" customHeight="false" outlineLevel="0" collapsed="false">
      <c r="A82" s="1" t="n">
        <v>3</v>
      </c>
      <c r="B82" s="14" t="s">
        <v>177</v>
      </c>
      <c r="C82" s="14" t="s">
        <v>20</v>
      </c>
      <c r="D82" s="19" t="s">
        <v>85</v>
      </c>
      <c r="E82" s="20"/>
      <c r="F82" s="19" t="s">
        <v>85</v>
      </c>
      <c r="G82" s="19"/>
      <c r="H82" s="19" t="n">
        <v>3860</v>
      </c>
      <c r="I82" s="14" t="n">
        <v>2220</v>
      </c>
      <c r="J82" s="14"/>
      <c r="K82" s="14" t="n">
        <v>1640</v>
      </c>
      <c r="L82" s="16"/>
      <c r="M82" s="17" t="n">
        <v>45875</v>
      </c>
      <c r="N82" s="14" t="n">
        <f aca="false">DAY(M82)</f>
        <v>6</v>
      </c>
      <c r="O82" s="14" t="str">
        <f aca="false">TEXT(M82,"DDDD")</f>
        <v>miércoles</v>
      </c>
      <c r="P82" s="18" t="n">
        <f aca="false">MONTH(M82)</f>
        <v>8</v>
      </c>
      <c r="Q82" s="14" t="str">
        <f aca="false">TEXT(M82,"MMMM")</f>
        <v>agosto</v>
      </c>
    </row>
    <row r="83" customFormat="false" ht="14.25" hidden="false" customHeight="false" outlineLevel="0" collapsed="false">
      <c r="A83" s="1" t="n">
        <v>3</v>
      </c>
      <c r="B83" s="14" t="s">
        <v>178</v>
      </c>
      <c r="C83" s="14" t="s">
        <v>20</v>
      </c>
      <c r="D83" s="19" t="s">
        <v>179</v>
      </c>
      <c r="E83" s="20"/>
      <c r="F83" s="14"/>
      <c r="G83" s="14"/>
      <c r="H83" s="19" t="n">
        <v>2040</v>
      </c>
      <c r="I83" s="14" t="n">
        <v>1200</v>
      </c>
      <c r="J83" s="14"/>
      <c r="K83" s="14" t="n">
        <v>840</v>
      </c>
      <c r="L83" s="16"/>
      <c r="M83" s="17" t="n">
        <v>45875</v>
      </c>
      <c r="N83" s="14" t="n">
        <f aca="false">DAY(M83)</f>
        <v>6</v>
      </c>
      <c r="O83" s="14" t="str">
        <f aca="false">TEXT(M83,"DDDD")</f>
        <v>miércoles</v>
      </c>
      <c r="P83" s="18" t="n">
        <f aca="false">MONTH(M83)</f>
        <v>8</v>
      </c>
      <c r="Q83" s="14" t="str">
        <f aca="false">TEXT(M83,"MMMM")</f>
        <v>agosto</v>
      </c>
    </row>
    <row r="84" customFormat="false" ht="14.25" hidden="false" customHeight="false" outlineLevel="0" collapsed="false">
      <c r="A84" s="1" t="n">
        <v>3</v>
      </c>
      <c r="B84" s="14" t="s">
        <v>180</v>
      </c>
      <c r="C84" s="14" t="s">
        <v>20</v>
      </c>
      <c r="D84" s="19" t="s">
        <v>179</v>
      </c>
      <c r="E84" s="20"/>
      <c r="F84" s="14"/>
      <c r="G84" s="14"/>
      <c r="H84" s="19" t="n">
        <v>1900</v>
      </c>
      <c r="I84" s="14" t="n">
        <v>1200</v>
      </c>
      <c r="J84" s="14"/>
      <c r="K84" s="14" t="n">
        <v>700</v>
      </c>
      <c r="L84" s="16"/>
      <c r="M84" s="17" t="n">
        <v>45875</v>
      </c>
      <c r="N84" s="14" t="n">
        <f aca="false">DAY(M84)</f>
        <v>6</v>
      </c>
      <c r="O84" s="14" t="str">
        <f aca="false">TEXT(M84,"DDDD")</f>
        <v>miércoles</v>
      </c>
      <c r="P84" s="18" t="n">
        <f aca="false">MONTH(M84)</f>
        <v>8</v>
      </c>
      <c r="Q84" s="14" t="str">
        <f aca="false">TEXT(M84,"MMMM")</f>
        <v>agosto</v>
      </c>
    </row>
    <row r="85" customFormat="false" ht="14.25" hidden="false" customHeight="false" outlineLevel="0" collapsed="false">
      <c r="A85" s="1" t="n">
        <v>2</v>
      </c>
      <c r="B85" s="14" t="s">
        <v>181</v>
      </c>
      <c r="C85" s="14" t="s">
        <v>20</v>
      </c>
      <c r="D85" s="19" t="s">
        <v>82</v>
      </c>
      <c r="E85" s="20"/>
      <c r="F85" s="14"/>
      <c r="G85" s="14"/>
      <c r="H85" s="19" t="n">
        <v>1585</v>
      </c>
      <c r="I85" s="14" t="n">
        <v>1200</v>
      </c>
      <c r="J85" s="14"/>
      <c r="K85" s="14" t="n">
        <v>385</v>
      </c>
      <c r="L85" s="16"/>
      <c r="M85" s="17" t="n">
        <v>45875</v>
      </c>
      <c r="N85" s="14" t="n">
        <f aca="false">DAY(M85)</f>
        <v>6</v>
      </c>
      <c r="O85" s="14" t="str">
        <f aca="false">TEXT(M85,"DDDD")</f>
        <v>miércoles</v>
      </c>
      <c r="P85" s="18" t="n">
        <f aca="false">MONTH(M85)</f>
        <v>8</v>
      </c>
      <c r="Q85" s="14" t="str">
        <f aca="false">TEXT(M85,"MMMM")</f>
        <v>agosto</v>
      </c>
    </row>
    <row r="86" customFormat="false" ht="14.25" hidden="false" customHeight="false" outlineLevel="0" collapsed="false">
      <c r="A86" s="1" t="n">
        <v>2</v>
      </c>
      <c r="B86" s="14" t="s">
        <v>182</v>
      </c>
      <c r="C86" s="14" t="s">
        <v>38</v>
      </c>
      <c r="D86" s="19" t="s">
        <v>183</v>
      </c>
      <c r="E86" s="20"/>
      <c r="F86" s="14"/>
      <c r="G86" s="14"/>
      <c r="H86" s="19" t="n">
        <v>1200</v>
      </c>
      <c r="I86" s="14" t="n">
        <v>1200</v>
      </c>
      <c r="J86" s="14"/>
      <c r="K86" s="14"/>
      <c r="L86" s="16"/>
      <c r="M86" s="17" t="n">
        <v>45875</v>
      </c>
      <c r="N86" s="14" t="n">
        <f aca="false">DAY(M86)</f>
        <v>6</v>
      </c>
      <c r="O86" s="14" t="str">
        <f aca="false">TEXT(M86,"DDDD")</f>
        <v>miércoles</v>
      </c>
      <c r="P86" s="18" t="n">
        <f aca="false">MONTH(M86)</f>
        <v>8</v>
      </c>
      <c r="Q86" s="14" t="str">
        <f aca="false">TEXT(M86,"MMMM")</f>
        <v>agosto</v>
      </c>
    </row>
    <row r="87" customFormat="false" ht="14.25" hidden="false" customHeight="false" outlineLevel="0" collapsed="false">
      <c r="A87" s="1" t="n">
        <v>2</v>
      </c>
      <c r="B87" s="14" t="s">
        <v>184</v>
      </c>
      <c r="C87" s="14" t="s">
        <v>20</v>
      </c>
      <c r="D87" s="19" t="s">
        <v>185</v>
      </c>
      <c r="E87" s="20"/>
      <c r="F87" s="14"/>
      <c r="G87" s="14"/>
      <c r="H87" s="19" t="n">
        <v>1320</v>
      </c>
      <c r="I87" s="14" t="n">
        <v>1220</v>
      </c>
      <c r="J87" s="14"/>
      <c r="K87" s="14" t="n">
        <v>100</v>
      </c>
      <c r="L87" s="16"/>
      <c r="M87" s="17" t="n">
        <v>45875</v>
      </c>
      <c r="N87" s="14" t="n">
        <f aca="false">DAY(M87)</f>
        <v>6</v>
      </c>
      <c r="O87" s="14" t="str">
        <f aca="false">TEXT(M87,"DDDD")</f>
        <v>miércoles</v>
      </c>
      <c r="P87" s="18" t="n">
        <f aca="false">MONTH(M87)</f>
        <v>8</v>
      </c>
      <c r="Q87" s="14" t="str">
        <f aca="false">TEXT(M87,"MMMM")</f>
        <v>agosto</v>
      </c>
      <c r="R87" s="21" t="s">
        <v>83</v>
      </c>
      <c r="S87" s="1" t="n">
        <v>7565</v>
      </c>
    </row>
    <row r="88" customFormat="false" ht="14.25" hidden="false" customHeight="false" outlineLevel="0" collapsed="false">
      <c r="A88" s="1" t="n">
        <v>1</v>
      </c>
      <c r="B88" s="14" t="s">
        <v>186</v>
      </c>
      <c r="C88" s="14" t="s">
        <v>20</v>
      </c>
      <c r="D88" s="19" t="s">
        <v>187</v>
      </c>
      <c r="E88" s="20"/>
      <c r="F88" s="14"/>
      <c r="G88" s="14"/>
      <c r="H88" s="19" t="n">
        <v>1290</v>
      </c>
      <c r="I88" s="14" t="n">
        <v>1290</v>
      </c>
      <c r="J88" s="14"/>
      <c r="K88" s="14"/>
      <c r="L88" s="16"/>
      <c r="M88" s="17" t="n">
        <v>45875</v>
      </c>
      <c r="N88" s="14" t="n">
        <f aca="false">DAY(M88)</f>
        <v>6</v>
      </c>
      <c r="O88" s="14" t="str">
        <f aca="false">TEXT(M88,"DDDD")</f>
        <v>miércoles</v>
      </c>
      <c r="P88" s="18" t="n">
        <f aca="false">MONTH(M88)</f>
        <v>8</v>
      </c>
      <c r="Q88" s="14" t="str">
        <f aca="false">TEXT(M88,"MMMM")</f>
        <v>agosto</v>
      </c>
      <c r="R88" s="21" t="s">
        <v>83</v>
      </c>
      <c r="S88" s="1" t="n">
        <v>22680</v>
      </c>
    </row>
    <row r="89" customFormat="false" ht="14.25" hidden="false" customHeight="false" outlineLevel="0" collapsed="false">
      <c r="A89" s="1" t="n">
        <v>1</v>
      </c>
      <c r="B89" s="14" t="s">
        <v>188</v>
      </c>
      <c r="C89" s="14" t="s">
        <v>20</v>
      </c>
      <c r="D89" s="19" t="s">
        <v>189</v>
      </c>
      <c r="E89" s="20"/>
      <c r="F89" s="14"/>
      <c r="G89" s="14"/>
      <c r="H89" s="19" t="n">
        <v>2150</v>
      </c>
      <c r="I89" s="14" t="n">
        <v>1250</v>
      </c>
      <c r="J89" s="14"/>
      <c r="K89" s="14" t="n">
        <v>900</v>
      </c>
      <c r="L89" s="16"/>
      <c r="M89" s="17" t="n">
        <v>45875</v>
      </c>
      <c r="N89" s="14" t="n">
        <f aca="false">DAY(M89)</f>
        <v>6</v>
      </c>
      <c r="O89" s="14" t="str">
        <f aca="false">TEXT(M89,"DDDD")</f>
        <v>miércoles</v>
      </c>
      <c r="P89" s="18" t="n">
        <f aca="false">MONTH(M89)</f>
        <v>8</v>
      </c>
      <c r="Q89" s="14" t="str">
        <f aca="false">TEXT(M89,"MMMM")</f>
        <v>agosto</v>
      </c>
    </row>
    <row r="90" customFormat="false" ht="14.25" hidden="false" customHeight="false" outlineLevel="0" collapsed="false">
      <c r="A90" s="1" t="n">
        <v>1</v>
      </c>
      <c r="B90" s="14" t="s">
        <v>190</v>
      </c>
      <c r="C90" s="14" t="s">
        <v>38</v>
      </c>
      <c r="D90" s="19" t="s">
        <v>191</v>
      </c>
      <c r="E90" s="20"/>
      <c r="F90" s="14"/>
      <c r="G90" s="14"/>
      <c r="H90" s="19" t="n">
        <v>2050</v>
      </c>
      <c r="I90" s="14" t="n">
        <v>1250</v>
      </c>
      <c r="J90" s="14"/>
      <c r="K90" s="14" t="n">
        <v>800</v>
      </c>
      <c r="L90" s="16"/>
      <c r="M90" s="17" t="n">
        <v>45875</v>
      </c>
      <c r="N90" s="14" t="n">
        <f aca="false">DAY(M90)</f>
        <v>6</v>
      </c>
      <c r="O90" s="14" t="str">
        <f aca="false">TEXT(M90,"DDDD")</f>
        <v>miércoles</v>
      </c>
      <c r="P90" s="18" t="n">
        <f aca="false">MONTH(M90)</f>
        <v>8</v>
      </c>
      <c r="Q90" s="14" t="str">
        <f aca="false">TEXT(M90,"MMMM")</f>
        <v>agosto</v>
      </c>
    </row>
    <row r="91" customFormat="false" ht="14.25" hidden="false" customHeight="false" outlineLevel="0" collapsed="false">
      <c r="A91" s="1" t="n">
        <v>1</v>
      </c>
      <c r="B91" s="14" t="s">
        <v>192</v>
      </c>
      <c r="C91" s="14" t="s">
        <v>38</v>
      </c>
      <c r="D91" s="19" t="s">
        <v>150</v>
      </c>
      <c r="E91" s="20"/>
      <c r="F91" s="14"/>
      <c r="G91" s="14"/>
      <c r="H91" s="19" t="n">
        <v>1900</v>
      </c>
      <c r="I91" s="14" t="n">
        <v>1200</v>
      </c>
      <c r="J91" s="14"/>
      <c r="K91" s="14" t="n">
        <v>700</v>
      </c>
      <c r="L91" s="16"/>
      <c r="M91" s="17" t="n">
        <v>45875</v>
      </c>
      <c r="N91" s="14" t="n">
        <f aca="false">DAY(M91)</f>
        <v>6</v>
      </c>
      <c r="O91" s="14" t="str">
        <f aca="false">TEXT(M91,"DDDD")</f>
        <v>miércoles</v>
      </c>
      <c r="P91" s="18" t="n">
        <f aca="false">MONTH(M91)</f>
        <v>8</v>
      </c>
      <c r="Q91" s="14" t="str">
        <f aca="false">TEXT(M91,"MMMM")</f>
        <v>agosto</v>
      </c>
    </row>
    <row r="92" customFormat="false" ht="14.25" hidden="false" customHeight="false" outlineLevel="0" collapsed="false">
      <c r="A92" s="1" t="n">
        <v>1</v>
      </c>
      <c r="B92" s="14" t="s">
        <v>193</v>
      </c>
      <c r="C92" s="14" t="s">
        <v>38</v>
      </c>
      <c r="D92" s="19" t="s">
        <v>194</v>
      </c>
      <c r="E92" s="20"/>
      <c r="F92" s="14"/>
      <c r="G92" s="14"/>
      <c r="H92" s="19" t="n">
        <v>2140</v>
      </c>
      <c r="I92" s="14" t="n">
        <v>1260</v>
      </c>
      <c r="J92" s="14"/>
      <c r="K92" s="14" t="n">
        <v>880</v>
      </c>
      <c r="L92" s="16"/>
      <c r="M92" s="17" t="n">
        <v>45875</v>
      </c>
      <c r="N92" s="14" t="n">
        <f aca="false">DAY(M92)</f>
        <v>6</v>
      </c>
      <c r="O92" s="14" t="str">
        <f aca="false">TEXT(M92,"DDDD")</f>
        <v>miércoles</v>
      </c>
      <c r="P92" s="18" t="n">
        <f aca="false">MONTH(M92)</f>
        <v>8</v>
      </c>
      <c r="Q92" s="14" t="str">
        <f aca="false">TEXT(M92,"MMMM")</f>
        <v>agosto</v>
      </c>
    </row>
    <row r="93" customFormat="false" ht="14.25" hidden="false" customHeight="false" outlineLevel="0" collapsed="false">
      <c r="A93" s="1" t="n">
        <v>4</v>
      </c>
      <c r="B93" s="14" t="s">
        <v>195</v>
      </c>
      <c r="C93" s="14" t="s">
        <v>38</v>
      </c>
      <c r="D93" s="19" t="s">
        <v>196</v>
      </c>
      <c r="E93" s="20"/>
      <c r="F93" s="14"/>
      <c r="G93" s="14"/>
      <c r="H93" s="19" t="n">
        <v>1700</v>
      </c>
      <c r="I93" s="14" t="n">
        <v>1200</v>
      </c>
      <c r="J93" s="14"/>
      <c r="K93" s="14" t="n">
        <v>500</v>
      </c>
      <c r="L93" s="16"/>
      <c r="M93" s="17" t="n">
        <v>45877</v>
      </c>
      <c r="N93" s="14" t="n">
        <f aca="false">DAY(M93)</f>
        <v>8</v>
      </c>
      <c r="O93" s="14" t="str">
        <f aca="false">TEXT(M93,"DDDD")</f>
        <v>viernes</v>
      </c>
      <c r="P93" s="18" t="n">
        <f aca="false">MONTH(M93)</f>
        <v>8</v>
      </c>
      <c r="Q93" s="14" t="str">
        <f aca="false">TEXT(M93,"MMMM")</f>
        <v>agosto</v>
      </c>
    </row>
    <row r="94" customFormat="false" ht="14.25" hidden="false" customHeight="false" outlineLevel="0" collapsed="false">
      <c r="A94" s="1" t="n">
        <v>4</v>
      </c>
      <c r="B94" s="14" t="s">
        <v>197</v>
      </c>
      <c r="C94" s="14" t="s">
        <v>20</v>
      </c>
      <c r="D94" s="19" t="s">
        <v>198</v>
      </c>
      <c r="E94" s="20"/>
      <c r="F94" s="14"/>
      <c r="G94" s="14"/>
      <c r="H94" s="19" t="n">
        <v>1700</v>
      </c>
      <c r="I94" s="14" t="n">
        <v>1200</v>
      </c>
      <c r="J94" s="14"/>
      <c r="K94" s="14" t="n">
        <v>500</v>
      </c>
      <c r="L94" s="16"/>
      <c r="M94" s="17" t="n">
        <v>45877</v>
      </c>
      <c r="N94" s="14" t="n">
        <f aca="false">DAY(M94)</f>
        <v>8</v>
      </c>
      <c r="O94" s="14" t="str">
        <f aca="false">TEXT(M94,"DDDD")</f>
        <v>viernes</v>
      </c>
      <c r="P94" s="18" t="n">
        <f aca="false">MONTH(M94)</f>
        <v>8</v>
      </c>
      <c r="Q94" s="14" t="str">
        <f aca="false">TEXT(M94,"MMMM")</f>
        <v>agosto</v>
      </c>
    </row>
    <row r="95" customFormat="false" ht="14.25" hidden="false" customHeight="false" outlineLevel="0" collapsed="false">
      <c r="A95" s="1" t="n">
        <v>3</v>
      </c>
      <c r="B95" s="14" t="s">
        <v>199</v>
      </c>
      <c r="C95" s="14" t="s">
        <v>20</v>
      </c>
      <c r="D95" s="19" t="s">
        <v>200</v>
      </c>
      <c r="E95" s="20"/>
      <c r="F95" s="14"/>
      <c r="G95" s="14"/>
      <c r="H95" s="19" t="n">
        <v>1740</v>
      </c>
      <c r="I95" s="14" t="n">
        <v>140</v>
      </c>
      <c r="J95" s="14"/>
      <c r="K95" s="14" t="n">
        <v>500</v>
      </c>
      <c r="L95" s="16"/>
      <c r="M95" s="17" t="n">
        <v>45877</v>
      </c>
      <c r="N95" s="14" t="n">
        <f aca="false">DAY(M95)</f>
        <v>8</v>
      </c>
      <c r="O95" s="14" t="str">
        <f aca="false">TEXT(M95,"DDDD")</f>
        <v>viernes</v>
      </c>
      <c r="P95" s="18" t="n">
        <f aca="false">MONTH(M95)</f>
        <v>8</v>
      </c>
      <c r="Q95" s="14" t="str">
        <f aca="false">TEXT(M95,"MMMM")</f>
        <v>agosto</v>
      </c>
      <c r="T95" s="1" t="n">
        <v>8</v>
      </c>
    </row>
    <row r="96" customFormat="false" ht="14.25" hidden="false" customHeight="false" outlineLevel="0" collapsed="false">
      <c r="A96" s="1" t="n">
        <v>3</v>
      </c>
      <c r="B96" s="14" t="s">
        <v>201</v>
      </c>
      <c r="C96" s="14" t="s">
        <v>20</v>
      </c>
      <c r="D96" s="19" t="s">
        <v>202</v>
      </c>
      <c r="E96" s="20"/>
      <c r="F96" s="14"/>
      <c r="G96" s="14"/>
      <c r="H96" s="19" t="n">
        <v>1375</v>
      </c>
      <c r="I96" s="14" t="n">
        <v>1200</v>
      </c>
      <c r="J96" s="14"/>
      <c r="K96" s="14" t="n">
        <v>175</v>
      </c>
      <c r="L96" s="16"/>
      <c r="M96" s="17" t="n">
        <v>45877</v>
      </c>
      <c r="N96" s="14" t="n">
        <f aca="false">DAY(M96)</f>
        <v>8</v>
      </c>
      <c r="O96" s="14" t="str">
        <f aca="false">TEXT(M96,"DDDD")</f>
        <v>viernes</v>
      </c>
      <c r="P96" s="18" t="n">
        <f aca="false">MONTH(M96)</f>
        <v>8</v>
      </c>
      <c r="Q96" s="14" t="str">
        <f aca="false">TEXT(M96,"MMMM")</f>
        <v>agosto</v>
      </c>
    </row>
    <row r="97" customFormat="false" ht="14.25" hidden="false" customHeight="false" outlineLevel="0" collapsed="false">
      <c r="A97" s="1" t="n">
        <v>2</v>
      </c>
      <c r="B97" s="14" t="s">
        <v>203</v>
      </c>
      <c r="C97" s="14" t="s">
        <v>20</v>
      </c>
      <c r="D97" s="19" t="s">
        <v>204</v>
      </c>
      <c r="E97" s="20"/>
      <c r="F97" s="14"/>
      <c r="G97" s="14"/>
      <c r="H97" s="19" t="n">
        <v>2320</v>
      </c>
      <c r="I97" s="14" t="n">
        <v>1200</v>
      </c>
      <c r="J97" s="14"/>
      <c r="K97" s="14" t="n">
        <v>1120</v>
      </c>
      <c r="L97" s="16"/>
      <c r="M97" s="17" t="n">
        <v>45877</v>
      </c>
      <c r="N97" s="14" t="n">
        <f aca="false">DAY(M97)</f>
        <v>8</v>
      </c>
      <c r="O97" s="14" t="str">
        <f aca="false">TEXT(M97,"DDDD")</f>
        <v>viernes</v>
      </c>
      <c r="P97" s="18" t="n">
        <f aca="false">MONTH(M97)</f>
        <v>8</v>
      </c>
      <c r="Q97" s="14" t="str">
        <f aca="false">TEXT(M97,"MMMM")</f>
        <v>agosto</v>
      </c>
    </row>
    <row r="98" customFormat="false" ht="14.25" hidden="false" customHeight="false" outlineLevel="0" collapsed="false">
      <c r="A98" s="1" t="n">
        <v>2</v>
      </c>
      <c r="B98" s="14" t="s">
        <v>205</v>
      </c>
      <c r="C98" s="14" t="s">
        <v>38</v>
      </c>
      <c r="D98" s="19" t="s">
        <v>206</v>
      </c>
      <c r="E98" s="20"/>
      <c r="F98" s="14"/>
      <c r="G98" s="14"/>
      <c r="H98" s="19" t="n">
        <v>1740</v>
      </c>
      <c r="I98" s="14" t="n">
        <v>1200</v>
      </c>
      <c r="J98" s="14"/>
      <c r="K98" s="14" t="n">
        <v>540</v>
      </c>
      <c r="L98" s="16"/>
      <c r="M98" s="17" t="n">
        <v>45877</v>
      </c>
      <c r="N98" s="14" t="n">
        <f aca="false">DAY(M98)</f>
        <v>8</v>
      </c>
      <c r="O98" s="14" t="str">
        <f aca="false">TEXT(M98,"DDDD")</f>
        <v>viernes</v>
      </c>
      <c r="P98" s="18" t="n">
        <f aca="false">MONTH(M98)</f>
        <v>8</v>
      </c>
      <c r="Q98" s="14" t="str">
        <f aca="false">TEXT(M98,"MMMM")</f>
        <v>agosto</v>
      </c>
    </row>
    <row r="99" customFormat="false" ht="14.25" hidden="false" customHeight="false" outlineLevel="0" collapsed="false">
      <c r="A99" s="1" t="n">
        <v>2</v>
      </c>
      <c r="B99" s="14" t="s">
        <v>207</v>
      </c>
      <c r="C99" s="14" t="s">
        <v>20</v>
      </c>
      <c r="D99" s="19" t="s">
        <v>208</v>
      </c>
      <c r="E99" s="20"/>
      <c r="F99" s="14"/>
      <c r="G99" s="14"/>
      <c r="H99" s="19" t="n">
        <v>1870</v>
      </c>
      <c r="I99" s="14" t="n">
        <v>1870</v>
      </c>
      <c r="J99" s="14"/>
      <c r="K99" s="14"/>
      <c r="L99" s="16"/>
      <c r="M99" s="17" t="n">
        <v>45877</v>
      </c>
      <c r="N99" s="14" t="n">
        <f aca="false">DAY(M99)</f>
        <v>8</v>
      </c>
      <c r="O99" s="14" t="str">
        <f aca="false">TEXT(M99,"DDDD")</f>
        <v>viernes</v>
      </c>
      <c r="P99" s="18" t="n">
        <f aca="false">MONTH(M99)</f>
        <v>8</v>
      </c>
      <c r="Q99" s="14" t="str">
        <f aca="false">TEXT(M99,"MMMM")</f>
        <v>agosto</v>
      </c>
    </row>
    <row r="100" customFormat="false" ht="14.25" hidden="false" customHeight="false" outlineLevel="0" collapsed="false">
      <c r="A100" s="1" t="n">
        <v>2</v>
      </c>
      <c r="B100" s="14" t="s">
        <v>209</v>
      </c>
      <c r="C100" s="14" t="s">
        <v>38</v>
      </c>
      <c r="D100" s="19" t="s">
        <v>210</v>
      </c>
      <c r="E100" s="20"/>
      <c r="F100" s="14"/>
      <c r="G100" s="14"/>
      <c r="H100" s="19" t="n">
        <v>1790</v>
      </c>
      <c r="I100" s="14" t="n">
        <v>1790</v>
      </c>
      <c r="J100" s="14"/>
      <c r="K100" s="14"/>
      <c r="L100" s="16"/>
      <c r="M100" s="17" t="n">
        <v>45877</v>
      </c>
      <c r="N100" s="14" t="n">
        <f aca="false">DAY(M100)</f>
        <v>8</v>
      </c>
      <c r="O100" s="14" t="str">
        <f aca="false">TEXT(M100,"DDDD")</f>
        <v>viernes</v>
      </c>
      <c r="P100" s="18" t="n">
        <f aca="false">MONTH(M100)</f>
        <v>8</v>
      </c>
      <c r="Q100" s="14" t="str">
        <f aca="false">TEXT(M100,"MMMM")</f>
        <v>agosto</v>
      </c>
    </row>
    <row r="101" customFormat="false" ht="14.25" hidden="false" customHeight="false" outlineLevel="0" collapsed="false">
      <c r="A101" s="1" t="n">
        <v>1</v>
      </c>
      <c r="B101" s="14" t="s">
        <v>211</v>
      </c>
      <c r="C101" s="14" t="s">
        <v>20</v>
      </c>
      <c r="D101" s="19" t="s">
        <v>212</v>
      </c>
      <c r="E101" s="20"/>
      <c r="F101" s="14"/>
      <c r="G101" s="14"/>
      <c r="H101" s="19" t="n">
        <v>1200</v>
      </c>
      <c r="I101" s="14" t="n">
        <v>1200</v>
      </c>
      <c r="J101" s="14"/>
      <c r="K101" s="14"/>
      <c r="L101" s="16"/>
      <c r="M101" s="17" t="n">
        <v>45877</v>
      </c>
      <c r="N101" s="14" t="n">
        <f aca="false">DAY(M101)</f>
        <v>8</v>
      </c>
      <c r="O101" s="14" t="str">
        <f aca="false">TEXT(M101,"DDDD")</f>
        <v>viernes</v>
      </c>
      <c r="P101" s="18" t="n">
        <f aca="false">MONTH(M101)</f>
        <v>8</v>
      </c>
      <c r="Q101" s="14" t="str">
        <f aca="false">TEXT(M101,"MMMM")</f>
        <v>agosto</v>
      </c>
    </row>
    <row r="102" customFormat="false" ht="14.25" hidden="false" customHeight="false" outlineLevel="0" collapsed="false">
      <c r="A102" s="1" t="n">
        <v>11</v>
      </c>
      <c r="B102" s="14" t="s">
        <v>125</v>
      </c>
      <c r="C102" s="14" t="s">
        <v>20</v>
      </c>
      <c r="D102" s="19" t="s">
        <v>213</v>
      </c>
      <c r="E102" s="20"/>
      <c r="F102" s="14"/>
      <c r="G102" s="14"/>
      <c r="H102" s="19" t="n">
        <v>1550</v>
      </c>
      <c r="I102" s="14" t="n">
        <v>1200</v>
      </c>
      <c r="J102" s="14"/>
      <c r="K102" s="14" t="n">
        <v>350</v>
      </c>
      <c r="L102" s="16"/>
      <c r="M102" s="17" t="n">
        <v>45878</v>
      </c>
      <c r="N102" s="14" t="n">
        <f aca="false">DAY(M102)</f>
        <v>9</v>
      </c>
      <c r="O102" s="14" t="str">
        <f aca="false">TEXT(M102,"DDDD")</f>
        <v>sábado</v>
      </c>
      <c r="P102" s="18" t="n">
        <f aca="false">MONTH(M102)</f>
        <v>8</v>
      </c>
      <c r="Q102" s="14" t="str">
        <f aca="false">TEXT(M102,"MMMM")</f>
        <v>agosto</v>
      </c>
    </row>
    <row r="103" customFormat="false" ht="14.25" hidden="false" customHeight="false" outlineLevel="0" collapsed="false">
      <c r="A103" s="1" t="n">
        <v>11</v>
      </c>
      <c r="B103" s="14" t="s">
        <v>214</v>
      </c>
      <c r="C103" s="14" t="s">
        <v>20</v>
      </c>
      <c r="D103" s="19" t="s">
        <v>166</v>
      </c>
      <c r="E103" s="20"/>
      <c r="F103" s="14"/>
      <c r="G103" s="14"/>
      <c r="H103" s="19" t="n">
        <v>2000</v>
      </c>
      <c r="I103" s="14" t="n">
        <v>1200</v>
      </c>
      <c r="J103" s="14"/>
      <c r="K103" s="14" t="n">
        <v>800</v>
      </c>
      <c r="L103" s="16"/>
      <c r="M103" s="17" t="n">
        <v>45878</v>
      </c>
      <c r="N103" s="14" t="n">
        <f aca="false">DAY(M103)</f>
        <v>9</v>
      </c>
      <c r="O103" s="14" t="str">
        <f aca="false">TEXT(M103,"DDDD")</f>
        <v>sábado</v>
      </c>
      <c r="P103" s="18" t="n">
        <f aca="false">MONTH(M103)</f>
        <v>8</v>
      </c>
      <c r="Q103" s="14" t="str">
        <f aca="false">TEXT(M103,"MMMM")</f>
        <v>agosto</v>
      </c>
    </row>
    <row r="104" customFormat="false" ht="14.25" hidden="false" customHeight="false" outlineLevel="0" collapsed="false">
      <c r="A104" s="1" t="n">
        <v>11</v>
      </c>
      <c r="B104" s="14" t="s">
        <v>215</v>
      </c>
      <c r="C104" s="14" t="s">
        <v>20</v>
      </c>
      <c r="D104" s="19" t="s">
        <v>216</v>
      </c>
      <c r="E104" s="20"/>
      <c r="F104" s="14"/>
      <c r="G104" s="14"/>
      <c r="H104" s="19" t="n">
        <v>1700</v>
      </c>
      <c r="I104" s="14" t="n">
        <v>1200</v>
      </c>
      <c r="J104" s="14"/>
      <c r="K104" s="14" t="n">
        <v>500</v>
      </c>
      <c r="L104" s="16"/>
      <c r="M104" s="17" t="n">
        <v>45878</v>
      </c>
      <c r="N104" s="14" t="n">
        <f aca="false">DAY(M104)</f>
        <v>9</v>
      </c>
      <c r="O104" s="14" t="str">
        <f aca="false">TEXT(M104,"DDDD")</f>
        <v>sábado</v>
      </c>
      <c r="P104" s="18" t="n">
        <f aca="false">MONTH(M104)</f>
        <v>8</v>
      </c>
      <c r="Q104" s="14" t="str">
        <f aca="false">TEXT(M104,"MMMM")</f>
        <v>agosto</v>
      </c>
    </row>
    <row r="105" customFormat="false" ht="14.25" hidden="false" customHeight="false" outlineLevel="0" collapsed="false">
      <c r="A105" s="1" t="n">
        <v>11</v>
      </c>
      <c r="B105" s="14" t="s">
        <v>217</v>
      </c>
      <c r="C105" s="14" t="s">
        <v>20</v>
      </c>
      <c r="D105" s="19" t="s">
        <v>218</v>
      </c>
      <c r="E105" s="20"/>
      <c r="F105" s="14"/>
      <c r="G105" s="14"/>
      <c r="H105" s="19" t="n">
        <v>1830</v>
      </c>
      <c r="I105" s="14" t="n">
        <v>1830</v>
      </c>
      <c r="J105" s="14"/>
      <c r="K105" s="14"/>
      <c r="L105" s="16"/>
      <c r="M105" s="17" t="n">
        <v>45878</v>
      </c>
      <c r="N105" s="14" t="n">
        <f aca="false">DAY(M105)</f>
        <v>9</v>
      </c>
      <c r="O105" s="14" t="str">
        <f aca="false">TEXT(M105,"DDDD")</f>
        <v>sábado</v>
      </c>
      <c r="P105" s="18" t="n">
        <f aca="false">MONTH(M105)</f>
        <v>8</v>
      </c>
      <c r="Q105" s="14" t="str">
        <f aca="false">TEXT(M105,"MMMM")</f>
        <v>agosto</v>
      </c>
    </row>
    <row r="106" customFormat="false" ht="14.25" hidden="false" customHeight="false" outlineLevel="0" collapsed="false">
      <c r="A106" s="1" t="n">
        <v>11</v>
      </c>
      <c r="B106" s="14" t="s">
        <v>219</v>
      </c>
      <c r="C106" s="14" t="s">
        <v>20</v>
      </c>
      <c r="D106" s="19" t="s">
        <v>220</v>
      </c>
      <c r="E106" s="20"/>
      <c r="F106" s="14"/>
      <c r="G106" s="14"/>
      <c r="H106" s="19" t="n">
        <v>3930</v>
      </c>
      <c r="I106" s="14" t="n">
        <v>3930</v>
      </c>
      <c r="J106" s="14"/>
      <c r="K106" s="14"/>
      <c r="L106" s="16"/>
      <c r="M106" s="17" t="n">
        <v>45878</v>
      </c>
      <c r="N106" s="14" t="n">
        <f aca="false">DAY(M106)</f>
        <v>9</v>
      </c>
      <c r="O106" s="14" t="str">
        <f aca="false">TEXT(M106,"DDDD")</f>
        <v>sábado</v>
      </c>
      <c r="P106" s="18" t="n">
        <f aca="false">MONTH(M106)</f>
        <v>8</v>
      </c>
      <c r="Q106" s="14" t="str">
        <f aca="false">TEXT(M106,"MMMM")</f>
        <v>agosto</v>
      </c>
    </row>
    <row r="107" customFormat="false" ht="14.25" hidden="false" customHeight="false" outlineLevel="0" collapsed="false">
      <c r="A107" s="1" t="n">
        <v>10</v>
      </c>
      <c r="B107" s="14" t="s">
        <v>164</v>
      </c>
      <c r="C107" s="14" t="s">
        <v>38</v>
      </c>
      <c r="D107" s="19" t="s">
        <v>221</v>
      </c>
      <c r="E107" s="20"/>
      <c r="F107" s="14"/>
      <c r="G107" s="14"/>
      <c r="H107" s="19" t="n">
        <v>1950</v>
      </c>
      <c r="I107" s="14" t="n">
        <v>1200</v>
      </c>
      <c r="J107" s="14"/>
      <c r="K107" s="14" t="n">
        <v>750</v>
      </c>
      <c r="L107" s="16"/>
      <c r="M107" s="17" t="n">
        <v>45878</v>
      </c>
      <c r="N107" s="14" t="n">
        <f aca="false">DAY(M107)</f>
        <v>9</v>
      </c>
      <c r="O107" s="14" t="str">
        <f aca="false">TEXT(M107,"DDDD")</f>
        <v>sábado</v>
      </c>
      <c r="P107" s="18" t="n">
        <f aca="false">MONTH(M107)</f>
        <v>8</v>
      </c>
      <c r="Q107" s="14" t="str">
        <f aca="false">TEXT(M107,"MMMM")</f>
        <v>agosto</v>
      </c>
    </row>
    <row r="108" customFormat="false" ht="14.25" hidden="false" customHeight="false" outlineLevel="0" collapsed="false">
      <c r="A108" s="1" t="n">
        <v>10</v>
      </c>
      <c r="B108" s="14" t="s">
        <v>222</v>
      </c>
      <c r="C108" s="14" t="s">
        <v>38</v>
      </c>
      <c r="D108" s="19" t="s">
        <v>223</v>
      </c>
      <c r="E108" s="20"/>
      <c r="F108" s="14"/>
      <c r="G108" s="14"/>
      <c r="H108" s="19" t="n">
        <v>1761</v>
      </c>
      <c r="I108" s="14" t="n">
        <v>1760</v>
      </c>
      <c r="J108" s="14"/>
      <c r="K108" s="14" t="n">
        <v>1</v>
      </c>
      <c r="L108" s="16"/>
      <c r="M108" s="17" t="n">
        <v>45878</v>
      </c>
      <c r="N108" s="14" t="n">
        <f aca="false">DAY(M108)</f>
        <v>9</v>
      </c>
      <c r="O108" s="14" t="str">
        <f aca="false">TEXT(M108,"DDDD")</f>
        <v>sábado</v>
      </c>
      <c r="P108" s="18" t="n">
        <f aca="false">MONTH(M108)</f>
        <v>8</v>
      </c>
      <c r="Q108" s="14" t="str">
        <f aca="false">TEXT(M108,"MMMM")</f>
        <v>agosto</v>
      </c>
    </row>
    <row r="109" customFormat="false" ht="14.25" hidden="false" customHeight="false" outlineLevel="0" collapsed="false">
      <c r="A109" s="1" t="n">
        <v>10</v>
      </c>
      <c r="B109" s="14" t="s">
        <v>224</v>
      </c>
      <c r="C109" s="14" t="s">
        <v>20</v>
      </c>
      <c r="D109" s="19" t="s">
        <v>152</v>
      </c>
      <c r="E109" s="20"/>
      <c r="F109" s="14"/>
      <c r="G109" s="14"/>
      <c r="H109" s="19" t="n">
        <v>1200</v>
      </c>
      <c r="I109" s="14" t="n">
        <v>1200</v>
      </c>
      <c r="J109" s="14"/>
      <c r="K109" s="14"/>
      <c r="L109" s="16"/>
      <c r="M109" s="17" t="n">
        <v>45878</v>
      </c>
      <c r="N109" s="14" t="n">
        <f aca="false">DAY(M109)</f>
        <v>9</v>
      </c>
      <c r="O109" s="14" t="str">
        <f aca="false">TEXT(M109,"DDDD")</f>
        <v>sábado</v>
      </c>
      <c r="P109" s="18" t="n">
        <f aca="false">MONTH(M109)</f>
        <v>8</v>
      </c>
      <c r="Q109" s="14" t="str">
        <f aca="false">TEXT(M109,"MMMM")</f>
        <v>agosto</v>
      </c>
    </row>
    <row r="110" customFormat="false" ht="14.25" hidden="false" customHeight="false" outlineLevel="0" collapsed="false">
      <c r="A110" s="1" t="n">
        <v>10</v>
      </c>
      <c r="B110" s="14" t="s">
        <v>225</v>
      </c>
      <c r="C110" s="14" t="s">
        <v>20</v>
      </c>
      <c r="D110" s="19" t="s">
        <v>226</v>
      </c>
      <c r="E110" s="20"/>
      <c r="F110" s="14"/>
      <c r="G110" s="14"/>
      <c r="H110" s="19" t="n">
        <v>3070</v>
      </c>
      <c r="I110" s="14" t="n">
        <v>1850</v>
      </c>
      <c r="J110" s="14"/>
      <c r="K110" s="14" t="n">
        <v>1220</v>
      </c>
      <c r="L110" s="16"/>
      <c r="M110" s="17" t="n">
        <v>45878</v>
      </c>
      <c r="N110" s="14" t="n">
        <f aca="false">DAY(M110)</f>
        <v>9</v>
      </c>
      <c r="O110" s="14" t="str">
        <f aca="false">TEXT(M110,"DDDD")</f>
        <v>sábado</v>
      </c>
      <c r="P110" s="18" t="n">
        <f aca="false">MONTH(M110)</f>
        <v>8</v>
      </c>
      <c r="Q110" s="14" t="str">
        <f aca="false">TEXT(M110,"MMMM")</f>
        <v>agosto</v>
      </c>
    </row>
    <row r="111" customFormat="false" ht="14.25" hidden="false" customHeight="false" outlineLevel="0" collapsed="false">
      <c r="A111" s="1" t="n">
        <v>10</v>
      </c>
      <c r="B111" s="14" t="s">
        <v>227</v>
      </c>
      <c r="C111" s="14" t="s">
        <v>20</v>
      </c>
      <c r="D111" s="19" t="s">
        <v>228</v>
      </c>
      <c r="E111" s="20"/>
      <c r="F111" s="14"/>
      <c r="G111" s="14"/>
      <c r="H111" s="19" t="n">
        <v>1740</v>
      </c>
      <c r="I111" s="14" t="n">
        <v>1540</v>
      </c>
      <c r="J111" s="14"/>
      <c r="K111" s="14" t="n">
        <v>200</v>
      </c>
      <c r="L111" s="16"/>
      <c r="M111" s="17" t="n">
        <v>45878</v>
      </c>
      <c r="N111" s="14" t="n">
        <f aca="false">DAY(M111)</f>
        <v>9</v>
      </c>
      <c r="O111" s="14" t="str">
        <f aca="false">TEXT(M111,"DDDD")</f>
        <v>sábado</v>
      </c>
      <c r="P111" s="18" t="n">
        <f aca="false">MONTH(M111)</f>
        <v>8</v>
      </c>
      <c r="Q111" s="14" t="str">
        <f aca="false">TEXT(M111,"MMMM")</f>
        <v>agosto</v>
      </c>
    </row>
    <row r="112" customFormat="false" ht="14.25" hidden="false" customHeight="false" outlineLevel="0" collapsed="false">
      <c r="A112" s="1" t="n">
        <v>10</v>
      </c>
      <c r="B112" s="14" t="s">
        <v>229</v>
      </c>
      <c r="C112" s="14" t="s">
        <v>20</v>
      </c>
      <c r="D112" s="19" t="s">
        <v>230</v>
      </c>
      <c r="E112" s="20"/>
      <c r="F112" s="14"/>
      <c r="G112" s="14"/>
      <c r="H112" s="19" t="n">
        <v>2280</v>
      </c>
      <c r="I112" s="14" t="n">
        <v>1200</v>
      </c>
      <c r="J112" s="14"/>
      <c r="K112" s="14" t="n">
        <v>1080</v>
      </c>
      <c r="L112" s="16"/>
      <c r="M112" s="17" t="n">
        <v>45878</v>
      </c>
      <c r="N112" s="14" t="n">
        <f aca="false">DAY(M112)</f>
        <v>9</v>
      </c>
      <c r="O112" s="14" t="str">
        <f aca="false">TEXT(M112,"DDDD")</f>
        <v>sábado</v>
      </c>
      <c r="P112" s="18" t="n">
        <f aca="false">MONTH(M112)</f>
        <v>8</v>
      </c>
      <c r="Q112" s="14" t="str">
        <f aca="false">TEXT(M112,"MMMM")</f>
        <v>agosto</v>
      </c>
    </row>
    <row r="113" customFormat="false" ht="14.25" hidden="false" customHeight="false" outlineLevel="0" collapsed="false">
      <c r="A113" s="1" t="n">
        <v>10</v>
      </c>
      <c r="B113" s="14" t="s">
        <v>231</v>
      </c>
      <c r="C113" s="14" t="s">
        <v>38</v>
      </c>
      <c r="D113" s="19" t="s">
        <v>232</v>
      </c>
      <c r="E113" s="20"/>
      <c r="F113" s="14"/>
      <c r="G113" s="14"/>
      <c r="H113" s="19" t="n">
        <v>1200</v>
      </c>
      <c r="I113" s="14"/>
      <c r="J113" s="14"/>
      <c r="K113" s="14"/>
      <c r="L113" s="16"/>
      <c r="M113" s="17" t="n">
        <v>45878</v>
      </c>
      <c r="N113" s="14" t="n">
        <f aca="false">DAY(M113)</f>
        <v>9</v>
      </c>
      <c r="O113" s="14" t="str">
        <f aca="false">TEXT(M113,"DDDD")</f>
        <v>sábado</v>
      </c>
      <c r="P113" s="18" t="n">
        <f aca="false">MONTH(M113)</f>
        <v>8</v>
      </c>
      <c r="Q113" s="14" t="str">
        <f aca="false">TEXT(M113,"MMMM")</f>
        <v>agosto</v>
      </c>
    </row>
    <row r="114" customFormat="false" ht="14.25" hidden="false" customHeight="false" outlineLevel="0" collapsed="false">
      <c r="A114" s="1" t="n">
        <v>9</v>
      </c>
      <c r="B114" s="14" t="s">
        <v>233</v>
      </c>
      <c r="C114" s="14" t="s">
        <v>20</v>
      </c>
      <c r="D114" s="19" t="s">
        <v>234</v>
      </c>
      <c r="E114" s="20"/>
      <c r="F114" s="14"/>
      <c r="G114" s="14"/>
      <c r="H114" s="19" t="n">
        <v>2680</v>
      </c>
      <c r="I114" s="14" t="n">
        <v>1200</v>
      </c>
      <c r="J114" s="14"/>
      <c r="K114" s="14" t="n">
        <v>1480</v>
      </c>
      <c r="L114" s="16"/>
      <c r="M114" s="17" t="n">
        <v>45878</v>
      </c>
      <c r="N114" s="14" t="n">
        <f aca="false">DAY(M114)</f>
        <v>9</v>
      </c>
      <c r="O114" s="14" t="str">
        <f aca="false">TEXT(M114,"DDDD")</f>
        <v>sábado</v>
      </c>
      <c r="P114" s="18" t="n">
        <f aca="false">MONTH(M114)</f>
        <v>8</v>
      </c>
      <c r="Q114" s="14" t="str">
        <f aca="false">TEXT(M114,"MMMM")</f>
        <v>agosto</v>
      </c>
    </row>
    <row r="115" customFormat="false" ht="14.25" hidden="false" customHeight="false" outlineLevel="0" collapsed="false">
      <c r="A115" s="1" t="n">
        <v>9</v>
      </c>
      <c r="B115" s="14" t="s">
        <v>235</v>
      </c>
      <c r="C115" s="14" t="s">
        <v>20</v>
      </c>
      <c r="D115" s="19" t="s">
        <v>236</v>
      </c>
      <c r="E115" s="20"/>
      <c r="F115" s="14"/>
      <c r="G115" s="14"/>
      <c r="H115" s="19" t="n">
        <v>2250</v>
      </c>
      <c r="I115" s="14" t="n">
        <v>1200</v>
      </c>
      <c r="J115" s="14"/>
      <c r="K115" s="14" t="n">
        <v>1050</v>
      </c>
      <c r="L115" s="16"/>
      <c r="M115" s="17" t="n">
        <v>45878</v>
      </c>
      <c r="N115" s="14" t="n">
        <f aca="false">DAY(M115)</f>
        <v>9</v>
      </c>
      <c r="O115" s="14" t="str">
        <f aca="false">TEXT(M115,"DDDD")</f>
        <v>sábado</v>
      </c>
      <c r="P115" s="18" t="n">
        <f aca="false">MONTH(M115)</f>
        <v>8</v>
      </c>
      <c r="Q115" s="14" t="str">
        <f aca="false">TEXT(M115,"MMMM")</f>
        <v>agosto</v>
      </c>
    </row>
    <row r="116" customFormat="false" ht="14.25" hidden="false" customHeight="false" outlineLevel="0" collapsed="false">
      <c r="A116" s="1" t="n">
        <v>9</v>
      </c>
      <c r="B116" s="14" t="s">
        <v>100</v>
      </c>
      <c r="C116" s="14" t="s">
        <v>20</v>
      </c>
      <c r="D116" s="19" t="s">
        <v>237</v>
      </c>
      <c r="E116" s="20"/>
      <c r="F116" s="14"/>
      <c r="G116" s="14"/>
      <c r="H116" s="19" t="n">
        <v>2700</v>
      </c>
      <c r="I116" s="14" t="n">
        <v>1200</v>
      </c>
      <c r="J116" s="14"/>
      <c r="K116" s="14" t="n">
        <v>1500</v>
      </c>
      <c r="L116" s="16"/>
      <c r="M116" s="17" t="n">
        <v>45878</v>
      </c>
      <c r="N116" s="14" t="n">
        <f aca="false">DAY(M116)</f>
        <v>9</v>
      </c>
      <c r="O116" s="14" t="str">
        <f aca="false">TEXT(M116,"DDDD")</f>
        <v>sábado</v>
      </c>
      <c r="P116" s="18" t="n">
        <f aca="false">MONTH(M116)</f>
        <v>8</v>
      </c>
      <c r="Q116" s="14" t="str">
        <f aca="false">TEXT(M116,"MMMM")</f>
        <v>agosto</v>
      </c>
    </row>
    <row r="117" customFormat="false" ht="14.25" hidden="false" customHeight="false" outlineLevel="0" collapsed="false">
      <c r="A117" s="1" t="n">
        <v>12</v>
      </c>
      <c r="B117" s="14" t="s">
        <v>238</v>
      </c>
      <c r="C117" s="14" t="s">
        <v>20</v>
      </c>
      <c r="D117" s="19" t="s">
        <v>239</v>
      </c>
      <c r="E117" s="20"/>
      <c r="F117" s="19"/>
      <c r="G117" s="19"/>
      <c r="H117" s="19" t="n">
        <v>2510</v>
      </c>
      <c r="I117" s="14" t="n">
        <v>1210</v>
      </c>
      <c r="J117" s="19"/>
      <c r="K117" s="14" t="n">
        <v>1300</v>
      </c>
      <c r="L117" s="16"/>
      <c r="M117" s="17" t="n">
        <v>45879</v>
      </c>
      <c r="N117" s="14" t="n">
        <f aca="false">DAY(M117)</f>
        <v>10</v>
      </c>
      <c r="O117" s="14" t="str">
        <f aca="false">TEXT(M117,"DDDD")</f>
        <v>domingo</v>
      </c>
      <c r="P117" s="23"/>
      <c r="Q117" s="19"/>
      <c r="R117" s="21" t="s">
        <v>83</v>
      </c>
      <c r="S117" s="1" t="n">
        <v>15355</v>
      </c>
    </row>
    <row r="118" customFormat="false" ht="14.25" hidden="false" customHeight="false" outlineLevel="0" collapsed="false">
      <c r="A118" s="1" t="n">
        <v>12</v>
      </c>
      <c r="B118" s="14" t="s">
        <v>240</v>
      </c>
      <c r="C118" s="14" t="s">
        <v>20</v>
      </c>
      <c r="D118" s="19" t="s">
        <v>55</v>
      </c>
      <c r="E118" s="20"/>
      <c r="F118" s="19"/>
      <c r="G118" s="19"/>
      <c r="H118" s="19" t="n">
        <v>1550</v>
      </c>
      <c r="I118" s="14" t="n">
        <v>1200</v>
      </c>
      <c r="J118" s="19"/>
      <c r="K118" s="14" t="n">
        <v>350</v>
      </c>
      <c r="L118" s="16"/>
      <c r="M118" s="17" t="n">
        <v>45879</v>
      </c>
      <c r="N118" s="14" t="n">
        <f aca="false">DAY(M118)</f>
        <v>10</v>
      </c>
      <c r="O118" s="14" t="str">
        <f aca="false">TEXT(M118,"DDDD")</f>
        <v>domingo</v>
      </c>
      <c r="P118" s="23"/>
      <c r="Q118" s="19"/>
    </row>
    <row r="119" customFormat="false" ht="14.25" hidden="false" customHeight="false" outlineLevel="0" collapsed="false">
      <c r="A119" s="1" t="n">
        <v>12</v>
      </c>
      <c r="B119" s="14" t="s">
        <v>241</v>
      </c>
      <c r="C119" s="14" t="s">
        <v>20</v>
      </c>
      <c r="D119" s="19" t="s">
        <v>242</v>
      </c>
      <c r="E119" s="20"/>
      <c r="F119" s="19" t="s">
        <v>243</v>
      </c>
      <c r="G119" s="19"/>
      <c r="H119" s="19" t="n">
        <v>4900</v>
      </c>
      <c r="I119" s="14" t="n">
        <v>2100</v>
      </c>
      <c r="J119" s="19"/>
      <c r="K119" s="14" t="n">
        <v>2800</v>
      </c>
      <c r="L119" s="16"/>
      <c r="M119" s="17" t="n">
        <v>45879</v>
      </c>
      <c r="N119" s="14" t="n">
        <f aca="false">DAY(M119)</f>
        <v>10</v>
      </c>
      <c r="O119" s="14" t="str">
        <f aca="false">TEXT(M119,"DDDD")</f>
        <v>domingo</v>
      </c>
      <c r="P119" s="23"/>
      <c r="Q119" s="19"/>
    </row>
    <row r="120" customFormat="false" ht="14.25" hidden="false" customHeight="false" outlineLevel="0" collapsed="false">
      <c r="A120" s="1" t="n">
        <v>11</v>
      </c>
      <c r="B120" s="14" t="s">
        <v>244</v>
      </c>
      <c r="C120" s="14" t="s">
        <v>20</v>
      </c>
      <c r="D120" s="19" t="s">
        <v>245</v>
      </c>
      <c r="E120" s="20"/>
      <c r="F120" s="14" t="s">
        <v>246</v>
      </c>
      <c r="G120" s="14"/>
      <c r="H120" s="19" t="n">
        <v>4210</v>
      </c>
      <c r="I120" s="14" t="n">
        <v>2710</v>
      </c>
      <c r="J120" s="14"/>
      <c r="K120" s="14" t="n">
        <v>1500</v>
      </c>
      <c r="L120" s="16"/>
      <c r="M120" s="17" t="n">
        <v>45879</v>
      </c>
      <c r="N120" s="14" t="n">
        <f aca="false">DAY(M120)</f>
        <v>10</v>
      </c>
      <c r="O120" s="14" t="str">
        <f aca="false">TEXT(M120,"DDDD")</f>
        <v>domingo</v>
      </c>
      <c r="P120" s="18" t="n">
        <f aca="false">MONTH(M120)</f>
        <v>8</v>
      </c>
      <c r="Q120" s="14" t="str">
        <f aca="false">TEXT(M120,"MMMM")</f>
        <v>agosto</v>
      </c>
    </row>
    <row r="121" customFormat="false" ht="14.25" hidden="false" customHeight="false" outlineLevel="0" collapsed="false">
      <c r="A121" s="1" t="n">
        <v>11</v>
      </c>
      <c r="B121" s="14" t="s">
        <v>247</v>
      </c>
      <c r="C121" s="14" t="s">
        <v>38</v>
      </c>
      <c r="D121" s="19" t="s">
        <v>248</v>
      </c>
      <c r="E121" s="20"/>
      <c r="F121" s="14"/>
      <c r="G121" s="14"/>
      <c r="H121" s="19" t="n">
        <v>2720</v>
      </c>
      <c r="I121" s="14" t="n">
        <v>2620</v>
      </c>
      <c r="J121" s="14"/>
      <c r="K121" s="14" t="n">
        <v>100</v>
      </c>
      <c r="L121" s="16"/>
      <c r="M121" s="17" t="n">
        <v>45879</v>
      </c>
      <c r="N121" s="14" t="n">
        <f aca="false">DAY(M121)</f>
        <v>10</v>
      </c>
      <c r="O121" s="14" t="str">
        <f aca="false">TEXT(M121,"DDDD")</f>
        <v>domingo</v>
      </c>
      <c r="P121" s="18" t="n">
        <f aca="false">MONTH(M121)</f>
        <v>8</v>
      </c>
      <c r="Q121" s="14" t="str">
        <f aca="false">TEXT(M121,"MMMM")</f>
        <v>agosto</v>
      </c>
    </row>
    <row r="122" customFormat="false" ht="14.25" hidden="false" customHeight="false" outlineLevel="0" collapsed="false">
      <c r="A122" s="1" t="n">
        <v>11</v>
      </c>
      <c r="B122" s="14" t="s">
        <v>249</v>
      </c>
      <c r="C122" s="14" t="s">
        <v>38</v>
      </c>
      <c r="D122" s="19" t="s">
        <v>250</v>
      </c>
      <c r="E122" s="20"/>
      <c r="F122" s="19"/>
      <c r="G122" s="19"/>
      <c r="H122" s="19" t="n">
        <v>2380</v>
      </c>
      <c r="I122" s="14" t="n">
        <v>1200</v>
      </c>
      <c r="J122" s="19"/>
      <c r="K122" s="14" t="n">
        <v>1180</v>
      </c>
      <c r="L122" s="16"/>
      <c r="M122" s="17" t="n">
        <v>45879</v>
      </c>
      <c r="N122" s="14" t="n">
        <f aca="false">DAY(M122)</f>
        <v>10</v>
      </c>
      <c r="O122" s="14" t="str">
        <f aca="false">TEXT(M122,"DDDD")</f>
        <v>domingo</v>
      </c>
      <c r="P122" s="23"/>
      <c r="Q122" s="19"/>
    </row>
    <row r="123" customFormat="false" ht="14.25" hidden="false" customHeight="false" outlineLevel="0" collapsed="false">
      <c r="A123" s="1" t="n">
        <v>11</v>
      </c>
      <c r="B123" s="14" t="s">
        <v>251</v>
      </c>
      <c r="C123" s="14" t="s">
        <v>20</v>
      </c>
      <c r="D123" s="19" t="s">
        <v>252</v>
      </c>
      <c r="E123" s="20"/>
      <c r="F123" s="19"/>
      <c r="G123" s="19"/>
      <c r="H123" s="19" t="n">
        <v>1200</v>
      </c>
      <c r="I123" s="14" t="n">
        <v>1200</v>
      </c>
      <c r="J123" s="19"/>
      <c r="K123" s="19"/>
      <c r="L123" s="24"/>
      <c r="M123" s="17" t="n">
        <v>45879</v>
      </c>
      <c r="N123" s="14" t="n">
        <f aca="false">DAY(M123)</f>
        <v>10</v>
      </c>
      <c r="O123" s="14" t="str">
        <f aca="false">TEXT(M123,"DDDD")</f>
        <v>domingo</v>
      </c>
      <c r="P123" s="23"/>
      <c r="Q123" s="19"/>
    </row>
    <row r="124" customFormat="false" ht="14.25" hidden="false" customHeight="false" outlineLevel="0" collapsed="false">
      <c r="A124" s="1" t="n">
        <v>11</v>
      </c>
      <c r="B124" s="14" t="s">
        <v>253</v>
      </c>
      <c r="C124" s="14" t="s">
        <v>20</v>
      </c>
      <c r="D124" s="19" t="s">
        <v>254</v>
      </c>
      <c r="E124" s="20"/>
      <c r="F124" s="19"/>
      <c r="G124" s="19"/>
      <c r="H124" s="19" t="n">
        <v>3000</v>
      </c>
      <c r="I124" s="14" t="n">
        <v>1260</v>
      </c>
      <c r="J124" s="19"/>
      <c r="K124" s="14" t="n">
        <v>1740</v>
      </c>
      <c r="L124" s="16"/>
      <c r="M124" s="17" t="n">
        <v>45879</v>
      </c>
      <c r="N124" s="14" t="n">
        <f aca="false">DAY(M124)</f>
        <v>10</v>
      </c>
      <c r="O124" s="14" t="str">
        <f aca="false">TEXT(M124,"DDDD")</f>
        <v>domingo</v>
      </c>
      <c r="P124" s="23"/>
      <c r="Q124" s="19"/>
    </row>
    <row r="125" customFormat="false" ht="14.25" hidden="false" customHeight="false" outlineLevel="0" collapsed="false">
      <c r="A125" s="1" t="n">
        <v>11</v>
      </c>
      <c r="B125" s="14" t="s">
        <v>255</v>
      </c>
      <c r="C125" s="14" t="s">
        <v>20</v>
      </c>
      <c r="D125" s="19" t="s">
        <v>256</v>
      </c>
      <c r="E125" s="20"/>
      <c r="F125" s="19"/>
      <c r="G125" s="19"/>
      <c r="H125" s="19" t="n">
        <v>2020</v>
      </c>
      <c r="I125" s="14" t="n">
        <v>1200</v>
      </c>
      <c r="J125" s="19"/>
      <c r="K125" s="14" t="n">
        <v>820</v>
      </c>
      <c r="L125" s="16"/>
      <c r="M125" s="17" t="n">
        <v>45879</v>
      </c>
      <c r="N125" s="14" t="n">
        <f aca="false">DAY(M125)</f>
        <v>10</v>
      </c>
      <c r="O125" s="14" t="str">
        <f aca="false">TEXT(M125,"DDDD")</f>
        <v>domingo</v>
      </c>
      <c r="P125" s="23"/>
      <c r="Q125" s="19"/>
      <c r="R125" s="21" t="s">
        <v>83</v>
      </c>
      <c r="S125" s="1" t="n">
        <v>10819</v>
      </c>
    </row>
    <row r="126" customFormat="false" ht="14.25" hidden="false" customHeight="false" outlineLevel="0" collapsed="false">
      <c r="A126" s="1" t="n">
        <v>11</v>
      </c>
      <c r="B126" s="14" t="s">
        <v>257</v>
      </c>
      <c r="C126" s="14" t="s">
        <v>20</v>
      </c>
      <c r="D126" s="19" t="s">
        <v>47</v>
      </c>
      <c r="E126" s="20"/>
      <c r="F126" s="19"/>
      <c r="G126" s="19"/>
      <c r="H126" s="19" t="n">
        <v>1200</v>
      </c>
      <c r="I126" s="14" t="n">
        <v>1200</v>
      </c>
      <c r="J126" s="19"/>
      <c r="K126" s="19"/>
      <c r="L126" s="24"/>
      <c r="M126" s="17" t="n">
        <v>45879</v>
      </c>
      <c r="N126" s="14" t="n">
        <f aca="false">DAY(M126)</f>
        <v>10</v>
      </c>
      <c r="O126" s="14" t="str">
        <f aca="false">TEXT(M126,"DDDD")</f>
        <v>domingo</v>
      </c>
      <c r="P126" s="23"/>
      <c r="Q126" s="19"/>
    </row>
    <row r="127" customFormat="false" ht="14.25" hidden="false" customHeight="false" outlineLevel="0" collapsed="false">
      <c r="A127" s="1" t="n">
        <v>11</v>
      </c>
      <c r="B127" s="14" t="s">
        <v>258</v>
      </c>
      <c r="C127" s="14" t="s">
        <v>20</v>
      </c>
      <c r="D127" s="19" t="s">
        <v>259</v>
      </c>
      <c r="E127" s="20"/>
      <c r="F127" s="19" t="s">
        <v>259</v>
      </c>
      <c r="G127" s="19"/>
      <c r="H127" s="19" t="n">
        <v>3380</v>
      </c>
      <c r="I127" s="14" t="n">
        <v>1800</v>
      </c>
      <c r="J127" s="19"/>
      <c r="K127" s="14" t="n">
        <v>1580</v>
      </c>
      <c r="L127" s="16"/>
      <c r="M127" s="17" t="n">
        <v>45879</v>
      </c>
      <c r="N127" s="14" t="n">
        <f aca="false">DAY(M127)</f>
        <v>10</v>
      </c>
      <c r="O127" s="14" t="str">
        <f aca="false">TEXT(M127,"DDDD")</f>
        <v>domingo</v>
      </c>
      <c r="P127" s="23"/>
      <c r="Q127" s="19"/>
      <c r="R127" s="21" t="s">
        <v>83</v>
      </c>
      <c r="S127" s="1" t="n">
        <v>34860</v>
      </c>
    </row>
    <row r="128" customFormat="false" ht="14.25" hidden="false" customHeight="false" outlineLevel="0" collapsed="false">
      <c r="A128" s="1" t="n">
        <v>10</v>
      </c>
      <c r="B128" s="14" t="s">
        <v>260</v>
      </c>
      <c r="C128" s="14" t="s">
        <v>20</v>
      </c>
      <c r="D128" s="19" t="s">
        <v>261</v>
      </c>
      <c r="E128" s="20"/>
      <c r="F128" s="19"/>
      <c r="G128" s="19"/>
      <c r="H128" s="19" t="n">
        <v>4200</v>
      </c>
      <c r="I128" s="14" t="n">
        <v>1200</v>
      </c>
      <c r="J128" s="19"/>
      <c r="K128" s="14" t="n">
        <v>3000</v>
      </c>
      <c r="L128" s="16"/>
      <c r="M128" s="17" t="n">
        <v>45879</v>
      </c>
      <c r="N128" s="14" t="n">
        <f aca="false">DAY(M128)</f>
        <v>10</v>
      </c>
      <c r="O128" s="14" t="str">
        <f aca="false">TEXT(M128,"DDDD")</f>
        <v>domingo</v>
      </c>
      <c r="P128" s="23"/>
      <c r="Q128" s="19"/>
    </row>
    <row r="129" customFormat="false" ht="14.25" hidden="false" customHeight="false" outlineLevel="0" collapsed="false">
      <c r="A129" s="1" t="n">
        <v>10</v>
      </c>
      <c r="B129" s="14" t="s">
        <v>229</v>
      </c>
      <c r="C129" s="14" t="s">
        <v>38</v>
      </c>
      <c r="D129" s="19" t="s">
        <v>262</v>
      </c>
      <c r="E129" s="20"/>
      <c r="F129" s="19"/>
      <c r="G129" s="19"/>
      <c r="H129" s="19" t="n">
        <v>1520</v>
      </c>
      <c r="I129" s="14" t="n">
        <v>1520</v>
      </c>
      <c r="J129" s="19"/>
      <c r="K129" s="19"/>
      <c r="L129" s="24"/>
      <c r="M129" s="17" t="n">
        <v>45879</v>
      </c>
      <c r="N129" s="14" t="n">
        <f aca="false">DAY(M129)</f>
        <v>10</v>
      </c>
      <c r="O129" s="14" t="str">
        <f aca="false">TEXT(M129,"DDDD")</f>
        <v>domingo</v>
      </c>
      <c r="P129" s="23"/>
      <c r="Q129" s="19"/>
    </row>
    <row r="130" customFormat="false" ht="14.25" hidden="false" customHeight="false" outlineLevel="0" collapsed="false">
      <c r="A130" s="1" t="n">
        <v>9</v>
      </c>
      <c r="B130" s="14" t="s">
        <v>263</v>
      </c>
      <c r="C130" s="14" t="s">
        <v>38</v>
      </c>
      <c r="D130" s="19" t="s">
        <v>198</v>
      </c>
      <c r="E130" s="20"/>
      <c r="F130" s="14"/>
      <c r="G130" s="14"/>
      <c r="H130" s="19" t="n">
        <v>1200</v>
      </c>
      <c r="I130" s="14" t="n">
        <v>1200</v>
      </c>
      <c r="J130" s="14"/>
      <c r="K130" s="14"/>
      <c r="L130" s="16"/>
      <c r="M130" s="17" t="n">
        <v>45879</v>
      </c>
      <c r="N130" s="14" t="n">
        <f aca="false">DAY(M130)</f>
        <v>10</v>
      </c>
      <c r="O130" s="14" t="str">
        <f aca="false">TEXT(M130,"DDDD")</f>
        <v>domingo</v>
      </c>
      <c r="P130" s="18" t="n">
        <f aca="false">MONTH(M130)</f>
        <v>8</v>
      </c>
      <c r="Q130" s="14" t="str">
        <f aca="false">TEXT(M130,"MMMM")</f>
        <v>agosto</v>
      </c>
    </row>
    <row r="131" customFormat="false" ht="14.25" hidden="false" customHeight="false" outlineLevel="0" collapsed="false">
      <c r="A131" s="1" t="n">
        <v>9</v>
      </c>
      <c r="B131" s="14" t="s">
        <v>264</v>
      </c>
      <c r="C131" s="14" t="s">
        <v>20</v>
      </c>
      <c r="D131" s="19" t="s">
        <v>82</v>
      </c>
      <c r="E131" s="20"/>
      <c r="F131" s="14"/>
      <c r="G131" s="14"/>
      <c r="H131" s="19" t="n">
        <v>1640</v>
      </c>
      <c r="I131" s="14" t="n">
        <v>1200</v>
      </c>
      <c r="J131" s="14"/>
      <c r="K131" s="14" t="n">
        <v>440</v>
      </c>
      <c r="L131" s="16"/>
      <c r="M131" s="17" t="n">
        <v>45879</v>
      </c>
      <c r="N131" s="14" t="n">
        <f aca="false">DAY(M131)</f>
        <v>10</v>
      </c>
      <c r="O131" s="14" t="str">
        <f aca="false">TEXT(M131,"DDDD")</f>
        <v>domingo</v>
      </c>
      <c r="P131" s="18" t="n">
        <f aca="false">MONTH(M131)</f>
        <v>8</v>
      </c>
      <c r="Q131" s="14" t="str">
        <f aca="false">TEXT(M131,"MMMM")</f>
        <v>agosto</v>
      </c>
      <c r="R131" s="21" t="s">
        <v>83</v>
      </c>
      <c r="S131" s="1" t="n">
        <v>10000</v>
      </c>
    </row>
    <row r="132" customFormat="false" ht="14.25" hidden="false" customHeight="false" outlineLevel="0" collapsed="false">
      <c r="A132" s="1" t="n">
        <v>9</v>
      </c>
      <c r="B132" s="14" t="s">
        <v>265</v>
      </c>
      <c r="C132" s="14" t="s">
        <v>20</v>
      </c>
      <c r="D132" s="19" t="s">
        <v>266</v>
      </c>
      <c r="E132" s="20"/>
      <c r="F132" s="14" t="s">
        <v>267</v>
      </c>
      <c r="G132" s="14"/>
      <c r="H132" s="19" t="n">
        <v>3880</v>
      </c>
      <c r="I132" s="14" t="n">
        <v>1990</v>
      </c>
      <c r="J132" s="14"/>
      <c r="K132" s="14" t="n">
        <v>1890</v>
      </c>
      <c r="L132" s="16"/>
      <c r="M132" s="17" t="n">
        <v>45879</v>
      </c>
      <c r="N132" s="14" t="n">
        <f aca="false">DAY(M132)</f>
        <v>10</v>
      </c>
      <c r="O132" s="14" t="str">
        <f aca="false">TEXT(M132,"DDDD")</f>
        <v>domingo</v>
      </c>
      <c r="P132" s="18" t="n">
        <f aca="false">MONTH(M132)</f>
        <v>8</v>
      </c>
      <c r="Q132" s="14" t="str">
        <f aca="false">TEXT(M132,"MMMM")</f>
        <v>agosto</v>
      </c>
    </row>
    <row r="133" customFormat="false" ht="14.25" hidden="false" customHeight="false" outlineLevel="0" collapsed="false">
      <c r="A133" s="1" t="n">
        <v>8</v>
      </c>
      <c r="B133" s="14" t="s">
        <v>268</v>
      </c>
      <c r="C133" s="14" t="s">
        <v>38</v>
      </c>
      <c r="D133" s="19" t="s">
        <v>152</v>
      </c>
      <c r="E133" s="20"/>
      <c r="F133" s="19" t="s">
        <v>152</v>
      </c>
      <c r="G133" s="19"/>
      <c r="H133" s="19" t="n">
        <v>3503.88</v>
      </c>
      <c r="I133" s="14" t="n">
        <v>1800</v>
      </c>
      <c r="J133" s="14"/>
      <c r="K133" s="14" t="n">
        <v>1703.9</v>
      </c>
      <c r="L133" s="16"/>
      <c r="M133" s="17" t="n">
        <v>45879</v>
      </c>
      <c r="N133" s="14" t="n">
        <f aca="false">DAY(M133)</f>
        <v>10</v>
      </c>
      <c r="O133" s="14" t="str">
        <f aca="false">TEXT(M133,"DDDD")</f>
        <v>domingo</v>
      </c>
      <c r="P133" s="18" t="n">
        <f aca="false">MONTH(M133)</f>
        <v>8</v>
      </c>
      <c r="Q133" s="14" t="str">
        <f aca="false">TEXT(M133,"MMMM")</f>
        <v>agosto</v>
      </c>
    </row>
    <row r="134" customFormat="false" ht="14.25" hidden="false" customHeight="false" outlineLevel="0" collapsed="false">
      <c r="A134" s="1" t="n">
        <v>3</v>
      </c>
      <c r="B134" s="14" t="s">
        <v>269</v>
      </c>
      <c r="C134" s="14" t="s">
        <v>20</v>
      </c>
      <c r="D134" s="19" t="s">
        <v>270</v>
      </c>
      <c r="E134" s="20"/>
      <c r="F134" s="19" t="s">
        <v>270</v>
      </c>
      <c r="G134" s="19"/>
      <c r="H134" s="19" t="n">
        <v>5980</v>
      </c>
      <c r="I134" s="14" t="n">
        <v>3040</v>
      </c>
      <c r="J134" s="19"/>
      <c r="K134" s="14" t="n">
        <v>2940</v>
      </c>
      <c r="L134" s="16"/>
      <c r="M134" s="17" t="n">
        <v>45879</v>
      </c>
      <c r="N134" s="14" t="n">
        <f aca="false">DAY(M134)</f>
        <v>10</v>
      </c>
      <c r="O134" s="14" t="str">
        <f aca="false">TEXT(M134,"DDDD")</f>
        <v>domingo</v>
      </c>
      <c r="P134" s="23"/>
      <c r="Q134" s="19"/>
      <c r="R134" s="21" t="s">
        <v>83</v>
      </c>
      <c r="S134" s="1" t="n">
        <v>33792</v>
      </c>
    </row>
    <row r="135" customFormat="false" ht="14.25" hidden="false" customHeight="false" outlineLevel="0" collapsed="false">
      <c r="A135" s="1" t="n">
        <v>2</v>
      </c>
      <c r="B135" s="14" t="s">
        <v>271</v>
      </c>
      <c r="C135" s="14" t="s">
        <v>38</v>
      </c>
      <c r="D135" s="19" t="s">
        <v>272</v>
      </c>
      <c r="E135" s="20"/>
      <c r="F135" s="19"/>
      <c r="G135" s="19"/>
      <c r="H135" s="19"/>
      <c r="I135" s="19"/>
      <c r="J135" s="19"/>
      <c r="K135" s="19"/>
      <c r="L135" s="24"/>
      <c r="M135" s="17" t="n">
        <v>45879</v>
      </c>
      <c r="N135" s="14" t="n">
        <f aca="false">DAY(M135)</f>
        <v>10</v>
      </c>
      <c r="O135" s="14" t="str">
        <f aca="false">TEXT(M135,"DDDD")</f>
        <v>domingo</v>
      </c>
      <c r="P135" s="23"/>
      <c r="Q135" s="19"/>
    </row>
    <row r="136" customFormat="false" ht="14.25" hidden="false" customHeight="false" outlineLevel="0" collapsed="false">
      <c r="A136" s="1" t="n">
        <v>2</v>
      </c>
      <c r="B136" s="14" t="s">
        <v>273</v>
      </c>
      <c r="C136" s="14" t="s">
        <v>20</v>
      </c>
      <c r="D136" s="19" t="s">
        <v>274</v>
      </c>
      <c r="E136" s="20"/>
      <c r="F136" s="19"/>
      <c r="G136" s="19"/>
      <c r="H136" s="19" t="n">
        <v>2240</v>
      </c>
      <c r="I136" s="14" t="n">
        <v>1280</v>
      </c>
      <c r="J136" s="19"/>
      <c r="K136" s="14" t="n">
        <v>960</v>
      </c>
      <c r="L136" s="16"/>
      <c r="M136" s="17" t="n">
        <v>45879</v>
      </c>
      <c r="N136" s="14" t="n">
        <f aca="false">DAY(M136)</f>
        <v>10</v>
      </c>
      <c r="O136" s="14" t="str">
        <f aca="false">TEXT(M136,"DDDD")</f>
        <v>domingo</v>
      </c>
      <c r="P136" s="23"/>
      <c r="Q136" s="19"/>
    </row>
    <row r="137" customFormat="false" ht="14.25" hidden="false" customHeight="false" outlineLevel="0" collapsed="false">
      <c r="A137" s="1" t="n">
        <v>2</v>
      </c>
      <c r="B137" s="14" t="s">
        <v>275</v>
      </c>
      <c r="C137" s="14" t="s">
        <v>20</v>
      </c>
      <c r="D137" s="19" t="s">
        <v>213</v>
      </c>
      <c r="E137" s="20"/>
      <c r="F137" s="19"/>
      <c r="G137" s="19"/>
      <c r="H137" s="19" t="n">
        <v>1400</v>
      </c>
      <c r="I137" s="14" t="n">
        <v>1200</v>
      </c>
      <c r="J137" s="19"/>
      <c r="K137" s="14" t="n">
        <v>200</v>
      </c>
      <c r="L137" s="16"/>
      <c r="M137" s="17" t="n">
        <v>45879</v>
      </c>
      <c r="N137" s="14" t="n">
        <f aca="false">DAY(M137)</f>
        <v>10</v>
      </c>
      <c r="O137" s="14" t="str">
        <f aca="false">TEXT(M137,"DDDD")</f>
        <v>domingo</v>
      </c>
      <c r="P137" s="23"/>
      <c r="Q137" s="19"/>
    </row>
    <row r="138" customFormat="false" ht="14.25" hidden="false" customHeight="false" outlineLevel="0" collapsed="false">
      <c r="A138" s="1" t="n">
        <v>1</v>
      </c>
      <c r="B138" s="14" t="s">
        <v>276</v>
      </c>
      <c r="C138" s="14" t="s">
        <v>38</v>
      </c>
      <c r="D138" s="19" t="s">
        <v>82</v>
      </c>
      <c r="E138" s="20"/>
      <c r="F138" s="19"/>
      <c r="G138" s="19"/>
      <c r="H138" s="19" t="n">
        <v>2720</v>
      </c>
      <c r="I138" s="14" t="n">
        <v>1200</v>
      </c>
      <c r="J138" s="19"/>
      <c r="K138" s="14" t="n">
        <v>1520</v>
      </c>
      <c r="L138" s="16"/>
      <c r="M138" s="17" t="n">
        <v>45879</v>
      </c>
      <c r="N138" s="14" t="n">
        <f aca="false">DAY(M138)</f>
        <v>10</v>
      </c>
      <c r="O138" s="14" t="str">
        <f aca="false">TEXT(M138,"DDDD")</f>
        <v>domingo</v>
      </c>
      <c r="P138" s="23"/>
      <c r="Q138" s="19"/>
    </row>
    <row r="139" customFormat="false" ht="14.25" hidden="false" customHeight="false" outlineLevel="0" collapsed="false">
      <c r="A139" s="1" t="n">
        <v>1</v>
      </c>
      <c r="B139" s="14" t="s">
        <v>277</v>
      </c>
      <c r="C139" s="14" t="s">
        <v>38</v>
      </c>
      <c r="D139" s="19" t="s">
        <v>278</v>
      </c>
      <c r="E139" s="20"/>
      <c r="F139" s="19"/>
      <c r="G139" s="19"/>
      <c r="H139" s="19" t="n">
        <v>3140</v>
      </c>
      <c r="I139" s="19"/>
      <c r="J139" s="19"/>
      <c r="K139" s="19"/>
      <c r="L139" s="24"/>
      <c r="M139" s="17" t="n">
        <v>45879</v>
      </c>
      <c r="N139" s="14" t="n">
        <f aca="false">DAY(M139)</f>
        <v>10</v>
      </c>
      <c r="O139" s="14" t="str">
        <f aca="false">TEXT(M139,"DDDD")</f>
        <v>domingo</v>
      </c>
      <c r="P139" s="23"/>
      <c r="Q139" s="19"/>
      <c r="R139" s="21" t="s">
        <v>83</v>
      </c>
      <c r="S139" s="1" t="n">
        <v>11601</v>
      </c>
    </row>
    <row r="140" customFormat="false" ht="14.25" hidden="false" customHeight="false" outlineLevel="0" collapsed="false">
      <c r="A140" s="1" t="n">
        <v>1</v>
      </c>
      <c r="B140" s="14" t="s">
        <v>279</v>
      </c>
      <c r="C140" s="14" t="s">
        <v>20</v>
      </c>
      <c r="D140" s="19" t="s">
        <v>280</v>
      </c>
      <c r="E140" s="20"/>
      <c r="F140" s="19"/>
      <c r="G140" s="19"/>
      <c r="H140" s="19" t="n">
        <v>1400</v>
      </c>
      <c r="I140" s="14" t="n">
        <v>1300</v>
      </c>
      <c r="J140" s="19"/>
      <c r="K140" s="14" t="n">
        <v>100</v>
      </c>
      <c r="L140" s="16"/>
      <c r="M140" s="17" t="n">
        <v>45879</v>
      </c>
      <c r="N140" s="14" t="n">
        <f aca="false">DAY(M140)</f>
        <v>10</v>
      </c>
      <c r="O140" s="14" t="str">
        <f aca="false">TEXT(M140,"DDDD")</f>
        <v>domingo</v>
      </c>
      <c r="P140" s="23"/>
      <c r="Q140" s="19"/>
    </row>
    <row r="141" customFormat="false" ht="14.25" hidden="false" customHeight="false" outlineLevel="0" collapsed="false">
      <c r="A141" s="1" t="n">
        <v>12</v>
      </c>
      <c r="B141" s="14" t="s">
        <v>281</v>
      </c>
      <c r="C141" s="14" t="s">
        <v>20</v>
      </c>
      <c r="D141" s="14" t="s">
        <v>282</v>
      </c>
      <c r="E141" s="15"/>
      <c r="F141" s="14"/>
      <c r="G141" s="14"/>
      <c r="H141" s="25" t="n">
        <v>1291</v>
      </c>
      <c r="I141" s="14"/>
      <c r="J141" s="14"/>
      <c r="K141" s="14"/>
      <c r="L141" s="16"/>
      <c r="M141" s="17" t="n">
        <v>45884</v>
      </c>
      <c r="N141" s="14" t="n">
        <f aca="false">DAY(M141)</f>
        <v>15</v>
      </c>
      <c r="O141" s="14" t="str">
        <f aca="false">TEXT(M141,"DDDD")</f>
        <v>viernes</v>
      </c>
      <c r="P141" s="18" t="n">
        <f aca="false">MONTH(M141)</f>
        <v>8</v>
      </c>
      <c r="Q141" s="14" t="str">
        <f aca="false">TEXT(M141,"MMMM")</f>
        <v>agosto</v>
      </c>
    </row>
    <row r="142" customFormat="false" ht="14.25" hidden="false" customHeight="false" outlineLevel="0" collapsed="false">
      <c r="A142" s="1" t="n">
        <v>12</v>
      </c>
      <c r="B142" s="14" t="s">
        <v>283</v>
      </c>
      <c r="C142" s="14" t="s">
        <v>20</v>
      </c>
      <c r="D142" s="14" t="s">
        <v>33</v>
      </c>
      <c r="E142" s="15"/>
      <c r="F142" s="14"/>
      <c r="G142" s="14"/>
      <c r="H142" s="25" t="n">
        <v>2200</v>
      </c>
      <c r="I142" s="14"/>
      <c r="J142" s="14"/>
      <c r="K142" s="14"/>
      <c r="L142" s="16"/>
      <c r="M142" s="17" t="n">
        <v>45884</v>
      </c>
      <c r="N142" s="14" t="n">
        <f aca="false">DAY(M142)</f>
        <v>15</v>
      </c>
      <c r="O142" s="14" t="str">
        <f aca="false">TEXT(M142,"DDDD")</f>
        <v>viernes</v>
      </c>
      <c r="P142" s="18" t="n">
        <f aca="false">MONTH(M142)</f>
        <v>8</v>
      </c>
      <c r="Q142" s="14" t="str">
        <f aca="false">TEXT(M142,"MMMM")</f>
        <v>agosto</v>
      </c>
    </row>
    <row r="143" customFormat="false" ht="14.25" hidden="false" customHeight="false" outlineLevel="0" collapsed="false">
      <c r="A143" s="1" t="n">
        <v>12</v>
      </c>
      <c r="B143" s="14" t="s">
        <v>284</v>
      </c>
      <c r="C143" s="14" t="s">
        <v>20</v>
      </c>
      <c r="D143" s="14" t="s">
        <v>285</v>
      </c>
      <c r="E143" s="15"/>
      <c r="F143" s="14"/>
      <c r="G143" s="14"/>
      <c r="H143" s="25" t="n">
        <v>2040</v>
      </c>
      <c r="I143" s="14"/>
      <c r="J143" s="14"/>
      <c r="K143" s="14"/>
      <c r="L143" s="16"/>
      <c r="M143" s="17" t="n">
        <v>45884</v>
      </c>
      <c r="N143" s="14" t="n">
        <f aca="false">DAY(M143)</f>
        <v>15</v>
      </c>
      <c r="O143" s="14" t="str">
        <f aca="false">TEXT(M143,"DDDD")</f>
        <v>viernes</v>
      </c>
      <c r="P143" s="18" t="n">
        <f aca="false">MONTH(M143)</f>
        <v>8</v>
      </c>
      <c r="Q143" s="14" t="str">
        <f aca="false">TEXT(M143,"MMMM")</f>
        <v>agosto</v>
      </c>
    </row>
    <row r="144" customFormat="false" ht="14.25" hidden="false" customHeight="false" outlineLevel="0" collapsed="false">
      <c r="A144" s="1" t="n">
        <v>12</v>
      </c>
      <c r="B144" s="14" t="s">
        <v>286</v>
      </c>
      <c r="C144" s="14" t="s">
        <v>20</v>
      </c>
      <c r="D144" s="14" t="s">
        <v>282</v>
      </c>
      <c r="E144" s="15"/>
      <c r="F144" s="14"/>
      <c r="G144" s="14"/>
      <c r="H144" s="25" t="n">
        <v>1291</v>
      </c>
      <c r="I144" s="14"/>
      <c r="J144" s="14"/>
      <c r="K144" s="14"/>
      <c r="L144" s="16"/>
      <c r="M144" s="17" t="n">
        <v>45884</v>
      </c>
      <c r="N144" s="14" t="n">
        <f aca="false">DAY(M144)</f>
        <v>15</v>
      </c>
      <c r="O144" s="14" t="str">
        <f aca="false">TEXT(M144,"DDDD")</f>
        <v>viernes</v>
      </c>
      <c r="P144" s="18" t="n">
        <f aca="false">MONTH(M144)</f>
        <v>8</v>
      </c>
      <c r="Q144" s="14" t="str">
        <f aca="false">TEXT(M144,"MMMM")</f>
        <v>agosto</v>
      </c>
    </row>
    <row r="145" customFormat="false" ht="14.25" hidden="false" customHeight="false" outlineLevel="0" collapsed="false">
      <c r="A145" s="1" t="n">
        <v>11</v>
      </c>
      <c r="B145" s="14" t="s">
        <v>125</v>
      </c>
      <c r="C145" s="14" t="s">
        <v>20</v>
      </c>
      <c r="D145" s="14" t="s">
        <v>287</v>
      </c>
      <c r="E145" s="15"/>
      <c r="F145" s="14"/>
      <c r="G145" s="14"/>
      <c r="H145" s="25" t="n">
        <v>2380</v>
      </c>
      <c r="I145" s="14"/>
      <c r="J145" s="14"/>
      <c r="K145" s="14"/>
      <c r="L145" s="16"/>
      <c r="M145" s="17" t="n">
        <v>45884</v>
      </c>
      <c r="N145" s="14" t="n">
        <f aca="false">DAY(M145)</f>
        <v>15</v>
      </c>
      <c r="O145" s="14" t="str">
        <f aca="false">TEXT(M145,"DDDD")</f>
        <v>viernes</v>
      </c>
      <c r="P145" s="18" t="n">
        <f aca="false">MONTH(M145)</f>
        <v>8</v>
      </c>
      <c r="Q145" s="14" t="str">
        <f aca="false">TEXT(M145,"MMMM")</f>
        <v>agosto</v>
      </c>
    </row>
    <row r="146" customFormat="false" ht="14.25" hidden="false" customHeight="false" outlineLevel="0" collapsed="false">
      <c r="A146" s="1" t="n">
        <v>11</v>
      </c>
      <c r="B146" s="14" t="s">
        <v>288</v>
      </c>
      <c r="C146" s="14" t="s">
        <v>20</v>
      </c>
      <c r="D146" s="14" t="s">
        <v>289</v>
      </c>
      <c r="E146" s="15"/>
      <c r="F146" s="14"/>
      <c r="G146" s="14"/>
      <c r="H146" s="25" t="n">
        <v>4248</v>
      </c>
      <c r="I146" s="14"/>
      <c r="J146" s="14"/>
      <c r="K146" s="14"/>
      <c r="L146" s="16"/>
      <c r="M146" s="17" t="n">
        <v>45884</v>
      </c>
      <c r="N146" s="14" t="n">
        <f aca="false">DAY(M146)</f>
        <v>15</v>
      </c>
      <c r="O146" s="14" t="str">
        <f aca="false">TEXT(M146,"DDDD")</f>
        <v>viernes</v>
      </c>
      <c r="P146" s="18" t="n">
        <f aca="false">MONTH(M146)</f>
        <v>8</v>
      </c>
      <c r="Q146" s="14" t="str">
        <f aca="false">TEXT(M146,"MMMM")</f>
        <v>agosto</v>
      </c>
    </row>
    <row r="147" customFormat="false" ht="14.25" hidden="false" customHeight="false" outlineLevel="0" collapsed="false">
      <c r="A147" s="1" t="n">
        <v>2</v>
      </c>
      <c r="B147" s="14" t="s">
        <v>290</v>
      </c>
      <c r="C147" s="14" t="s">
        <v>20</v>
      </c>
      <c r="D147" s="14" t="s">
        <v>291</v>
      </c>
      <c r="E147" s="15"/>
      <c r="F147" s="14"/>
      <c r="G147" s="14"/>
      <c r="H147" s="25" t="n">
        <v>1760</v>
      </c>
      <c r="I147" s="14"/>
      <c r="J147" s="14"/>
      <c r="K147" s="14"/>
      <c r="L147" s="16"/>
      <c r="M147" s="17" t="n">
        <v>45884</v>
      </c>
      <c r="N147" s="14" t="n">
        <f aca="false">DAY(M147)</f>
        <v>15</v>
      </c>
      <c r="O147" s="14" t="str">
        <f aca="false">TEXT(M147,"DDDD")</f>
        <v>viernes</v>
      </c>
      <c r="P147" s="18" t="n">
        <f aca="false">MONTH(M147)</f>
        <v>8</v>
      </c>
      <c r="Q147" s="14" t="str">
        <f aca="false">TEXT(M147,"MMMM")</f>
        <v>agosto</v>
      </c>
    </row>
    <row r="148" customFormat="false" ht="14.25" hidden="false" customHeight="false" outlineLevel="0" collapsed="false">
      <c r="A148" s="1" t="n">
        <v>2</v>
      </c>
      <c r="B148" s="14" t="s">
        <v>292</v>
      </c>
      <c r="C148" s="14" t="s">
        <v>20</v>
      </c>
      <c r="D148" s="14" t="s">
        <v>293</v>
      </c>
      <c r="E148" s="15"/>
      <c r="F148" s="14"/>
      <c r="G148" s="14"/>
      <c r="H148" s="25" t="n">
        <v>2120</v>
      </c>
      <c r="I148" s="14"/>
      <c r="J148" s="14"/>
      <c r="K148" s="14"/>
      <c r="L148" s="16"/>
      <c r="M148" s="17" t="n">
        <v>45884</v>
      </c>
      <c r="N148" s="14" t="n">
        <f aca="false">DAY(M148)</f>
        <v>15</v>
      </c>
      <c r="O148" s="14" t="str">
        <f aca="false">TEXT(M148,"DDDD")</f>
        <v>viernes</v>
      </c>
      <c r="P148" s="18" t="n">
        <f aca="false">MONTH(M148)</f>
        <v>8</v>
      </c>
      <c r="Q148" s="14" t="str">
        <f aca="false">TEXT(M148,"MMMM")</f>
        <v>agosto</v>
      </c>
    </row>
    <row r="149" customFormat="false" ht="14.25" hidden="false" customHeight="false" outlineLevel="0" collapsed="false">
      <c r="A149" s="1" t="n">
        <v>2</v>
      </c>
      <c r="B149" s="14" t="s">
        <v>294</v>
      </c>
      <c r="C149" s="14" t="s">
        <v>20</v>
      </c>
      <c r="D149" s="14" t="s">
        <v>295</v>
      </c>
      <c r="E149" s="15"/>
      <c r="F149" s="14"/>
      <c r="G149" s="14"/>
      <c r="H149" s="25" t="n">
        <v>3190</v>
      </c>
      <c r="I149" s="14"/>
      <c r="J149" s="14"/>
      <c r="K149" s="14"/>
      <c r="L149" s="16"/>
      <c r="M149" s="17" t="n">
        <v>45884</v>
      </c>
      <c r="N149" s="14" t="n">
        <f aca="false">DAY(M149)</f>
        <v>15</v>
      </c>
      <c r="O149" s="14" t="str">
        <f aca="false">TEXT(M149,"DDDD")</f>
        <v>viernes</v>
      </c>
      <c r="P149" s="18" t="n">
        <f aca="false">MONTH(M149)</f>
        <v>8</v>
      </c>
      <c r="Q149" s="14" t="str">
        <f aca="false">TEXT(M149,"MMMM")</f>
        <v>agosto</v>
      </c>
    </row>
    <row r="150" customFormat="false" ht="14.25" hidden="false" customHeight="false" outlineLevel="0" collapsed="false">
      <c r="A150" s="1" t="n">
        <v>2</v>
      </c>
      <c r="B150" s="14" t="s">
        <v>296</v>
      </c>
      <c r="C150" s="14" t="s">
        <v>20</v>
      </c>
      <c r="D150" s="14" t="s">
        <v>297</v>
      </c>
      <c r="E150" s="15"/>
      <c r="F150" s="14"/>
      <c r="G150" s="14"/>
      <c r="H150" s="25" t="n">
        <v>2120</v>
      </c>
      <c r="I150" s="14"/>
      <c r="J150" s="14"/>
      <c r="K150" s="14"/>
      <c r="L150" s="16"/>
      <c r="M150" s="17" t="n">
        <v>45884</v>
      </c>
      <c r="N150" s="14" t="n">
        <f aca="false">DAY(M150)</f>
        <v>15</v>
      </c>
      <c r="O150" s="14" t="str">
        <f aca="false">TEXT(M150,"DDDD")</f>
        <v>viernes</v>
      </c>
      <c r="P150" s="18" t="n">
        <f aca="false">MONTH(M150)</f>
        <v>8</v>
      </c>
      <c r="Q150" s="14" t="str">
        <f aca="false">TEXT(M150,"MMMM")</f>
        <v>agosto</v>
      </c>
    </row>
    <row r="151" customFormat="false" ht="14.25" hidden="false" customHeight="false" outlineLevel="0" collapsed="false">
      <c r="A151" s="1" t="n">
        <v>3</v>
      </c>
      <c r="B151" s="14" t="s">
        <v>298</v>
      </c>
      <c r="C151" s="14" t="s">
        <v>20</v>
      </c>
      <c r="D151" s="14" t="s">
        <v>299</v>
      </c>
      <c r="E151" s="15"/>
      <c r="F151" s="14"/>
      <c r="G151" s="14"/>
      <c r="H151" s="25" t="n">
        <v>2440</v>
      </c>
      <c r="I151" s="14"/>
      <c r="J151" s="14"/>
      <c r="K151" s="14"/>
      <c r="L151" s="16"/>
      <c r="M151" s="17" t="n">
        <v>45885</v>
      </c>
      <c r="N151" s="14" t="n">
        <f aca="false">DAY(M151)</f>
        <v>16</v>
      </c>
      <c r="O151" s="14" t="str">
        <f aca="false">TEXT(M151,"DDDD")</f>
        <v>sábado</v>
      </c>
      <c r="P151" s="18" t="n">
        <f aca="false">MONTH(M151)</f>
        <v>8</v>
      </c>
      <c r="Q151" s="14" t="str">
        <f aca="false">TEXT(M151,"MMMM")</f>
        <v>agosto</v>
      </c>
    </row>
    <row r="152" customFormat="false" ht="14.25" hidden="false" customHeight="false" outlineLevel="0" collapsed="false">
      <c r="A152" s="1" t="n">
        <v>3</v>
      </c>
      <c r="B152" s="14" t="s">
        <v>300</v>
      </c>
      <c r="C152" s="14" t="s">
        <v>20</v>
      </c>
      <c r="D152" s="14" t="s">
        <v>301</v>
      </c>
      <c r="E152" s="15"/>
      <c r="F152" s="14"/>
      <c r="G152" s="14"/>
      <c r="H152" s="25" t="n">
        <v>3040</v>
      </c>
      <c r="I152" s="14"/>
      <c r="J152" s="14"/>
      <c r="K152" s="14"/>
      <c r="L152" s="16"/>
      <c r="M152" s="17" t="n">
        <v>45885</v>
      </c>
      <c r="N152" s="14" t="n">
        <f aca="false">DAY(M152)</f>
        <v>16</v>
      </c>
      <c r="O152" s="14" t="str">
        <f aca="false">TEXT(M152,"DDDD")</f>
        <v>sábado</v>
      </c>
      <c r="P152" s="18" t="n">
        <f aca="false">MONTH(M152)</f>
        <v>8</v>
      </c>
      <c r="Q152" s="14" t="str">
        <f aca="false">TEXT(M152,"MMMM")</f>
        <v>agosto</v>
      </c>
    </row>
    <row r="153" customFormat="false" ht="14.25" hidden="false" customHeight="false" outlineLevel="0" collapsed="false">
      <c r="A153" s="1" t="n">
        <v>3</v>
      </c>
      <c r="B153" s="14" t="s">
        <v>302</v>
      </c>
      <c r="C153" s="14" t="s">
        <v>20</v>
      </c>
      <c r="D153" s="14" t="s">
        <v>303</v>
      </c>
      <c r="E153" s="15"/>
      <c r="F153" s="14"/>
      <c r="G153" s="14"/>
      <c r="H153" s="25" t="n">
        <v>1720</v>
      </c>
      <c r="I153" s="14"/>
      <c r="J153" s="14"/>
      <c r="K153" s="14"/>
      <c r="L153" s="16"/>
      <c r="M153" s="17" t="n">
        <v>45885</v>
      </c>
      <c r="N153" s="14" t="n">
        <f aca="false">DAY(M153)</f>
        <v>16</v>
      </c>
      <c r="O153" s="14" t="str">
        <f aca="false">TEXT(M153,"DDDD")</f>
        <v>sábado</v>
      </c>
      <c r="P153" s="18" t="n">
        <f aca="false">MONTH(M153)</f>
        <v>8</v>
      </c>
      <c r="Q153" s="14" t="str">
        <f aca="false">TEXT(M153,"MMMM")</f>
        <v>agosto</v>
      </c>
    </row>
    <row r="154" customFormat="false" ht="14.25" hidden="false" customHeight="false" outlineLevel="0" collapsed="false">
      <c r="A154" s="1" t="n">
        <v>2</v>
      </c>
      <c r="B154" s="19" t="s">
        <v>304</v>
      </c>
      <c r="C154" s="19" t="s">
        <v>20</v>
      </c>
      <c r="D154" s="14" t="s">
        <v>117</v>
      </c>
      <c r="E154" s="15"/>
      <c r="F154" s="14"/>
      <c r="G154" s="14"/>
      <c r="H154" s="25" t="n">
        <v>3850</v>
      </c>
      <c r="I154" s="14"/>
      <c r="J154" s="14"/>
      <c r="K154" s="14"/>
      <c r="L154" s="16"/>
      <c r="M154" s="17" t="n">
        <v>45885</v>
      </c>
      <c r="N154" s="14" t="n">
        <f aca="false">DAY(M154)</f>
        <v>16</v>
      </c>
      <c r="O154" s="14" t="str">
        <f aca="false">TEXT(M154,"DDDD")</f>
        <v>sábado</v>
      </c>
      <c r="P154" s="18" t="n">
        <f aca="false">MONTH(M154)</f>
        <v>8</v>
      </c>
      <c r="Q154" s="14" t="str">
        <f aca="false">TEXT(M154,"MMMM")</f>
        <v>agosto</v>
      </c>
    </row>
    <row r="155" customFormat="false" ht="14.25" hidden="false" customHeight="false" outlineLevel="0" collapsed="false">
      <c r="A155" s="1" t="n">
        <v>1</v>
      </c>
      <c r="B155" s="14" t="s">
        <v>305</v>
      </c>
      <c r="C155" s="14" t="s">
        <v>20</v>
      </c>
      <c r="D155" s="14" t="s">
        <v>306</v>
      </c>
      <c r="E155" s="15"/>
      <c r="F155" s="14"/>
      <c r="G155" s="14"/>
      <c r="H155" s="25" t="n">
        <v>2180</v>
      </c>
      <c r="I155" s="14"/>
      <c r="J155" s="14"/>
      <c r="K155" s="14"/>
      <c r="L155" s="16"/>
      <c r="M155" s="17" t="n">
        <v>45885</v>
      </c>
      <c r="N155" s="14" t="n">
        <f aca="false">DAY(M155)</f>
        <v>16</v>
      </c>
      <c r="O155" s="14" t="str">
        <f aca="false">TEXT(M155,"DDDD")</f>
        <v>sábado</v>
      </c>
      <c r="P155" s="18" t="n">
        <f aca="false">MONTH(M155)</f>
        <v>8</v>
      </c>
      <c r="Q155" s="14" t="str">
        <f aca="false">TEXT(M155,"MMMM")</f>
        <v>agosto</v>
      </c>
    </row>
    <row r="156" customFormat="false" ht="14.25" hidden="false" customHeight="false" outlineLevel="0" collapsed="false">
      <c r="A156" s="1" t="n">
        <v>1</v>
      </c>
      <c r="B156" s="14" t="s">
        <v>307</v>
      </c>
      <c r="C156" s="14" t="s">
        <v>20</v>
      </c>
      <c r="D156" s="14" t="s">
        <v>308</v>
      </c>
      <c r="E156" s="15"/>
      <c r="F156" s="14"/>
      <c r="G156" s="14"/>
      <c r="H156" s="25" t="n">
        <v>2870</v>
      </c>
      <c r="I156" s="14"/>
      <c r="J156" s="14"/>
      <c r="K156" s="14"/>
      <c r="L156" s="16"/>
      <c r="M156" s="17" t="n">
        <v>45885</v>
      </c>
      <c r="N156" s="14" t="n">
        <f aca="false">DAY(M156)</f>
        <v>16</v>
      </c>
      <c r="O156" s="14" t="str">
        <f aca="false">TEXT(M156,"DDDD")</f>
        <v>sábado</v>
      </c>
      <c r="P156" s="18" t="n">
        <f aca="false">MONTH(M156)</f>
        <v>8</v>
      </c>
      <c r="Q156" s="14" t="str">
        <f aca="false">TEXT(M156,"MMMM")</f>
        <v>agosto</v>
      </c>
    </row>
    <row r="157" customFormat="false" ht="14.25" hidden="false" customHeight="false" outlineLevel="0" collapsed="false">
      <c r="A157" s="1" t="n">
        <v>1</v>
      </c>
      <c r="B157" s="26" t="s">
        <v>186</v>
      </c>
      <c r="C157" s="26" t="s">
        <v>38</v>
      </c>
      <c r="D157" s="26" t="s">
        <v>297</v>
      </c>
      <c r="E157" s="27"/>
      <c r="F157" s="26"/>
      <c r="G157" s="26"/>
      <c r="H157" s="28" t="n">
        <v>5370</v>
      </c>
      <c r="I157" s="14"/>
      <c r="J157" s="14"/>
      <c r="K157" s="14"/>
      <c r="L157" s="16"/>
      <c r="M157" s="17" t="n">
        <v>45885</v>
      </c>
      <c r="N157" s="14" t="n">
        <f aca="false">DAY(M157)</f>
        <v>16</v>
      </c>
      <c r="O157" s="14" t="str">
        <f aca="false">TEXT(M157,"DDDD")</f>
        <v>sábado</v>
      </c>
      <c r="P157" s="18" t="n">
        <f aca="false">MONTH(M157)</f>
        <v>8</v>
      </c>
      <c r="Q157" s="14" t="str">
        <f aca="false">TEXT(M157,"MMMM")</f>
        <v>agosto</v>
      </c>
    </row>
    <row r="158" customFormat="false" ht="14.25" hidden="false" customHeight="false" outlineLevel="0" collapsed="false">
      <c r="A158" s="1" t="n">
        <v>12</v>
      </c>
      <c r="B158" s="1" t="s">
        <v>309</v>
      </c>
      <c r="C158" s="1" t="s">
        <v>20</v>
      </c>
      <c r="D158" s="26" t="s">
        <v>310</v>
      </c>
      <c r="E158" s="27"/>
      <c r="F158" s="26"/>
      <c r="G158" s="26"/>
      <c r="H158" s="28" t="n">
        <v>1260</v>
      </c>
      <c r="I158" s="14"/>
      <c r="J158" s="14"/>
      <c r="K158" s="14"/>
      <c r="L158" s="16"/>
      <c r="M158" s="17" t="n">
        <v>45889</v>
      </c>
      <c r="N158" s="14" t="n">
        <f aca="false">DAY(M158)</f>
        <v>20</v>
      </c>
      <c r="O158" s="14" t="str">
        <f aca="false">TEXT(M158,"DDDD")</f>
        <v>miércoles</v>
      </c>
      <c r="P158" s="18" t="n">
        <f aca="false">MONTH(M158)</f>
        <v>8</v>
      </c>
      <c r="Q158" s="14" t="str">
        <f aca="false">TEXT(M158,"MMMM")</f>
        <v>agosto</v>
      </c>
    </row>
    <row r="159" customFormat="false" ht="14.25" hidden="false" customHeight="false" outlineLevel="0" collapsed="false">
      <c r="A159" s="1" t="n">
        <v>12</v>
      </c>
      <c r="B159" s="1" t="s">
        <v>311</v>
      </c>
      <c r="C159" s="1" t="s">
        <v>20</v>
      </c>
      <c r="D159" s="26" t="s">
        <v>312</v>
      </c>
      <c r="E159" s="27"/>
      <c r="F159" s="26"/>
      <c r="G159" s="26"/>
      <c r="H159" s="28" t="n">
        <v>2720</v>
      </c>
      <c r="I159" s="14"/>
      <c r="J159" s="14"/>
      <c r="K159" s="14"/>
      <c r="L159" s="16"/>
      <c r="M159" s="17" t="n">
        <v>45889</v>
      </c>
      <c r="N159" s="14" t="n">
        <f aca="false">DAY(M159)</f>
        <v>20</v>
      </c>
      <c r="O159" s="14" t="str">
        <f aca="false">TEXT(M159,"DDDD")</f>
        <v>miércoles</v>
      </c>
      <c r="P159" s="18" t="n">
        <f aca="false">MONTH(M159)</f>
        <v>8</v>
      </c>
      <c r="Q159" s="14" t="str">
        <f aca="false">TEXT(M159,"MMMM")</f>
        <v>agosto</v>
      </c>
    </row>
    <row r="160" customFormat="false" ht="14.25" hidden="false" customHeight="false" outlineLevel="0" collapsed="false">
      <c r="A160" s="1" t="n">
        <v>12</v>
      </c>
      <c r="B160" s="1" t="s">
        <v>313</v>
      </c>
      <c r="C160" s="1" t="s">
        <v>20</v>
      </c>
      <c r="D160" s="26" t="s">
        <v>314</v>
      </c>
      <c r="E160" s="27"/>
      <c r="F160" s="26"/>
      <c r="G160" s="26"/>
      <c r="H160" s="28" t="n">
        <v>1980</v>
      </c>
      <c r="I160" s="14"/>
      <c r="J160" s="14"/>
      <c r="K160" s="14"/>
      <c r="L160" s="16"/>
      <c r="M160" s="17" t="n">
        <v>45889</v>
      </c>
      <c r="N160" s="14" t="n">
        <f aca="false">DAY(M160)</f>
        <v>20</v>
      </c>
      <c r="O160" s="14" t="str">
        <f aca="false">TEXT(M160,"DDDD")</f>
        <v>miércoles</v>
      </c>
      <c r="P160" s="18" t="n">
        <f aca="false">MONTH(M160)</f>
        <v>8</v>
      </c>
      <c r="Q160" s="14" t="str">
        <f aca="false">TEXT(M160,"MMMM")</f>
        <v>agosto</v>
      </c>
    </row>
    <row r="161" customFormat="false" ht="14.25" hidden="false" customHeight="false" outlineLevel="0" collapsed="false">
      <c r="A161" s="1" t="n">
        <v>10</v>
      </c>
      <c r="B161" s="1" t="s">
        <v>315</v>
      </c>
      <c r="C161" s="1" t="s">
        <v>20</v>
      </c>
      <c r="D161" s="26" t="s">
        <v>316</v>
      </c>
      <c r="E161" s="27"/>
      <c r="F161" s="26"/>
      <c r="G161" s="26"/>
      <c r="H161" s="28" t="n">
        <v>2840</v>
      </c>
      <c r="I161" s="14"/>
      <c r="J161" s="14"/>
      <c r="K161" s="14"/>
      <c r="L161" s="16"/>
      <c r="M161" s="17" t="n">
        <v>45889</v>
      </c>
      <c r="N161" s="14" t="n">
        <f aca="false">DAY(M161)</f>
        <v>20</v>
      </c>
      <c r="O161" s="14" t="str">
        <f aca="false">TEXT(M161,"DDDD")</f>
        <v>miércoles</v>
      </c>
      <c r="P161" s="18" t="n">
        <f aca="false">MONTH(M161)</f>
        <v>8</v>
      </c>
      <c r="Q161" s="14" t="str">
        <f aca="false">TEXT(M161,"MMMM")</f>
        <v>agosto</v>
      </c>
    </row>
    <row r="162" customFormat="false" ht="14.25" hidden="false" customHeight="false" outlineLevel="0" collapsed="false">
      <c r="A162" s="1" t="n">
        <v>10</v>
      </c>
      <c r="B162" s="1" t="s">
        <v>317</v>
      </c>
      <c r="C162" s="1" t="s">
        <v>38</v>
      </c>
      <c r="D162" s="26" t="s">
        <v>318</v>
      </c>
      <c r="E162" s="27"/>
      <c r="F162" s="26"/>
      <c r="G162" s="26"/>
      <c r="H162" s="28" t="n">
        <v>1261</v>
      </c>
      <c r="I162" s="14"/>
      <c r="J162" s="14"/>
      <c r="K162" s="14"/>
      <c r="L162" s="16"/>
      <c r="M162" s="17" t="n">
        <v>45889</v>
      </c>
      <c r="N162" s="14" t="n">
        <f aca="false">DAY(M162)</f>
        <v>20</v>
      </c>
      <c r="O162" s="14" t="str">
        <f aca="false">TEXT(M162,"DDDD")</f>
        <v>miércoles</v>
      </c>
      <c r="P162" s="18" t="n">
        <f aca="false">MONTH(M162)</f>
        <v>8</v>
      </c>
      <c r="Q162" s="14" t="str">
        <f aca="false">TEXT(M162,"MMMM")</f>
        <v>agosto</v>
      </c>
    </row>
    <row r="163" customFormat="false" ht="14.25" hidden="false" customHeight="false" outlineLevel="0" collapsed="false">
      <c r="A163" s="1" t="n">
        <v>10</v>
      </c>
      <c r="B163" s="1" t="s">
        <v>319</v>
      </c>
      <c r="C163" s="1" t="s">
        <v>20</v>
      </c>
      <c r="D163" s="26" t="s">
        <v>320</v>
      </c>
      <c r="E163" s="27"/>
      <c r="F163" s="26"/>
      <c r="G163" s="26"/>
      <c r="H163" s="28" t="n">
        <v>2240</v>
      </c>
      <c r="I163" s="14"/>
      <c r="J163" s="14"/>
      <c r="K163" s="14"/>
      <c r="L163" s="16"/>
      <c r="M163" s="17" t="n">
        <v>45889</v>
      </c>
      <c r="N163" s="14" t="n">
        <f aca="false">DAY(M163)</f>
        <v>20</v>
      </c>
      <c r="O163" s="14" t="str">
        <f aca="false">TEXT(M163,"DDDD")</f>
        <v>miércoles</v>
      </c>
      <c r="P163" s="18" t="n">
        <f aca="false">MONTH(M163)</f>
        <v>8</v>
      </c>
      <c r="Q163" s="14" t="str">
        <f aca="false">TEXT(M163,"MMMM")</f>
        <v>agosto</v>
      </c>
    </row>
    <row r="164" customFormat="false" ht="14.25" hidden="false" customHeight="false" outlineLevel="0" collapsed="false">
      <c r="A164" s="1" t="n">
        <v>10</v>
      </c>
      <c r="B164" s="1" t="s">
        <v>321</v>
      </c>
      <c r="C164" s="1" t="s">
        <v>38</v>
      </c>
      <c r="D164" s="26" t="s">
        <v>314</v>
      </c>
      <c r="E164" s="27"/>
      <c r="F164" s="26"/>
      <c r="G164" s="26"/>
      <c r="H164" s="28" t="n">
        <v>1260</v>
      </c>
      <c r="I164" s="14"/>
      <c r="J164" s="14"/>
      <c r="K164" s="14"/>
      <c r="L164" s="16"/>
      <c r="M164" s="17" t="n">
        <v>45889</v>
      </c>
      <c r="N164" s="14" t="n">
        <f aca="false">DAY(M164)</f>
        <v>20</v>
      </c>
      <c r="O164" s="14" t="str">
        <f aca="false">TEXT(M164,"DDDD")</f>
        <v>miércoles</v>
      </c>
      <c r="P164" s="18" t="n">
        <f aca="false">MONTH(M164)</f>
        <v>8</v>
      </c>
      <c r="Q164" s="14" t="str">
        <f aca="false">TEXT(M164,"MMMM")</f>
        <v>agosto</v>
      </c>
    </row>
    <row r="165" customFormat="false" ht="14.25" hidden="false" customHeight="false" outlineLevel="0" collapsed="false">
      <c r="A165" s="1" t="n">
        <v>9</v>
      </c>
      <c r="B165" s="1" t="s">
        <v>322</v>
      </c>
      <c r="C165" s="1" t="s">
        <v>38</v>
      </c>
      <c r="D165" s="26" t="s">
        <v>314</v>
      </c>
      <c r="E165" s="27"/>
      <c r="F165" s="26"/>
      <c r="G165" s="26"/>
      <c r="H165" s="28" t="n">
        <v>1620</v>
      </c>
      <c r="I165" s="14"/>
      <c r="J165" s="14"/>
      <c r="K165" s="14"/>
      <c r="L165" s="16"/>
      <c r="M165" s="17" t="n">
        <v>45889</v>
      </c>
      <c r="N165" s="14" t="n">
        <f aca="false">DAY(M165)</f>
        <v>20</v>
      </c>
      <c r="O165" s="14" t="str">
        <f aca="false">TEXT(M165,"DDDD")</f>
        <v>miércoles</v>
      </c>
      <c r="P165" s="18" t="n">
        <f aca="false">MONTH(M165)</f>
        <v>8</v>
      </c>
      <c r="Q165" s="14" t="str">
        <f aca="false">TEXT(M165,"MMMM")</f>
        <v>agosto</v>
      </c>
    </row>
    <row r="166" customFormat="false" ht="14.25" hidden="false" customHeight="false" outlineLevel="0" collapsed="false">
      <c r="A166" s="1" t="n">
        <v>9</v>
      </c>
      <c r="B166" s="1" t="s">
        <v>323</v>
      </c>
      <c r="C166" s="1" t="s">
        <v>38</v>
      </c>
      <c r="D166" s="26" t="s">
        <v>29</v>
      </c>
      <c r="E166" s="27"/>
      <c r="F166" s="26"/>
      <c r="G166" s="26"/>
      <c r="H166" s="28" t="n">
        <v>4120</v>
      </c>
      <c r="I166" s="14"/>
      <c r="J166" s="14"/>
      <c r="K166" s="14"/>
      <c r="L166" s="16"/>
      <c r="M166" s="17" t="n">
        <v>45889</v>
      </c>
      <c r="N166" s="14" t="n">
        <f aca="false">DAY(M166)</f>
        <v>20</v>
      </c>
      <c r="O166" s="14" t="str">
        <f aca="false">TEXT(M166,"DDDD")</f>
        <v>miércoles</v>
      </c>
      <c r="P166" s="18" t="n">
        <f aca="false">MONTH(M166)</f>
        <v>8</v>
      </c>
      <c r="Q166" s="14" t="str">
        <f aca="false">TEXT(M166,"MMMM")</f>
        <v>agosto</v>
      </c>
    </row>
    <row r="167" customFormat="false" ht="14.25" hidden="false" customHeight="false" outlineLevel="0" collapsed="false">
      <c r="A167" s="1" t="n">
        <v>2</v>
      </c>
      <c r="B167" s="1" t="s">
        <v>324</v>
      </c>
      <c r="C167" s="1" t="s">
        <v>38</v>
      </c>
      <c r="D167" s="26" t="s">
        <v>325</v>
      </c>
      <c r="E167" s="27"/>
      <c r="F167" s="26"/>
      <c r="G167" s="26"/>
      <c r="H167" s="28" t="n">
        <v>3600</v>
      </c>
      <c r="I167" s="14"/>
      <c r="J167" s="14"/>
      <c r="K167" s="14"/>
      <c r="L167" s="16"/>
      <c r="M167" s="17" t="n">
        <v>45889</v>
      </c>
      <c r="N167" s="14" t="n">
        <f aca="false">DAY(M167)</f>
        <v>20</v>
      </c>
      <c r="O167" s="14" t="str">
        <f aca="false">TEXT(M167,"DDDD")</f>
        <v>miércoles</v>
      </c>
      <c r="P167" s="18" t="n">
        <f aca="false">MONTH(M167)</f>
        <v>8</v>
      </c>
      <c r="Q167" s="14" t="str">
        <f aca="false">TEXT(M167,"MMMM")</f>
        <v>agosto</v>
      </c>
    </row>
    <row r="168" customFormat="false" ht="14.25" hidden="false" customHeight="false" outlineLevel="0" collapsed="false">
      <c r="A168" s="1" t="n">
        <v>2</v>
      </c>
      <c r="B168" s="1" t="s">
        <v>326</v>
      </c>
      <c r="C168" s="1" t="s">
        <v>20</v>
      </c>
      <c r="D168" s="26" t="s">
        <v>327</v>
      </c>
      <c r="E168" s="27"/>
      <c r="F168" s="26"/>
      <c r="G168" s="26"/>
      <c r="H168" s="28" t="n">
        <v>1800</v>
      </c>
      <c r="I168" s="14"/>
      <c r="J168" s="14"/>
      <c r="K168" s="14"/>
      <c r="L168" s="16"/>
      <c r="M168" s="17" t="n">
        <v>45889</v>
      </c>
      <c r="N168" s="14" t="n">
        <f aca="false">DAY(M168)</f>
        <v>20</v>
      </c>
      <c r="O168" s="14" t="str">
        <f aca="false">TEXT(M168,"DDDD")</f>
        <v>miércoles</v>
      </c>
      <c r="P168" s="18" t="n">
        <f aca="false">MONTH(M168)</f>
        <v>8</v>
      </c>
      <c r="Q168" s="14" t="str">
        <f aca="false">TEXT(M168,"MMMM")</f>
        <v>agosto</v>
      </c>
    </row>
    <row r="169" customFormat="false" ht="14.25" hidden="false" customHeight="false" outlineLevel="0" collapsed="false">
      <c r="A169" s="1" t="n">
        <v>2</v>
      </c>
      <c r="B169" s="1" t="s">
        <v>328</v>
      </c>
      <c r="C169" s="1" t="s">
        <v>20</v>
      </c>
      <c r="D169" s="26" t="s">
        <v>329</v>
      </c>
      <c r="E169" s="27"/>
      <c r="F169" s="26"/>
      <c r="G169" s="26"/>
      <c r="H169" s="28" t="n">
        <v>3240</v>
      </c>
      <c r="I169" s="14"/>
      <c r="J169" s="14"/>
      <c r="K169" s="14"/>
      <c r="L169" s="16"/>
      <c r="M169" s="17" t="n">
        <v>45889</v>
      </c>
      <c r="N169" s="14" t="n">
        <f aca="false">DAY(M169)</f>
        <v>20</v>
      </c>
      <c r="O169" s="14" t="str">
        <f aca="false">TEXT(M169,"DDDD")</f>
        <v>miércoles</v>
      </c>
      <c r="P169" s="18" t="n">
        <f aca="false">MONTH(M169)</f>
        <v>8</v>
      </c>
      <c r="Q169" s="14" t="str">
        <f aca="false">TEXT(M169,"MMMM")</f>
        <v>agosto</v>
      </c>
    </row>
    <row r="170" customFormat="false" ht="14.25" hidden="false" customHeight="false" outlineLevel="0" collapsed="false">
      <c r="A170" s="1" t="n">
        <v>2</v>
      </c>
      <c r="B170" s="1" t="s">
        <v>330</v>
      </c>
      <c r="C170" s="1" t="s">
        <v>20</v>
      </c>
      <c r="D170" s="26" t="s">
        <v>310</v>
      </c>
      <c r="E170" s="27"/>
      <c r="F170" s="26"/>
      <c r="G170" s="26"/>
      <c r="H170" s="28" t="n">
        <v>1790</v>
      </c>
      <c r="I170" s="14"/>
      <c r="J170" s="14"/>
      <c r="K170" s="14"/>
      <c r="L170" s="16"/>
      <c r="M170" s="17" t="n">
        <v>45889</v>
      </c>
      <c r="N170" s="14" t="n">
        <f aca="false">DAY(M170)</f>
        <v>20</v>
      </c>
      <c r="O170" s="14" t="str">
        <f aca="false">TEXT(M170,"DDDD")</f>
        <v>miércoles</v>
      </c>
      <c r="P170" s="18" t="n">
        <f aca="false">MONTH(M170)</f>
        <v>8</v>
      </c>
      <c r="Q170" s="14" t="str">
        <f aca="false">TEXT(M170,"MMMM")</f>
        <v>agosto</v>
      </c>
    </row>
    <row r="171" customFormat="false" ht="14.25" hidden="false" customHeight="false" outlineLevel="0" collapsed="false">
      <c r="A171" s="1" t="n">
        <v>1</v>
      </c>
      <c r="B171" s="1" t="s">
        <v>276</v>
      </c>
      <c r="C171" s="1" t="s">
        <v>20</v>
      </c>
      <c r="D171" s="26" t="s">
        <v>33</v>
      </c>
      <c r="E171" s="27"/>
      <c r="F171" s="26"/>
      <c r="G171" s="26"/>
      <c r="H171" s="28" t="n">
        <v>3900</v>
      </c>
      <c r="I171" s="14"/>
      <c r="J171" s="14"/>
      <c r="K171" s="14"/>
      <c r="L171" s="16"/>
      <c r="M171" s="17" t="n">
        <v>45889</v>
      </c>
      <c r="N171" s="14" t="n">
        <f aca="false">DAY(M171)</f>
        <v>20</v>
      </c>
      <c r="O171" s="14" t="str">
        <f aca="false">TEXT(M171,"DDDD")</f>
        <v>miércoles</v>
      </c>
      <c r="P171" s="18" t="n">
        <f aca="false">MONTH(M171)</f>
        <v>8</v>
      </c>
      <c r="Q171" s="14" t="str">
        <f aca="false">TEXT(M171,"MMMM")</f>
        <v>agosto</v>
      </c>
    </row>
    <row r="172" customFormat="false" ht="14.25" hidden="false" customHeight="false" outlineLevel="0" collapsed="false">
      <c r="A172" s="1" t="n">
        <v>12</v>
      </c>
      <c r="B172" s="1" t="s">
        <v>331</v>
      </c>
      <c r="C172" s="1" t="s">
        <v>20</v>
      </c>
      <c r="D172" s="26" t="s">
        <v>332</v>
      </c>
      <c r="E172" s="27"/>
      <c r="F172" s="14"/>
      <c r="G172" s="26"/>
      <c r="H172" s="28" t="n">
        <v>1520</v>
      </c>
      <c r="I172" s="14" t="n">
        <v>1200</v>
      </c>
      <c r="J172" s="29" t="n">
        <v>60</v>
      </c>
      <c r="K172" s="14" t="n">
        <v>260</v>
      </c>
      <c r="L172" s="16"/>
      <c r="M172" s="17" t="n">
        <v>45890</v>
      </c>
      <c r="N172" s="14" t="n">
        <f aca="false">DAY(M172)</f>
        <v>21</v>
      </c>
      <c r="O172" s="14" t="str">
        <f aca="false">TEXT(M172,"DDDD")</f>
        <v>jueves</v>
      </c>
      <c r="P172" s="18" t="n">
        <f aca="false">MONTH(M172)</f>
        <v>8</v>
      </c>
      <c r="Q172" s="14" t="str">
        <f aca="false">TEXT(M172,"MMMM")</f>
        <v>agosto</v>
      </c>
    </row>
    <row r="173" customFormat="false" ht="14.25" hidden="false" customHeight="false" outlineLevel="0" collapsed="false">
      <c r="A173" s="1" t="n">
        <v>12</v>
      </c>
      <c r="B173" s="1" t="s">
        <v>333</v>
      </c>
      <c r="C173" s="1" t="s">
        <v>20</v>
      </c>
      <c r="D173" s="26" t="s">
        <v>334</v>
      </c>
      <c r="E173" s="27"/>
      <c r="F173" s="14"/>
      <c r="G173" s="26"/>
      <c r="H173" s="28" t="n">
        <v>2000</v>
      </c>
      <c r="I173" s="14" t="n">
        <v>1200</v>
      </c>
      <c r="J173" s="14" t="n">
        <v>60</v>
      </c>
      <c r="K173" s="14" t="n">
        <v>740</v>
      </c>
      <c r="L173" s="16"/>
      <c r="M173" s="17" t="n">
        <v>45890</v>
      </c>
      <c r="N173" s="14" t="n">
        <f aca="false">DAY(M173)</f>
        <v>21</v>
      </c>
      <c r="O173" s="14" t="str">
        <f aca="false">TEXT(M173,"DDDD")</f>
        <v>jueves</v>
      </c>
      <c r="P173" s="18" t="n">
        <f aca="false">MONTH(M173)</f>
        <v>8</v>
      </c>
      <c r="Q173" s="14" t="str">
        <f aca="false">TEXT(M173,"MMMM")</f>
        <v>agosto</v>
      </c>
    </row>
    <row r="174" customFormat="false" ht="14.25" hidden="false" customHeight="false" outlineLevel="0" collapsed="false">
      <c r="A174" s="1" t="n">
        <v>12</v>
      </c>
      <c r="B174" s="1" t="s">
        <v>335</v>
      </c>
      <c r="C174" s="1" t="s">
        <v>20</v>
      </c>
      <c r="D174" s="26" t="s">
        <v>336</v>
      </c>
      <c r="E174" s="27"/>
      <c r="F174" s="14"/>
      <c r="G174" s="26"/>
      <c r="H174" s="28" t="n">
        <v>1260</v>
      </c>
      <c r="I174" s="14" t="n">
        <v>1200</v>
      </c>
      <c r="J174" s="14" t="n">
        <v>60</v>
      </c>
      <c r="K174" s="14"/>
      <c r="L174" s="16"/>
      <c r="M174" s="17" t="n">
        <v>45890</v>
      </c>
      <c r="N174" s="14" t="n">
        <f aca="false">DAY(M174)</f>
        <v>21</v>
      </c>
      <c r="O174" s="14" t="str">
        <f aca="false">TEXT(M174,"DDDD")</f>
        <v>jueves</v>
      </c>
      <c r="P174" s="18" t="n">
        <f aca="false">MONTH(M174)</f>
        <v>8</v>
      </c>
      <c r="Q174" s="14" t="str">
        <f aca="false">TEXT(M174,"MMMM")</f>
        <v>agosto</v>
      </c>
    </row>
    <row r="175" customFormat="false" ht="14.25" hidden="false" customHeight="false" outlineLevel="0" collapsed="false">
      <c r="A175" s="1" t="n">
        <v>12</v>
      </c>
      <c r="B175" s="1" t="s">
        <v>337</v>
      </c>
      <c r="C175" s="1" t="s">
        <v>38</v>
      </c>
      <c r="D175" s="26" t="s">
        <v>338</v>
      </c>
      <c r="E175" s="27"/>
      <c r="F175" s="14"/>
      <c r="G175" s="26"/>
      <c r="H175" s="28" t="n">
        <v>1740</v>
      </c>
      <c r="I175" s="14" t="n">
        <v>1200</v>
      </c>
      <c r="J175" s="14" t="n">
        <v>60</v>
      </c>
      <c r="K175" s="14" t="n">
        <v>480</v>
      </c>
      <c r="L175" s="16"/>
      <c r="M175" s="17" t="n">
        <v>45890</v>
      </c>
      <c r="N175" s="14" t="n">
        <f aca="false">DAY(M175)</f>
        <v>21</v>
      </c>
      <c r="O175" s="14" t="str">
        <f aca="false">TEXT(M175,"DDDD")</f>
        <v>jueves</v>
      </c>
      <c r="P175" s="18" t="n">
        <f aca="false">MONTH(M175)</f>
        <v>8</v>
      </c>
      <c r="Q175" s="14" t="str">
        <f aca="false">TEXT(M175,"MMMM")</f>
        <v>agosto</v>
      </c>
    </row>
    <row r="176" customFormat="false" ht="14.25" hidden="false" customHeight="false" outlineLevel="0" collapsed="false">
      <c r="A176" s="1" t="n">
        <v>12</v>
      </c>
      <c r="B176" s="1" t="s">
        <v>339</v>
      </c>
      <c r="C176" s="1" t="s">
        <v>20</v>
      </c>
      <c r="D176" s="26" t="s">
        <v>340</v>
      </c>
      <c r="E176" s="27"/>
      <c r="F176" s="14"/>
      <c r="G176" s="26"/>
      <c r="H176" s="28" t="n">
        <v>1260</v>
      </c>
      <c r="I176" s="14" t="n">
        <v>1200</v>
      </c>
      <c r="J176" s="14" t="n">
        <v>60</v>
      </c>
      <c r="K176" s="14"/>
      <c r="L176" s="16"/>
      <c r="M176" s="17" t="n">
        <v>45890</v>
      </c>
      <c r="N176" s="14" t="n">
        <f aca="false">DAY(M176)</f>
        <v>21</v>
      </c>
      <c r="O176" s="14" t="str">
        <f aca="false">TEXT(M176,"DDDD")</f>
        <v>jueves</v>
      </c>
      <c r="P176" s="18" t="n">
        <f aca="false">MONTH(M176)</f>
        <v>8</v>
      </c>
      <c r="Q176" s="14" t="str">
        <f aca="false">TEXT(M176,"MMMM")</f>
        <v>agosto</v>
      </c>
    </row>
    <row r="177" customFormat="false" ht="14.25" hidden="false" customHeight="false" outlineLevel="0" collapsed="false">
      <c r="A177" s="1" t="n">
        <v>11</v>
      </c>
      <c r="B177" s="1" t="s">
        <v>341</v>
      </c>
      <c r="C177" s="1" t="s">
        <v>38</v>
      </c>
      <c r="D177" s="26" t="s">
        <v>342</v>
      </c>
      <c r="E177" s="27"/>
      <c r="F177" s="14"/>
      <c r="G177" s="26"/>
      <c r="H177" s="28" t="n">
        <v>2760</v>
      </c>
      <c r="I177" s="14" t="n">
        <v>1200</v>
      </c>
      <c r="J177" s="14" t="n">
        <v>60</v>
      </c>
      <c r="K177" s="14" t="n">
        <v>1500</v>
      </c>
      <c r="L177" s="16"/>
      <c r="M177" s="17" t="n">
        <v>45890</v>
      </c>
      <c r="N177" s="14" t="n">
        <f aca="false">DAY(M177)</f>
        <v>21</v>
      </c>
      <c r="O177" s="14" t="str">
        <f aca="false">TEXT(M177,"DDDD")</f>
        <v>jueves</v>
      </c>
      <c r="P177" s="18" t="n">
        <f aca="false">MONTH(M177)</f>
        <v>8</v>
      </c>
      <c r="Q177" s="14" t="str">
        <f aca="false">TEXT(M177,"MMMM")</f>
        <v>agosto</v>
      </c>
    </row>
    <row r="178" customFormat="false" ht="14.25" hidden="false" customHeight="false" outlineLevel="0" collapsed="false">
      <c r="A178" s="1" t="n">
        <v>9</v>
      </c>
      <c r="B178" s="1" t="s">
        <v>343</v>
      </c>
      <c r="C178" s="1" t="s">
        <v>20</v>
      </c>
      <c r="D178" s="26" t="s">
        <v>334</v>
      </c>
      <c r="E178" s="27"/>
      <c r="F178" s="14"/>
      <c r="G178" s="26"/>
      <c r="H178" s="28" t="n">
        <v>1261</v>
      </c>
      <c r="I178" s="14"/>
      <c r="J178" s="14"/>
      <c r="K178" s="14"/>
      <c r="L178" s="16"/>
      <c r="M178" s="17" t="n">
        <v>45890</v>
      </c>
      <c r="N178" s="14" t="n">
        <f aca="false">DAY(M178)</f>
        <v>21</v>
      </c>
      <c r="O178" s="14" t="str">
        <f aca="false">TEXT(M178,"DDDD")</f>
        <v>jueves</v>
      </c>
      <c r="P178" s="18" t="n">
        <f aca="false">MONTH(M178)</f>
        <v>8</v>
      </c>
      <c r="Q178" s="14" t="str">
        <f aca="false">TEXT(M178,"MMMM")</f>
        <v>agosto</v>
      </c>
    </row>
    <row r="179" customFormat="false" ht="14.25" hidden="false" customHeight="false" outlineLevel="0" collapsed="false">
      <c r="A179" s="1" t="n">
        <v>9</v>
      </c>
      <c r="B179" s="1" t="s">
        <v>344</v>
      </c>
      <c r="C179" s="1" t="s">
        <v>140</v>
      </c>
      <c r="D179" s="26" t="s">
        <v>345</v>
      </c>
      <c r="E179" s="27"/>
      <c r="F179" s="14"/>
      <c r="G179" s="26"/>
      <c r="H179" s="28" t="n">
        <v>1740</v>
      </c>
      <c r="I179" s="14"/>
      <c r="J179" s="14"/>
      <c r="K179" s="14"/>
      <c r="L179" s="16"/>
      <c r="M179" s="17" t="n">
        <v>45890</v>
      </c>
      <c r="N179" s="14" t="n">
        <f aca="false">DAY(M179)</f>
        <v>21</v>
      </c>
      <c r="O179" s="14" t="str">
        <f aca="false">TEXT(M179,"DDDD")</f>
        <v>jueves</v>
      </c>
      <c r="P179" s="18" t="n">
        <f aca="false">MONTH(M179)</f>
        <v>8</v>
      </c>
      <c r="Q179" s="14" t="str">
        <f aca="false">TEXT(M179,"MMMM")</f>
        <v>agosto</v>
      </c>
    </row>
    <row r="180" customFormat="false" ht="14.25" hidden="false" customHeight="false" outlineLevel="0" collapsed="false">
      <c r="A180" s="1" t="n">
        <v>6</v>
      </c>
      <c r="B180" s="1" t="s">
        <v>346</v>
      </c>
      <c r="C180" s="1" t="s">
        <v>20</v>
      </c>
      <c r="D180" s="26" t="s">
        <v>33</v>
      </c>
      <c r="E180" s="27"/>
      <c r="F180" s="14"/>
      <c r="G180" s="26"/>
      <c r="H180" s="28" t="n">
        <v>2280</v>
      </c>
      <c r="I180" s="14"/>
      <c r="J180" s="14"/>
      <c r="K180" s="14"/>
      <c r="L180" s="16"/>
      <c r="M180" s="17" t="n">
        <v>45890</v>
      </c>
      <c r="N180" s="14" t="n">
        <f aca="false">DAY(M180)</f>
        <v>21</v>
      </c>
      <c r="O180" s="14" t="str">
        <f aca="false">TEXT(M180,"DDDD")</f>
        <v>jueves</v>
      </c>
      <c r="P180" s="18" t="n">
        <f aca="false">MONTH(M180)</f>
        <v>8</v>
      </c>
      <c r="Q180" s="14" t="str">
        <f aca="false">TEXT(M180,"MMMM")</f>
        <v>agosto</v>
      </c>
    </row>
    <row r="181" customFormat="false" ht="14.25" hidden="false" customHeight="false" outlineLevel="0" collapsed="false">
      <c r="A181" s="1" t="n">
        <v>6</v>
      </c>
      <c r="B181" s="1" t="s">
        <v>347</v>
      </c>
      <c r="C181" s="1" t="s">
        <v>20</v>
      </c>
      <c r="D181" s="26" t="s">
        <v>33</v>
      </c>
      <c r="E181" s="27"/>
      <c r="F181" s="14"/>
      <c r="G181" s="26"/>
      <c r="H181" s="28" t="n">
        <v>2270</v>
      </c>
      <c r="I181" s="14"/>
      <c r="J181" s="14"/>
      <c r="K181" s="14"/>
      <c r="L181" s="16"/>
      <c r="M181" s="17" t="n">
        <v>45890</v>
      </c>
      <c r="N181" s="14" t="n">
        <f aca="false">DAY(M181)</f>
        <v>21</v>
      </c>
      <c r="O181" s="14" t="str">
        <f aca="false">TEXT(M181,"DDDD")</f>
        <v>jueves</v>
      </c>
      <c r="P181" s="18" t="n">
        <f aca="false">MONTH(M181)</f>
        <v>8</v>
      </c>
      <c r="Q181" s="14" t="str">
        <f aca="false">TEXT(M181,"MMMM")</f>
        <v>agosto</v>
      </c>
    </row>
    <row r="182" customFormat="false" ht="14.25" hidden="false" customHeight="false" outlineLevel="0" collapsed="false">
      <c r="A182" s="1" t="n">
        <v>6</v>
      </c>
      <c r="B182" s="1" t="s">
        <v>348</v>
      </c>
      <c r="C182" s="1" t="s">
        <v>38</v>
      </c>
      <c r="D182" s="26" t="s">
        <v>349</v>
      </c>
      <c r="E182" s="27"/>
      <c r="F182" s="26"/>
      <c r="G182" s="26"/>
      <c r="H182" s="28" t="n">
        <v>1520</v>
      </c>
      <c r="I182" s="14"/>
      <c r="J182" s="14"/>
      <c r="K182" s="14"/>
      <c r="L182" s="16"/>
      <c r="M182" s="17" t="n">
        <v>45890</v>
      </c>
      <c r="N182" s="14" t="n">
        <f aca="false">DAY(M182)</f>
        <v>21</v>
      </c>
      <c r="O182" s="14" t="str">
        <f aca="false">TEXT(M182,"DDDD")</f>
        <v>jueves</v>
      </c>
      <c r="P182" s="18" t="n">
        <f aca="false">MONTH(M182)</f>
        <v>8</v>
      </c>
      <c r="Q182" s="14" t="str">
        <f aca="false">TEXT(M182,"MMMM")</f>
        <v>agosto</v>
      </c>
    </row>
    <row r="183" customFormat="false" ht="14.25" hidden="false" customHeight="false" outlineLevel="0" collapsed="false">
      <c r="A183" s="1" t="n">
        <v>5</v>
      </c>
      <c r="B183" s="1" t="s">
        <v>350</v>
      </c>
      <c r="C183" s="1" t="s">
        <v>20</v>
      </c>
      <c r="D183" s="26" t="s">
        <v>351</v>
      </c>
      <c r="E183" s="27"/>
      <c r="F183" s="14"/>
      <c r="G183" s="26"/>
      <c r="H183" s="28" t="n">
        <v>3000</v>
      </c>
      <c r="I183" s="14"/>
      <c r="J183" s="14"/>
      <c r="K183" s="14"/>
      <c r="L183" s="16"/>
      <c r="M183" s="17" t="n">
        <v>45890</v>
      </c>
      <c r="N183" s="14" t="n">
        <f aca="false">DAY(M183)</f>
        <v>21</v>
      </c>
      <c r="O183" s="14" t="str">
        <f aca="false">TEXT(M183,"DDDD")</f>
        <v>jueves</v>
      </c>
      <c r="P183" s="18" t="n">
        <f aca="false">MONTH(M183)</f>
        <v>8</v>
      </c>
      <c r="Q183" s="14" t="str">
        <f aca="false">TEXT(M183,"MMMM")</f>
        <v>agosto</v>
      </c>
    </row>
    <row r="184" customFormat="false" ht="14.25" hidden="false" customHeight="false" outlineLevel="0" collapsed="false">
      <c r="A184" s="1" t="n">
        <v>5</v>
      </c>
      <c r="B184" s="1" t="s">
        <v>352</v>
      </c>
      <c r="C184" s="1" t="s">
        <v>20</v>
      </c>
      <c r="D184" s="26" t="s">
        <v>353</v>
      </c>
      <c r="E184" s="27"/>
      <c r="F184" s="14"/>
      <c r="G184" s="26"/>
      <c r="H184" s="28" t="n">
        <v>1310</v>
      </c>
      <c r="I184" s="14"/>
      <c r="J184" s="14"/>
      <c r="K184" s="14"/>
      <c r="L184" s="16"/>
      <c r="M184" s="17" t="n">
        <v>45890</v>
      </c>
      <c r="N184" s="14" t="n">
        <f aca="false">DAY(M184)</f>
        <v>21</v>
      </c>
      <c r="O184" s="14" t="str">
        <f aca="false">TEXT(M184,"DDDD")</f>
        <v>jueves</v>
      </c>
      <c r="P184" s="18" t="n">
        <f aca="false">MONTH(M184)</f>
        <v>8</v>
      </c>
      <c r="Q184" s="14" t="str">
        <f aca="false">TEXT(M184,"MMMM")</f>
        <v>agosto</v>
      </c>
    </row>
    <row r="185" customFormat="false" ht="14.25" hidden="false" customHeight="false" outlineLevel="0" collapsed="false">
      <c r="A185" s="1" t="n">
        <v>3</v>
      </c>
      <c r="B185" s="1" t="s">
        <v>201</v>
      </c>
      <c r="C185" s="1" t="s">
        <v>20</v>
      </c>
      <c r="D185" s="26" t="s">
        <v>354</v>
      </c>
      <c r="E185" s="27"/>
      <c r="F185" s="14"/>
      <c r="G185" s="26"/>
      <c r="H185" s="28" t="n">
        <v>2420</v>
      </c>
      <c r="I185" s="14" t="n">
        <v>1800</v>
      </c>
      <c r="J185" s="14" t="n">
        <v>120</v>
      </c>
      <c r="K185" s="14" t="n">
        <v>500</v>
      </c>
      <c r="L185" s="16"/>
      <c r="M185" s="17" t="n">
        <v>45890</v>
      </c>
      <c r="N185" s="14" t="n">
        <f aca="false">DAY(M185)</f>
        <v>21</v>
      </c>
      <c r="O185" s="14" t="str">
        <f aca="false">TEXT(M185,"DDDD")</f>
        <v>jueves</v>
      </c>
      <c r="P185" s="18" t="n">
        <f aca="false">MONTH(M185)</f>
        <v>8</v>
      </c>
      <c r="Q185" s="14" t="str">
        <f aca="false">TEXT(M185,"MMMM")</f>
        <v>agosto</v>
      </c>
    </row>
    <row r="186" customFormat="false" ht="14.25" hidden="false" customHeight="false" outlineLevel="0" collapsed="false">
      <c r="A186" s="1" t="n">
        <v>2</v>
      </c>
      <c r="B186" s="1" t="s">
        <v>355</v>
      </c>
      <c r="C186" s="1" t="s">
        <v>20</v>
      </c>
      <c r="D186" s="26" t="s">
        <v>334</v>
      </c>
      <c r="E186" s="27"/>
      <c r="F186" s="14"/>
      <c r="G186" s="26"/>
      <c r="H186" s="28" t="n">
        <v>1820</v>
      </c>
      <c r="I186" s="14" t="n">
        <v>1200</v>
      </c>
      <c r="J186" s="14" t="n">
        <v>60</v>
      </c>
      <c r="K186" s="14" t="n">
        <v>560</v>
      </c>
      <c r="L186" s="16"/>
      <c r="M186" s="17" t="n">
        <v>45890</v>
      </c>
      <c r="N186" s="14" t="n">
        <f aca="false">DAY(M186)</f>
        <v>21</v>
      </c>
      <c r="O186" s="14" t="str">
        <f aca="false">TEXT(M186,"DDDD")</f>
        <v>jueves</v>
      </c>
      <c r="P186" s="18" t="n">
        <f aca="false">MONTH(M186)</f>
        <v>8</v>
      </c>
      <c r="Q186" s="14" t="str">
        <f aca="false">TEXT(M186,"MMMM")</f>
        <v>agosto</v>
      </c>
    </row>
    <row r="187" customFormat="false" ht="14.25" hidden="false" customHeight="false" outlineLevel="0" collapsed="false">
      <c r="A187" s="1" t="n">
        <v>2</v>
      </c>
      <c r="B187" s="1" t="s">
        <v>356</v>
      </c>
      <c r="C187" s="1" t="s">
        <v>20</v>
      </c>
      <c r="D187" s="26" t="s">
        <v>357</v>
      </c>
      <c r="E187" s="27"/>
      <c r="F187" s="14"/>
      <c r="G187" s="26"/>
      <c r="H187" s="28" t="n">
        <v>2040</v>
      </c>
      <c r="I187" s="14"/>
      <c r="J187" s="14"/>
      <c r="K187" s="14"/>
      <c r="L187" s="16"/>
      <c r="M187" s="17" t="n">
        <v>45890</v>
      </c>
      <c r="N187" s="14" t="n">
        <f aca="false">DAY(M187)</f>
        <v>21</v>
      </c>
      <c r="O187" s="14" t="str">
        <f aca="false">TEXT(M187,"DDDD")</f>
        <v>jueves</v>
      </c>
      <c r="P187" s="18" t="n">
        <f aca="false">MONTH(M187)</f>
        <v>8</v>
      </c>
      <c r="Q187" s="14" t="str">
        <f aca="false">TEXT(M187,"MMMM")</f>
        <v>agosto</v>
      </c>
    </row>
    <row r="188" customFormat="false" ht="14.25" hidden="false" customHeight="false" outlineLevel="0" collapsed="false">
      <c r="A188" s="1" t="n">
        <v>2</v>
      </c>
      <c r="B188" s="1" t="s">
        <v>358</v>
      </c>
      <c r="C188" s="1" t="s">
        <v>20</v>
      </c>
      <c r="D188" s="26" t="s">
        <v>359</v>
      </c>
      <c r="E188" s="27"/>
      <c r="F188" s="14"/>
      <c r="G188" s="26"/>
      <c r="H188" s="28" t="n">
        <v>4180</v>
      </c>
      <c r="I188" s="14"/>
      <c r="J188" s="14"/>
      <c r="K188" s="14"/>
      <c r="L188" s="16"/>
      <c r="M188" s="17" t="n">
        <v>45890</v>
      </c>
      <c r="N188" s="14" t="n">
        <f aca="false">DAY(M188)</f>
        <v>21</v>
      </c>
      <c r="O188" s="14" t="str">
        <f aca="false">TEXT(M188,"DDDD")</f>
        <v>jueves</v>
      </c>
      <c r="P188" s="18" t="n">
        <f aca="false">MONTH(M188)</f>
        <v>8</v>
      </c>
      <c r="Q188" s="14" t="str">
        <f aca="false">TEXT(M188,"MMMM")</f>
        <v>agosto</v>
      </c>
    </row>
    <row r="189" customFormat="false" ht="14.25" hidden="false" customHeight="false" outlineLevel="0" collapsed="false">
      <c r="A189" s="1" t="n">
        <v>2</v>
      </c>
      <c r="B189" s="1" t="s">
        <v>360</v>
      </c>
      <c r="C189" s="1" t="s">
        <v>20</v>
      </c>
      <c r="D189" s="26" t="s">
        <v>361</v>
      </c>
      <c r="E189" s="27"/>
      <c r="F189" s="14"/>
      <c r="G189" s="26"/>
      <c r="H189" s="28" t="n">
        <v>3420</v>
      </c>
      <c r="I189" s="14"/>
      <c r="J189" s="14"/>
      <c r="K189" s="14"/>
      <c r="L189" s="16"/>
      <c r="M189" s="17" t="n">
        <v>45890</v>
      </c>
      <c r="N189" s="14" t="n">
        <f aca="false">DAY(M189)</f>
        <v>21</v>
      </c>
      <c r="O189" s="14" t="str">
        <f aca="false">TEXT(M189,"DDDD")</f>
        <v>jueves</v>
      </c>
      <c r="P189" s="18" t="n">
        <f aca="false">MONTH(M189)</f>
        <v>8</v>
      </c>
      <c r="Q189" s="14" t="str">
        <f aca="false">TEXT(M189,"MMMM")</f>
        <v>agosto</v>
      </c>
    </row>
    <row r="190" customFormat="false" ht="14.25" hidden="false" customHeight="false" outlineLevel="0" collapsed="false">
      <c r="A190" s="1" t="n">
        <v>2</v>
      </c>
      <c r="B190" s="1" t="s">
        <v>362</v>
      </c>
      <c r="C190" s="1" t="s">
        <v>20</v>
      </c>
      <c r="D190" s="26" t="s">
        <v>33</v>
      </c>
      <c r="E190" s="27"/>
      <c r="F190" s="14"/>
      <c r="G190" s="26"/>
      <c r="H190" s="28" t="n">
        <v>2380</v>
      </c>
      <c r="I190" s="14"/>
      <c r="J190" s="14"/>
      <c r="K190" s="14"/>
      <c r="L190" s="16"/>
      <c r="M190" s="17" t="n">
        <v>45890</v>
      </c>
      <c r="N190" s="14" t="n">
        <f aca="false">DAY(M190)</f>
        <v>21</v>
      </c>
      <c r="O190" s="14" t="str">
        <f aca="false">TEXT(M190,"DDDD")</f>
        <v>jueves</v>
      </c>
      <c r="P190" s="18" t="n">
        <f aca="false">MONTH(M190)</f>
        <v>8</v>
      </c>
      <c r="Q190" s="14" t="str">
        <f aca="false">TEXT(M190,"MMMM")</f>
        <v>agosto</v>
      </c>
    </row>
    <row r="191" customFormat="false" ht="14.25" hidden="false" customHeight="false" outlineLevel="0" collapsed="false">
      <c r="A191" s="1" t="n">
        <v>1</v>
      </c>
      <c r="B191" s="1" t="s">
        <v>363</v>
      </c>
      <c r="C191" s="1" t="s">
        <v>20</v>
      </c>
      <c r="D191" s="26" t="s">
        <v>364</v>
      </c>
      <c r="E191" s="27"/>
      <c r="F191" s="14"/>
      <c r="G191" s="26"/>
      <c r="H191" s="28" t="n">
        <v>2660</v>
      </c>
      <c r="I191" s="14"/>
      <c r="J191" s="14"/>
      <c r="K191" s="14"/>
      <c r="L191" s="16"/>
      <c r="M191" s="17" t="n">
        <v>45890</v>
      </c>
      <c r="N191" s="14" t="n">
        <f aca="false">DAY(M191)</f>
        <v>21</v>
      </c>
      <c r="O191" s="14" t="str">
        <f aca="false">TEXT(M191,"DDDD")</f>
        <v>jueves</v>
      </c>
      <c r="P191" s="18" t="n">
        <f aca="false">MONTH(M191)</f>
        <v>8</v>
      </c>
      <c r="Q191" s="14" t="str">
        <f aca="false">TEXT(M191,"MMMM")</f>
        <v>agosto</v>
      </c>
    </row>
    <row r="192" customFormat="false" ht="14.25" hidden="false" customHeight="false" outlineLevel="0" collapsed="false">
      <c r="A192" s="1" t="n">
        <v>12</v>
      </c>
      <c r="B192" s="1" t="s">
        <v>365</v>
      </c>
      <c r="C192" s="1" t="s">
        <v>20</v>
      </c>
      <c r="D192" s="26" t="s">
        <v>366</v>
      </c>
      <c r="E192" s="27"/>
      <c r="F192" s="14"/>
      <c r="G192" s="26"/>
      <c r="H192" s="26" t="n">
        <v>2270</v>
      </c>
      <c r="I192" s="14" t="n">
        <v>1850</v>
      </c>
      <c r="J192" s="14" t="n">
        <v>60</v>
      </c>
      <c r="K192" s="14" t="n">
        <v>360</v>
      </c>
      <c r="L192" s="16"/>
      <c r="M192" s="17" t="n">
        <v>45893</v>
      </c>
      <c r="N192" s="14" t="n">
        <f aca="false">DAY(M192)</f>
        <v>24</v>
      </c>
      <c r="O192" s="14" t="str">
        <f aca="false">TEXT(M192,"DDDD")</f>
        <v>domingo</v>
      </c>
      <c r="P192" s="18" t="n">
        <f aca="false">MONTH(M192)</f>
        <v>8</v>
      </c>
      <c r="Q192" s="14" t="str">
        <f aca="false">TEXT(M192,"MMMM")</f>
        <v>agosto</v>
      </c>
    </row>
    <row r="193" customFormat="false" ht="14.25" hidden="false" customHeight="false" outlineLevel="0" collapsed="false">
      <c r="A193" s="1" t="n">
        <v>12</v>
      </c>
      <c r="B193" s="1" t="s">
        <v>367</v>
      </c>
      <c r="C193" s="1" t="s">
        <v>20</v>
      </c>
      <c r="D193" s="26" t="s">
        <v>213</v>
      </c>
      <c r="E193" s="27"/>
      <c r="F193" s="14"/>
      <c r="G193" s="26"/>
      <c r="H193" s="26" t="n">
        <v>2460</v>
      </c>
      <c r="I193" s="14" t="n">
        <v>1200</v>
      </c>
      <c r="J193" s="14" t="n">
        <v>60</v>
      </c>
      <c r="K193" s="14" t="n">
        <v>1200</v>
      </c>
      <c r="L193" s="16"/>
      <c r="M193" s="17" t="n">
        <v>45893</v>
      </c>
      <c r="N193" s="14" t="n">
        <f aca="false">DAY(M193)</f>
        <v>24</v>
      </c>
      <c r="O193" s="14" t="str">
        <f aca="false">TEXT(M193,"DDDD")</f>
        <v>domingo</v>
      </c>
      <c r="P193" s="18" t="n">
        <f aca="false">MONTH(M193)</f>
        <v>8</v>
      </c>
      <c r="Q193" s="14" t="str">
        <f aca="false">TEXT(M193,"MMMM")</f>
        <v>agosto</v>
      </c>
    </row>
    <row r="194" customFormat="false" ht="14.25" hidden="false" customHeight="false" outlineLevel="0" collapsed="false">
      <c r="A194" s="1" t="n">
        <v>12</v>
      </c>
      <c r="B194" s="1" t="s">
        <v>368</v>
      </c>
      <c r="C194" s="1" t="s">
        <v>38</v>
      </c>
      <c r="D194" s="26" t="s">
        <v>366</v>
      </c>
      <c r="E194" s="27"/>
      <c r="F194" s="14"/>
      <c r="G194" s="26"/>
      <c r="H194" s="26" t="n">
        <v>1510</v>
      </c>
      <c r="I194" s="14" t="n">
        <v>1450</v>
      </c>
      <c r="J194" s="14" t="n">
        <v>60</v>
      </c>
      <c r="K194" s="14"/>
      <c r="L194" s="16"/>
      <c r="M194" s="17" t="n">
        <v>45893</v>
      </c>
      <c r="N194" s="14" t="n">
        <f aca="false">DAY(M194)</f>
        <v>24</v>
      </c>
      <c r="O194" s="14" t="str">
        <f aca="false">TEXT(M194,"DDDD")</f>
        <v>domingo</v>
      </c>
      <c r="P194" s="18" t="n">
        <f aca="false">MONTH(M194)</f>
        <v>8</v>
      </c>
      <c r="Q194" s="14" t="str">
        <f aca="false">TEXT(M194,"MMMM")</f>
        <v>agosto</v>
      </c>
    </row>
    <row r="195" customFormat="false" ht="14.25" hidden="false" customHeight="false" outlineLevel="0" collapsed="false">
      <c r="A195" s="1" t="n">
        <v>12</v>
      </c>
      <c r="B195" s="1" t="s">
        <v>369</v>
      </c>
      <c r="C195" s="1" t="s">
        <v>20</v>
      </c>
      <c r="D195" s="26" t="s">
        <v>366</v>
      </c>
      <c r="E195" s="27"/>
      <c r="F195" s="14"/>
      <c r="G195" s="26"/>
      <c r="H195" s="26" t="n">
        <v>1740</v>
      </c>
      <c r="I195" s="14" t="n">
        <v>1200</v>
      </c>
      <c r="J195" s="14" t="n">
        <v>60</v>
      </c>
      <c r="K195" s="14" t="n">
        <v>480</v>
      </c>
      <c r="L195" s="16"/>
      <c r="M195" s="17" t="n">
        <v>45893</v>
      </c>
      <c r="N195" s="14" t="n">
        <f aca="false">DAY(M195)</f>
        <v>24</v>
      </c>
      <c r="O195" s="14" t="str">
        <f aca="false">TEXT(M195,"DDDD")</f>
        <v>domingo</v>
      </c>
      <c r="P195" s="18" t="n">
        <f aca="false">MONTH(M195)</f>
        <v>8</v>
      </c>
      <c r="Q195" s="14" t="str">
        <f aca="false">TEXT(M195,"MMMM")</f>
        <v>agosto</v>
      </c>
    </row>
    <row r="196" customFormat="false" ht="14.25" hidden="false" customHeight="false" outlineLevel="0" collapsed="false">
      <c r="A196" s="1" t="n">
        <v>12</v>
      </c>
      <c r="B196" s="1" t="s">
        <v>370</v>
      </c>
      <c r="C196" s="1" t="s">
        <v>20</v>
      </c>
      <c r="D196" s="26" t="s">
        <v>371</v>
      </c>
      <c r="E196" s="27"/>
      <c r="F196" s="14"/>
      <c r="G196" s="26"/>
      <c r="H196" s="26" t="n">
        <v>2050</v>
      </c>
      <c r="I196" s="14" t="n">
        <v>1570</v>
      </c>
      <c r="J196" s="14" t="n">
        <v>60</v>
      </c>
      <c r="K196" s="14" t="n">
        <v>420</v>
      </c>
      <c r="L196" s="16"/>
      <c r="M196" s="17" t="n">
        <v>45893</v>
      </c>
      <c r="N196" s="14" t="n">
        <f aca="false">DAY(M196)</f>
        <v>24</v>
      </c>
      <c r="O196" s="14" t="str">
        <f aca="false">TEXT(M196,"DDDD")</f>
        <v>domingo</v>
      </c>
      <c r="P196" s="18" t="n">
        <f aca="false">MONTH(M196)</f>
        <v>8</v>
      </c>
      <c r="Q196" s="14" t="str">
        <f aca="false">TEXT(M196,"MMMM")</f>
        <v>agosto</v>
      </c>
    </row>
    <row r="197" customFormat="false" ht="14.25" hidden="false" customHeight="false" outlineLevel="0" collapsed="false">
      <c r="A197" s="1" t="n">
        <v>12</v>
      </c>
      <c r="B197" s="1" t="s">
        <v>372</v>
      </c>
      <c r="C197" s="1" t="s">
        <v>20</v>
      </c>
      <c r="D197" s="26" t="s">
        <v>373</v>
      </c>
      <c r="E197" s="27"/>
      <c r="F197" s="14"/>
      <c r="G197" s="26"/>
      <c r="H197" s="26" t="n">
        <v>1270</v>
      </c>
      <c r="I197" s="14" t="n">
        <v>1210</v>
      </c>
      <c r="J197" s="14" t="n">
        <v>60</v>
      </c>
      <c r="K197" s="14"/>
      <c r="L197" s="16"/>
      <c r="M197" s="17" t="n">
        <v>45893</v>
      </c>
      <c r="N197" s="14" t="n">
        <f aca="false">DAY(M197)</f>
        <v>24</v>
      </c>
      <c r="O197" s="14" t="str">
        <f aca="false">TEXT(M197,"DDDD")</f>
        <v>domingo</v>
      </c>
      <c r="P197" s="18" t="n">
        <f aca="false">MONTH(M197)</f>
        <v>8</v>
      </c>
      <c r="Q197" s="14" t="str">
        <f aca="false">TEXT(M197,"MMMM")</f>
        <v>agosto</v>
      </c>
    </row>
    <row r="198" customFormat="false" ht="14.25" hidden="false" customHeight="false" outlineLevel="0" collapsed="false">
      <c r="A198" s="1" t="n">
        <v>11</v>
      </c>
      <c r="B198" s="1" t="s">
        <v>374</v>
      </c>
      <c r="C198" s="1" t="s">
        <v>38</v>
      </c>
      <c r="D198" s="26" t="s">
        <v>166</v>
      </c>
      <c r="E198" s="27"/>
      <c r="F198" s="14"/>
      <c r="G198" s="26"/>
      <c r="H198" s="26" t="n">
        <v>2060</v>
      </c>
      <c r="I198" s="14" t="n">
        <v>1280</v>
      </c>
      <c r="J198" s="14" t="n">
        <v>60</v>
      </c>
      <c r="K198" s="14" t="n">
        <v>720</v>
      </c>
      <c r="L198" s="16"/>
      <c r="M198" s="17" t="n">
        <v>45893</v>
      </c>
      <c r="N198" s="14" t="n">
        <f aca="false">DAY(M198)</f>
        <v>24</v>
      </c>
      <c r="O198" s="14" t="str">
        <f aca="false">TEXT(M198,"DDDD")</f>
        <v>domingo</v>
      </c>
      <c r="P198" s="18" t="n">
        <f aca="false">MONTH(M198)</f>
        <v>8</v>
      </c>
      <c r="Q198" s="14" t="str">
        <f aca="false">TEXT(M198,"MMMM")</f>
        <v>agosto</v>
      </c>
    </row>
    <row r="199" customFormat="false" ht="14.25" hidden="false" customHeight="false" outlineLevel="0" collapsed="false">
      <c r="A199" s="1" t="n">
        <v>11</v>
      </c>
      <c r="B199" s="1" t="s">
        <v>375</v>
      </c>
      <c r="C199" s="1" t="s">
        <v>38</v>
      </c>
      <c r="D199" s="26" t="s">
        <v>85</v>
      </c>
      <c r="E199" s="27"/>
      <c r="F199" s="14"/>
      <c r="G199" s="26"/>
      <c r="H199" s="26" t="n">
        <v>3120</v>
      </c>
      <c r="I199" s="14" t="n">
        <v>1580</v>
      </c>
      <c r="J199" s="14" t="n">
        <v>60</v>
      </c>
      <c r="K199" s="14" t="n">
        <v>1480</v>
      </c>
      <c r="L199" s="16"/>
      <c r="M199" s="17" t="n">
        <v>45893</v>
      </c>
      <c r="N199" s="14" t="n">
        <f aca="false">DAY(M199)</f>
        <v>24</v>
      </c>
      <c r="O199" s="14" t="str">
        <f aca="false">TEXT(M199,"DDDD")</f>
        <v>domingo</v>
      </c>
      <c r="P199" s="18" t="n">
        <f aca="false">MONTH(M199)</f>
        <v>8</v>
      </c>
      <c r="Q199" s="14" t="str">
        <f aca="false">TEXT(M199,"MMMM")</f>
        <v>agosto</v>
      </c>
    </row>
    <row r="200" customFormat="false" ht="14.25" hidden="false" customHeight="false" outlineLevel="0" collapsed="false">
      <c r="A200" s="1" t="n">
        <v>11</v>
      </c>
      <c r="B200" s="1" t="s">
        <v>376</v>
      </c>
      <c r="C200" s="1" t="s">
        <v>20</v>
      </c>
      <c r="D200" s="26" t="s">
        <v>377</v>
      </c>
      <c r="E200" s="27"/>
      <c r="F200" s="14"/>
      <c r="G200" s="26"/>
      <c r="H200" s="26" t="n">
        <v>1850</v>
      </c>
      <c r="I200" s="14" t="n">
        <v>1790</v>
      </c>
      <c r="J200" s="14" t="n">
        <v>60</v>
      </c>
      <c r="K200" s="14"/>
      <c r="L200" s="16"/>
      <c r="M200" s="17" t="n">
        <v>45893</v>
      </c>
      <c r="N200" s="14" t="n">
        <f aca="false">DAY(M200)</f>
        <v>24</v>
      </c>
      <c r="O200" s="14" t="str">
        <f aca="false">TEXT(M200,"DDDD")</f>
        <v>domingo</v>
      </c>
      <c r="P200" s="18" t="n">
        <f aca="false">MONTH(M200)</f>
        <v>8</v>
      </c>
      <c r="Q200" s="14" t="str">
        <f aca="false">TEXT(M200,"MMMM")</f>
        <v>agosto</v>
      </c>
    </row>
    <row r="201" customFormat="false" ht="14.25" hidden="false" customHeight="false" outlineLevel="0" collapsed="false">
      <c r="A201" s="1" t="n">
        <v>11</v>
      </c>
      <c r="B201" s="1" t="s">
        <v>249</v>
      </c>
      <c r="C201" s="1" t="s">
        <v>20</v>
      </c>
      <c r="D201" s="26" t="s">
        <v>87</v>
      </c>
      <c r="E201" s="27"/>
      <c r="F201" s="14"/>
      <c r="G201" s="26"/>
      <c r="H201" s="26" t="n">
        <v>2870</v>
      </c>
      <c r="I201" s="14" t="n">
        <v>2170</v>
      </c>
      <c r="J201" s="14"/>
      <c r="K201" s="14" t="n">
        <v>700</v>
      </c>
      <c r="L201" s="16"/>
      <c r="M201" s="17" t="n">
        <v>45893</v>
      </c>
      <c r="N201" s="14" t="n">
        <f aca="false">DAY(M201)</f>
        <v>24</v>
      </c>
      <c r="O201" s="14" t="str">
        <f aca="false">TEXT(M201,"DDDD")</f>
        <v>domingo</v>
      </c>
      <c r="P201" s="18" t="n">
        <f aca="false">MONTH(M201)</f>
        <v>8</v>
      </c>
      <c r="Q201" s="14" t="str">
        <f aca="false">TEXT(M201,"MMMM")</f>
        <v>agosto</v>
      </c>
    </row>
    <row r="202" customFormat="false" ht="14.25" hidden="false" customHeight="false" outlineLevel="0" collapsed="false">
      <c r="A202" s="1" t="n">
        <v>11</v>
      </c>
      <c r="B202" s="1" t="s">
        <v>378</v>
      </c>
      <c r="C202" s="1" t="s">
        <v>20</v>
      </c>
      <c r="D202" s="26" t="s">
        <v>89</v>
      </c>
      <c r="E202" s="27"/>
      <c r="F202" s="14" t="s">
        <v>89</v>
      </c>
      <c r="G202" s="26"/>
      <c r="H202" s="26" t="n">
        <v>4560</v>
      </c>
      <c r="I202" s="14" t="n">
        <v>2100</v>
      </c>
      <c r="J202" s="14" t="n">
        <v>120</v>
      </c>
      <c r="K202" s="14" t="n">
        <v>2340</v>
      </c>
      <c r="L202" s="16"/>
      <c r="M202" s="17" t="n">
        <v>45893</v>
      </c>
      <c r="N202" s="14" t="n">
        <f aca="false">DAY(M202)</f>
        <v>24</v>
      </c>
      <c r="O202" s="14" t="str">
        <f aca="false">TEXT(M202,"DDDD")</f>
        <v>domingo</v>
      </c>
      <c r="P202" s="18" t="n">
        <f aca="false">MONTH(M202)</f>
        <v>8</v>
      </c>
      <c r="Q202" s="14" t="str">
        <f aca="false">TEXT(M202,"MMMM")</f>
        <v>agosto</v>
      </c>
    </row>
    <row r="203" customFormat="false" ht="14.25" hidden="false" customHeight="false" outlineLevel="0" collapsed="false">
      <c r="A203" s="1" t="n">
        <v>11</v>
      </c>
      <c r="B203" s="1" t="s">
        <v>379</v>
      </c>
      <c r="C203" s="1" t="s">
        <v>38</v>
      </c>
      <c r="D203" s="26" t="s">
        <v>380</v>
      </c>
      <c r="E203" s="27"/>
      <c r="F203" s="14"/>
      <c r="G203" s="26"/>
      <c r="H203" s="26" t="n">
        <v>4520</v>
      </c>
      <c r="I203" s="14" t="n">
        <v>2820</v>
      </c>
      <c r="J203" s="14" t="n">
        <v>60</v>
      </c>
      <c r="K203" s="14" t="n">
        <v>1640</v>
      </c>
      <c r="L203" s="16"/>
      <c r="M203" s="17" t="n">
        <v>45893</v>
      </c>
      <c r="N203" s="14" t="n">
        <f aca="false">DAY(M203)</f>
        <v>24</v>
      </c>
      <c r="O203" s="14" t="str">
        <f aca="false">TEXT(M203,"DDDD")</f>
        <v>domingo</v>
      </c>
      <c r="P203" s="18" t="n">
        <f aca="false">MONTH(M203)</f>
        <v>8</v>
      </c>
      <c r="Q203" s="14" t="str">
        <f aca="false">TEXT(M203,"MMMM")</f>
        <v>agosto</v>
      </c>
    </row>
    <row r="204" customFormat="false" ht="14.25" hidden="false" customHeight="false" outlineLevel="0" collapsed="false">
      <c r="A204" s="1" t="n">
        <v>11</v>
      </c>
      <c r="B204" s="1" t="s">
        <v>219</v>
      </c>
      <c r="C204" s="1" t="s">
        <v>20</v>
      </c>
      <c r="D204" s="26" t="s">
        <v>381</v>
      </c>
      <c r="E204" s="27"/>
      <c r="F204" s="14"/>
      <c r="G204" s="26"/>
      <c r="H204" s="26" t="n">
        <v>2420</v>
      </c>
      <c r="I204" s="14" t="n">
        <v>1760</v>
      </c>
      <c r="J204" s="14" t="n">
        <v>60</v>
      </c>
      <c r="K204" s="14" t="n">
        <v>200</v>
      </c>
      <c r="L204" s="16"/>
      <c r="M204" s="17" t="n">
        <v>45893</v>
      </c>
      <c r="N204" s="14" t="n">
        <f aca="false">DAY(M204)</f>
        <v>24</v>
      </c>
      <c r="O204" s="14" t="str">
        <f aca="false">TEXT(M204,"DDDD")</f>
        <v>domingo</v>
      </c>
      <c r="P204" s="18" t="n">
        <f aca="false">MONTH(M204)</f>
        <v>8</v>
      </c>
      <c r="Q204" s="14" t="str">
        <f aca="false">TEXT(M204,"MMMM")</f>
        <v>agosto</v>
      </c>
    </row>
    <row r="205" customFormat="false" ht="14.25" hidden="false" customHeight="false" outlineLevel="0" collapsed="false">
      <c r="A205" s="1" t="n">
        <v>10</v>
      </c>
      <c r="B205" s="1" t="s">
        <v>382</v>
      </c>
      <c r="C205" s="1" t="s">
        <v>20</v>
      </c>
      <c r="D205" s="26" t="s">
        <v>383</v>
      </c>
      <c r="E205" s="27"/>
      <c r="F205" s="14"/>
      <c r="G205" s="26"/>
      <c r="H205" s="26" t="n">
        <v>2630</v>
      </c>
      <c r="I205" s="14" t="n">
        <v>1650</v>
      </c>
      <c r="J205" s="14" t="n">
        <v>60</v>
      </c>
      <c r="K205" s="14" t="n">
        <v>920</v>
      </c>
      <c r="L205" s="16"/>
      <c r="M205" s="17" t="n">
        <v>45893</v>
      </c>
      <c r="N205" s="14" t="n">
        <f aca="false">DAY(M205)</f>
        <v>24</v>
      </c>
      <c r="O205" s="14" t="str">
        <f aca="false">TEXT(M205,"DDDD")</f>
        <v>domingo</v>
      </c>
      <c r="P205" s="18" t="n">
        <f aca="false">MONTH(M205)</f>
        <v>8</v>
      </c>
      <c r="Q205" s="14" t="str">
        <f aca="false">TEXT(M205,"MMMM")</f>
        <v>agosto</v>
      </c>
    </row>
    <row r="206" customFormat="false" ht="14.25" hidden="false" customHeight="false" outlineLevel="0" collapsed="false">
      <c r="A206" s="1" t="n">
        <v>10</v>
      </c>
      <c r="B206" s="1" t="s">
        <v>384</v>
      </c>
      <c r="C206" s="1" t="s">
        <v>20</v>
      </c>
      <c r="D206" s="26" t="s">
        <v>383</v>
      </c>
      <c r="E206" s="27"/>
      <c r="F206" s="14" t="s">
        <v>383</v>
      </c>
      <c r="G206" s="26"/>
      <c r="H206" s="26" t="n">
        <v>4400</v>
      </c>
      <c r="I206" s="14" t="n">
        <v>2100</v>
      </c>
      <c r="J206" s="14" t="n">
        <v>120</v>
      </c>
      <c r="K206" s="14" t="n">
        <v>2180</v>
      </c>
      <c r="L206" s="16"/>
      <c r="M206" s="17" t="n">
        <v>45893</v>
      </c>
      <c r="N206" s="14" t="n">
        <f aca="false">DAY(M206)</f>
        <v>24</v>
      </c>
      <c r="O206" s="14" t="str">
        <f aca="false">TEXT(M206,"DDDD")</f>
        <v>domingo</v>
      </c>
      <c r="P206" s="18" t="n">
        <f aca="false">MONTH(M206)</f>
        <v>8</v>
      </c>
      <c r="Q206" s="14" t="str">
        <f aca="false">TEXT(M206,"MMMM")</f>
        <v>agosto</v>
      </c>
    </row>
    <row r="207" customFormat="false" ht="14.25" hidden="false" customHeight="false" outlineLevel="0" collapsed="false">
      <c r="A207" s="1" t="n">
        <v>10</v>
      </c>
      <c r="B207" s="1" t="s">
        <v>385</v>
      </c>
      <c r="C207" s="1" t="s">
        <v>20</v>
      </c>
      <c r="D207" s="26" t="s">
        <v>386</v>
      </c>
      <c r="E207" s="27"/>
      <c r="F207" s="14"/>
      <c r="G207" s="26"/>
      <c r="H207" s="26" t="n">
        <v>2770</v>
      </c>
      <c r="I207" s="14" t="n">
        <v>1730</v>
      </c>
      <c r="J207" s="14" t="n">
        <v>60</v>
      </c>
      <c r="K207" s="14" t="n">
        <v>980</v>
      </c>
      <c r="L207" s="16"/>
      <c r="M207" s="17" t="n">
        <v>45893</v>
      </c>
      <c r="N207" s="14" t="n">
        <f aca="false">DAY(M207)</f>
        <v>24</v>
      </c>
      <c r="O207" s="14" t="str">
        <f aca="false">TEXT(M207,"DDDD")</f>
        <v>domingo</v>
      </c>
      <c r="P207" s="18" t="n">
        <f aca="false">MONTH(M207)</f>
        <v>8</v>
      </c>
      <c r="Q207" s="14" t="str">
        <f aca="false">TEXT(M207,"MMMM")</f>
        <v>agosto</v>
      </c>
    </row>
    <row r="208" customFormat="false" ht="14.25" hidden="false" customHeight="false" outlineLevel="0" collapsed="false">
      <c r="A208" s="1" t="n">
        <v>10</v>
      </c>
      <c r="B208" s="1" t="s">
        <v>227</v>
      </c>
      <c r="C208" s="1" t="s">
        <v>20</v>
      </c>
      <c r="D208" s="26" t="s">
        <v>387</v>
      </c>
      <c r="E208" s="27"/>
      <c r="F208" s="14" t="s">
        <v>387</v>
      </c>
      <c r="G208" s="26"/>
      <c r="H208" s="26" t="n">
        <v>7930</v>
      </c>
      <c r="I208" s="14" t="n">
        <v>3350</v>
      </c>
      <c r="J208" s="14" t="n">
        <v>120</v>
      </c>
      <c r="K208" s="14" t="n">
        <v>4460</v>
      </c>
      <c r="L208" s="16"/>
      <c r="M208" s="17" t="n">
        <v>45893</v>
      </c>
      <c r="N208" s="14" t="n">
        <f aca="false">DAY(M208)</f>
        <v>24</v>
      </c>
      <c r="O208" s="14" t="str">
        <f aca="false">TEXT(M208,"DDDD")</f>
        <v>domingo</v>
      </c>
      <c r="P208" s="18" t="n">
        <f aca="false">MONTH(M208)</f>
        <v>8</v>
      </c>
      <c r="Q208" s="14" t="str">
        <f aca="false">TEXT(M208,"MMMM")</f>
        <v>agosto</v>
      </c>
    </row>
    <row r="209" customFormat="false" ht="14.25" hidden="false" customHeight="false" outlineLevel="0" collapsed="false">
      <c r="A209" s="1" t="n">
        <v>9</v>
      </c>
      <c r="B209" s="1" t="s">
        <v>388</v>
      </c>
      <c r="C209" s="1" t="s">
        <v>20</v>
      </c>
      <c r="D209" s="26" t="s">
        <v>389</v>
      </c>
      <c r="E209" s="27"/>
      <c r="F209" s="14"/>
      <c r="G209" s="26"/>
      <c r="H209" s="26" t="n">
        <v>4370</v>
      </c>
      <c r="I209" s="14" t="n">
        <v>1310</v>
      </c>
      <c r="J209" s="14" t="n">
        <v>60</v>
      </c>
      <c r="K209" s="14" t="n">
        <v>3000</v>
      </c>
      <c r="L209" s="16"/>
      <c r="M209" s="17" t="n">
        <v>45893</v>
      </c>
      <c r="N209" s="14" t="n">
        <f aca="false">DAY(M209)</f>
        <v>24</v>
      </c>
      <c r="O209" s="14" t="str">
        <f aca="false">TEXT(M209,"DDDD")</f>
        <v>domingo</v>
      </c>
      <c r="P209" s="18" t="n">
        <f aca="false">MONTH(M209)</f>
        <v>8</v>
      </c>
      <c r="Q209" s="14" t="str">
        <f aca="false">TEXT(M209,"MMMM")</f>
        <v>agosto</v>
      </c>
    </row>
    <row r="210" customFormat="false" ht="14.25" hidden="false" customHeight="false" outlineLevel="0" collapsed="false">
      <c r="A210" s="1" t="n">
        <v>9</v>
      </c>
      <c r="B210" s="1" t="s">
        <v>390</v>
      </c>
      <c r="C210" s="1" t="s">
        <v>140</v>
      </c>
      <c r="D210" s="26" t="s">
        <v>267</v>
      </c>
      <c r="E210" s="27"/>
      <c r="F210" s="14"/>
      <c r="G210" s="26"/>
      <c r="H210" s="26" t="n">
        <v>3110</v>
      </c>
      <c r="I210" s="14" t="n">
        <v>2300</v>
      </c>
      <c r="J210" s="14" t="n">
        <v>60</v>
      </c>
      <c r="K210" s="14" t="n">
        <v>750</v>
      </c>
      <c r="L210" s="16"/>
      <c r="M210" s="17" t="n">
        <v>45893</v>
      </c>
      <c r="N210" s="14" t="n">
        <f aca="false">DAY(M210)</f>
        <v>24</v>
      </c>
      <c r="O210" s="14" t="str">
        <f aca="false">TEXT(M210,"DDDD")</f>
        <v>domingo</v>
      </c>
      <c r="P210" s="18" t="n">
        <f aca="false">MONTH(M210)</f>
        <v>8</v>
      </c>
      <c r="Q210" s="14" t="str">
        <f aca="false">TEXT(M210,"MMMM")</f>
        <v>agosto</v>
      </c>
    </row>
    <row r="211" customFormat="false" ht="14.25" hidden="false" customHeight="false" outlineLevel="0" collapsed="false">
      <c r="A211" s="1" t="n">
        <v>8</v>
      </c>
      <c r="B211" s="1" t="s">
        <v>391</v>
      </c>
      <c r="C211" s="1" t="s">
        <v>20</v>
      </c>
      <c r="D211" s="26" t="s">
        <v>392</v>
      </c>
      <c r="E211" s="27"/>
      <c r="F211" s="14" t="s">
        <v>392</v>
      </c>
      <c r="G211" s="26"/>
      <c r="H211" s="26" t="n">
        <v>4140</v>
      </c>
      <c r="I211" s="14" t="n">
        <v>3740</v>
      </c>
      <c r="J211" s="14" t="n">
        <v>200</v>
      </c>
      <c r="K211" s="14" t="n">
        <v>200</v>
      </c>
      <c r="L211" s="16"/>
      <c r="M211" s="17" t="n">
        <v>45893</v>
      </c>
      <c r="N211" s="14" t="n">
        <f aca="false">DAY(M211)</f>
        <v>24</v>
      </c>
      <c r="O211" s="14" t="str">
        <f aca="false">TEXT(M211,"DDDD")</f>
        <v>domingo</v>
      </c>
      <c r="P211" s="18" t="n">
        <f aca="false">MONTH(M211)</f>
        <v>8</v>
      </c>
      <c r="Q211" s="14" t="str">
        <f aca="false">TEXT(M211,"MMMM")</f>
        <v>agosto</v>
      </c>
    </row>
    <row r="212" customFormat="false" ht="14.25" hidden="false" customHeight="false" outlineLevel="0" collapsed="false">
      <c r="A212" s="1" t="n">
        <v>8</v>
      </c>
      <c r="B212" s="1" t="s">
        <v>393</v>
      </c>
      <c r="C212" s="1" t="s">
        <v>20</v>
      </c>
      <c r="D212" s="26" t="s">
        <v>394</v>
      </c>
      <c r="E212" s="27"/>
      <c r="F212" s="26"/>
      <c r="G212" s="26"/>
      <c r="H212" s="26" t="n">
        <v>1260</v>
      </c>
      <c r="I212" s="14" t="n">
        <v>1200</v>
      </c>
      <c r="J212" s="14" t="n">
        <v>60</v>
      </c>
      <c r="K212" s="14"/>
      <c r="L212" s="16"/>
      <c r="M212" s="17" t="n">
        <v>45893</v>
      </c>
      <c r="N212" s="14" t="n">
        <f aca="false">DAY(M212)</f>
        <v>24</v>
      </c>
      <c r="O212" s="14" t="str">
        <f aca="false">TEXT(M212,"DDDD")</f>
        <v>domingo</v>
      </c>
      <c r="P212" s="18" t="n">
        <f aca="false">MONTH(M212)</f>
        <v>8</v>
      </c>
      <c r="Q212" s="14" t="str">
        <f aca="false">TEXT(M212,"MMMM")</f>
        <v>agosto</v>
      </c>
    </row>
    <row r="213" customFormat="false" ht="14.25" hidden="false" customHeight="false" outlineLevel="0" collapsed="false">
      <c r="A213" s="1" t="n">
        <v>8</v>
      </c>
      <c r="B213" s="1" t="s">
        <v>395</v>
      </c>
      <c r="C213" s="1" t="s">
        <v>38</v>
      </c>
      <c r="D213" s="26" t="s">
        <v>396</v>
      </c>
      <c r="E213" s="27"/>
      <c r="F213" s="14" t="s">
        <v>396</v>
      </c>
      <c r="G213" s="26"/>
      <c r="H213" s="26" t="n">
        <v>5930</v>
      </c>
      <c r="I213" s="14" t="n">
        <v>5690</v>
      </c>
      <c r="J213" s="14" t="n">
        <v>240</v>
      </c>
      <c r="K213" s="14"/>
      <c r="L213" s="16"/>
      <c r="M213" s="17" t="n">
        <v>45893</v>
      </c>
      <c r="N213" s="14" t="n">
        <f aca="false">DAY(M213)</f>
        <v>24</v>
      </c>
      <c r="O213" s="14" t="str">
        <f aca="false">TEXT(M213,"DDDD")</f>
        <v>domingo</v>
      </c>
      <c r="P213" s="18" t="n">
        <f aca="false">MONTH(M213)</f>
        <v>8</v>
      </c>
      <c r="Q213" s="14" t="str">
        <f aca="false">TEXT(M213,"MMMM")</f>
        <v>agosto</v>
      </c>
    </row>
    <row r="214" customFormat="false" ht="14.25" hidden="false" customHeight="false" outlineLevel="0" collapsed="false">
      <c r="A214" s="1" t="n">
        <v>8</v>
      </c>
      <c r="B214" s="1" t="s">
        <v>397</v>
      </c>
      <c r="C214" s="1" t="s">
        <v>20</v>
      </c>
      <c r="D214" s="26" t="s">
        <v>274</v>
      </c>
      <c r="E214" s="27"/>
      <c r="F214" s="30"/>
      <c r="G214" s="26"/>
      <c r="H214" s="26" t="n">
        <v>2800</v>
      </c>
      <c r="I214" s="30" t="n">
        <v>1200</v>
      </c>
      <c r="J214" s="30" t="n">
        <v>60</v>
      </c>
      <c r="K214" s="30" t="n">
        <v>1540</v>
      </c>
      <c r="L214" s="31"/>
      <c r="M214" s="17" t="n">
        <v>45893</v>
      </c>
      <c r="N214" s="14" t="n">
        <f aca="false">DAY(M214)</f>
        <v>24</v>
      </c>
      <c r="O214" s="14" t="str">
        <f aca="false">TEXT(M214,"DDDD")</f>
        <v>domingo</v>
      </c>
      <c r="P214" s="32" t="n">
        <f aca="false">MONTH(M214)</f>
        <v>8</v>
      </c>
      <c r="Q214" s="30" t="str">
        <f aca="false">TEXT(M214,"MMMM")</f>
        <v>agosto</v>
      </c>
    </row>
    <row r="215" customFormat="false" ht="14.25" hidden="false" customHeight="false" outlineLevel="0" collapsed="false">
      <c r="A215" s="1" t="n">
        <v>8</v>
      </c>
      <c r="B215" s="1" t="s">
        <v>398</v>
      </c>
      <c r="C215" s="1" t="s">
        <v>20</v>
      </c>
      <c r="D215" s="26" t="s">
        <v>65</v>
      </c>
      <c r="E215" s="27"/>
      <c r="F215" s="26"/>
      <c r="G215" s="26"/>
      <c r="H215" s="26" t="n">
        <v>4820</v>
      </c>
      <c r="I215" s="33" t="n">
        <v>4700</v>
      </c>
      <c r="J215" s="26" t="n">
        <v>120</v>
      </c>
      <c r="K215" s="33"/>
      <c r="L215" s="34"/>
      <c r="M215" s="17" t="n">
        <v>45893</v>
      </c>
      <c r="N215" s="14" t="n">
        <f aca="false">DAY(M215)</f>
        <v>24</v>
      </c>
      <c r="O215" s="14" t="str">
        <f aca="false">TEXT(M215,"DDDD")</f>
        <v>domingo</v>
      </c>
      <c r="P215" s="35" t="n">
        <f aca="false">MONTH(M215)</f>
        <v>8</v>
      </c>
      <c r="Q215" s="26" t="str">
        <f aca="false">TEXT(M215,"MMMM")</f>
        <v>agosto</v>
      </c>
    </row>
    <row r="216" customFormat="false" ht="14.25" hidden="false" customHeight="false" outlineLevel="0" collapsed="false">
      <c r="A216" s="1" t="n">
        <v>8</v>
      </c>
      <c r="B216" s="1" t="s">
        <v>399</v>
      </c>
      <c r="C216" s="1" t="s">
        <v>20</v>
      </c>
      <c r="D216" s="26" t="s">
        <v>93</v>
      </c>
      <c r="E216" s="27"/>
      <c r="F216" s="26"/>
      <c r="G216" s="26"/>
      <c r="H216" s="26" t="n">
        <v>2990</v>
      </c>
      <c r="I216" s="33" t="n">
        <v>1390</v>
      </c>
      <c r="J216" s="26" t="n">
        <v>60</v>
      </c>
      <c r="K216" s="33" t="n">
        <v>1540</v>
      </c>
      <c r="L216" s="34"/>
      <c r="M216" s="17" t="n">
        <v>45893</v>
      </c>
      <c r="N216" s="14" t="n">
        <f aca="false">DAY(M216)</f>
        <v>24</v>
      </c>
      <c r="O216" s="14" t="str">
        <f aca="false">TEXT(M216,"DDDD")</f>
        <v>domingo</v>
      </c>
      <c r="P216" s="35" t="n">
        <f aca="false">MONTH(M216)</f>
        <v>8</v>
      </c>
      <c r="Q216" s="26" t="str">
        <f aca="false">TEXT(M216,"MMMM")</f>
        <v>agosto</v>
      </c>
    </row>
    <row r="217" customFormat="false" ht="14.25" hidden="false" customHeight="false" outlineLevel="0" collapsed="false">
      <c r="A217" s="1" t="n">
        <v>8</v>
      </c>
      <c r="B217" s="1" t="s">
        <v>151</v>
      </c>
      <c r="C217" s="1" t="s">
        <v>20</v>
      </c>
      <c r="D217" s="26" t="s">
        <v>400</v>
      </c>
      <c r="E217" s="27"/>
      <c r="F217" s="26" t="s">
        <v>400</v>
      </c>
      <c r="G217" s="26"/>
      <c r="H217" s="26" t="n">
        <v>4800</v>
      </c>
      <c r="I217" s="33" t="n">
        <v>2100</v>
      </c>
      <c r="J217" s="26" t="n">
        <v>120</v>
      </c>
      <c r="K217" s="33" t="n">
        <v>2580</v>
      </c>
      <c r="L217" s="34"/>
      <c r="M217" s="17" t="n">
        <v>45893</v>
      </c>
      <c r="N217" s="14" t="n">
        <f aca="false">DAY(M217)</f>
        <v>24</v>
      </c>
      <c r="O217" s="14" t="str">
        <f aca="false">TEXT(M217,"DDDD")</f>
        <v>domingo</v>
      </c>
      <c r="P217" s="35" t="n">
        <f aca="false">MONTH(M217)</f>
        <v>8</v>
      </c>
      <c r="Q217" s="26" t="str">
        <f aca="false">TEXT(M217,"MMMM")</f>
        <v>agosto</v>
      </c>
    </row>
    <row r="218" customFormat="false" ht="14.25" hidden="false" customHeight="false" outlineLevel="0" collapsed="false">
      <c r="A218" s="1" t="n">
        <v>7</v>
      </c>
      <c r="B218" s="1" t="s">
        <v>401</v>
      </c>
      <c r="C218" s="1" t="s">
        <v>20</v>
      </c>
      <c r="D218" s="26" t="s">
        <v>402</v>
      </c>
      <c r="E218" s="27"/>
      <c r="F218" s="26"/>
      <c r="G218" s="26"/>
      <c r="H218" s="26" t="n">
        <v>2060</v>
      </c>
      <c r="I218" s="33" t="n">
        <v>2000</v>
      </c>
      <c r="J218" s="26" t="n">
        <v>60</v>
      </c>
      <c r="K218" s="33"/>
      <c r="L218" s="34"/>
      <c r="M218" s="17" t="n">
        <v>45893</v>
      </c>
      <c r="N218" s="14" t="n">
        <f aca="false">DAY(M218)</f>
        <v>24</v>
      </c>
      <c r="O218" s="14" t="str">
        <f aca="false">TEXT(M218,"DDDD")</f>
        <v>domingo</v>
      </c>
      <c r="P218" s="35" t="n">
        <f aca="false">MONTH(M218)</f>
        <v>8</v>
      </c>
      <c r="Q218" s="26" t="str">
        <f aca="false">TEXT(M218,"MMMM")</f>
        <v>agosto</v>
      </c>
    </row>
    <row r="219" customFormat="false" ht="14.25" hidden="false" customHeight="false" outlineLevel="0" collapsed="false">
      <c r="A219" s="1" t="n">
        <v>7</v>
      </c>
      <c r="B219" s="1" t="s">
        <v>403</v>
      </c>
      <c r="C219" s="1" t="s">
        <v>20</v>
      </c>
      <c r="D219" s="26" t="s">
        <v>404</v>
      </c>
      <c r="E219" s="27"/>
      <c r="F219" s="26" t="s">
        <v>405</v>
      </c>
      <c r="G219" s="26"/>
      <c r="H219" s="26" t="n">
        <v>4380</v>
      </c>
      <c r="I219" s="33" t="n">
        <v>2100</v>
      </c>
      <c r="J219" s="26" t="n">
        <v>120</v>
      </c>
      <c r="K219" s="26" t="n">
        <v>2160</v>
      </c>
      <c r="L219" s="36"/>
      <c r="M219" s="17" t="n">
        <v>45893</v>
      </c>
      <c r="N219" s="14" t="n">
        <f aca="false">DAY(M219)</f>
        <v>24</v>
      </c>
      <c r="O219" s="14" t="str">
        <f aca="false">TEXT(M219,"DDDD")</f>
        <v>domingo</v>
      </c>
      <c r="P219" s="35" t="n">
        <f aca="false">MONTH(M219)</f>
        <v>8</v>
      </c>
      <c r="Q219" s="26" t="str">
        <f aca="false">TEXT(M219,"MMMM")</f>
        <v>agosto</v>
      </c>
    </row>
    <row r="220" customFormat="false" ht="14.25" hidden="false" customHeight="false" outlineLevel="0" collapsed="false">
      <c r="A220" s="1" t="n">
        <v>5</v>
      </c>
      <c r="B220" s="1" t="s">
        <v>406</v>
      </c>
      <c r="C220" s="1" t="s">
        <v>20</v>
      </c>
      <c r="D220" s="26" t="s">
        <v>407</v>
      </c>
      <c r="E220" s="27"/>
      <c r="F220" s="26"/>
      <c r="G220" s="26"/>
      <c r="H220" s="26" t="n">
        <v>1920</v>
      </c>
      <c r="I220" s="33" t="n">
        <v>1340</v>
      </c>
      <c r="J220" s="26" t="n">
        <v>60</v>
      </c>
      <c r="K220" s="26" t="n">
        <v>520</v>
      </c>
      <c r="L220" s="36"/>
      <c r="M220" s="17" t="n">
        <v>45893</v>
      </c>
      <c r="N220" s="14" t="n">
        <f aca="false">DAY(M220)</f>
        <v>24</v>
      </c>
      <c r="O220" s="14" t="str">
        <f aca="false">TEXT(M220,"DDDD")</f>
        <v>domingo</v>
      </c>
      <c r="P220" s="35" t="n">
        <f aca="false">MONTH(M220)</f>
        <v>8</v>
      </c>
      <c r="Q220" s="26" t="str">
        <f aca="false">TEXT(M220,"MMMM")</f>
        <v>agosto</v>
      </c>
    </row>
    <row r="221" customFormat="false" ht="14.25" hidden="false" customHeight="false" outlineLevel="0" collapsed="false">
      <c r="A221" s="1" t="n">
        <v>5</v>
      </c>
      <c r="B221" s="1" t="s">
        <v>408</v>
      </c>
      <c r="C221" s="1" t="s">
        <v>20</v>
      </c>
      <c r="D221" s="26" t="s">
        <v>409</v>
      </c>
      <c r="E221" s="27"/>
      <c r="F221" s="26"/>
      <c r="G221" s="26"/>
      <c r="H221" s="26" t="n">
        <v>1580</v>
      </c>
      <c r="I221" s="33" t="n">
        <v>1520</v>
      </c>
      <c r="J221" s="26" t="n">
        <v>60</v>
      </c>
      <c r="K221" s="26"/>
      <c r="L221" s="36"/>
      <c r="M221" s="17" t="n">
        <v>45893</v>
      </c>
      <c r="N221" s="14" t="n">
        <f aca="false">DAY(M221)</f>
        <v>24</v>
      </c>
      <c r="O221" s="14" t="str">
        <f aca="false">TEXT(M221,"DDDD")</f>
        <v>domingo</v>
      </c>
      <c r="P221" s="35" t="n">
        <f aca="false">MONTH(M221)</f>
        <v>8</v>
      </c>
      <c r="Q221" s="26" t="str">
        <f aca="false">TEXT(M221,"MMMM")</f>
        <v>agosto</v>
      </c>
    </row>
    <row r="222" customFormat="false" ht="14.25" hidden="false" customHeight="false" outlineLevel="0" collapsed="false">
      <c r="A222" s="1" t="n">
        <v>5</v>
      </c>
      <c r="B222" s="1" t="s">
        <v>410</v>
      </c>
      <c r="C222" s="1" t="s">
        <v>38</v>
      </c>
      <c r="D222" s="26" t="s">
        <v>411</v>
      </c>
      <c r="E222" s="27"/>
      <c r="F222" s="26"/>
      <c r="G222" s="26"/>
      <c r="H222" s="26" t="n">
        <v>2760</v>
      </c>
      <c r="I222" s="26" t="n">
        <v>1200</v>
      </c>
      <c r="J222" s="26" t="n">
        <v>60</v>
      </c>
      <c r="K222" s="26" t="n">
        <v>1500</v>
      </c>
      <c r="L222" s="36"/>
      <c r="M222" s="17" t="n">
        <v>45893</v>
      </c>
      <c r="N222" s="14" t="n">
        <f aca="false">DAY(M222)</f>
        <v>24</v>
      </c>
      <c r="O222" s="14" t="str">
        <f aca="false">TEXT(M222,"DDDD")</f>
        <v>domingo</v>
      </c>
      <c r="P222" s="35" t="n">
        <f aca="false">MONTH(M222)</f>
        <v>8</v>
      </c>
      <c r="Q222" s="26" t="str">
        <f aca="false">TEXT(M222,"MMMM")</f>
        <v>agosto</v>
      </c>
    </row>
    <row r="223" customFormat="false" ht="14.25" hidden="false" customHeight="false" outlineLevel="0" collapsed="false">
      <c r="A223" s="1" t="n">
        <v>4</v>
      </c>
      <c r="B223" s="1" t="s">
        <v>412</v>
      </c>
      <c r="C223" s="1" t="s">
        <v>20</v>
      </c>
      <c r="D223" s="26" t="s">
        <v>150</v>
      </c>
      <c r="E223" s="27"/>
      <c r="F223" s="26"/>
      <c r="G223" s="26"/>
      <c r="H223" s="26" t="n">
        <v>2040</v>
      </c>
      <c r="I223" s="26" t="n">
        <v>1200</v>
      </c>
      <c r="J223" s="26" t="n">
        <v>60</v>
      </c>
      <c r="K223" s="26" t="n">
        <v>780</v>
      </c>
      <c r="L223" s="36"/>
      <c r="M223" s="17" t="n">
        <v>45893</v>
      </c>
      <c r="N223" s="14" t="n">
        <f aca="false">DAY(M223)</f>
        <v>24</v>
      </c>
      <c r="O223" s="14" t="str">
        <f aca="false">TEXT(M223,"DDDD")</f>
        <v>domingo</v>
      </c>
      <c r="P223" s="35" t="n">
        <f aca="false">MONTH(M223)</f>
        <v>8</v>
      </c>
      <c r="Q223" s="26" t="str">
        <f aca="false">TEXT(M223,"MMMM")</f>
        <v>agosto</v>
      </c>
    </row>
    <row r="224" customFormat="false" ht="14.25" hidden="false" customHeight="false" outlineLevel="0" collapsed="false">
      <c r="A224" s="1" t="n">
        <v>12</v>
      </c>
      <c r="B224" s="1" t="s">
        <v>413</v>
      </c>
      <c r="C224" s="1" t="s">
        <v>20</v>
      </c>
      <c r="D224" s="1" t="s">
        <v>414</v>
      </c>
      <c r="F224" s="21" t="s">
        <v>134</v>
      </c>
      <c r="H224" s="3" t="n">
        <v>3660</v>
      </c>
      <c r="I224" s="1" t="n">
        <v>2100</v>
      </c>
      <c r="J224" s="1" t="n">
        <v>120</v>
      </c>
      <c r="K224" s="1" t="n">
        <v>1440</v>
      </c>
      <c r="M224" s="37" t="n">
        <v>45896</v>
      </c>
      <c r="N224" s="19" t="n">
        <f aca="false">DAY(M224)</f>
        <v>27</v>
      </c>
      <c r="O224" s="19" t="str">
        <f aca="false">TEXT(M224,"DDDD")</f>
        <v>miércoles</v>
      </c>
      <c r="P224" s="35" t="n">
        <f aca="false">MONTH(M224)</f>
        <v>8</v>
      </c>
      <c r="Q224" s="26" t="str">
        <f aca="false">TEXT(M224,"MMMM")</f>
        <v>agosto</v>
      </c>
    </row>
    <row r="225" customFormat="false" ht="14.25" hidden="false" customHeight="false" outlineLevel="0" collapsed="false">
      <c r="A225" s="1" t="n">
        <v>11</v>
      </c>
      <c r="B225" s="1" t="s">
        <v>249</v>
      </c>
      <c r="C225" s="1" t="s">
        <v>20</v>
      </c>
      <c r="D225" s="1" t="s">
        <v>415</v>
      </c>
      <c r="H225" s="3" t="n">
        <v>2950</v>
      </c>
      <c r="I225" s="1" t="n">
        <v>1350</v>
      </c>
      <c r="J225" s="1" t="n">
        <v>60</v>
      </c>
      <c r="K225" s="1" t="n">
        <v>1540</v>
      </c>
      <c r="M225" s="37" t="n">
        <v>45896</v>
      </c>
      <c r="N225" s="19" t="n">
        <f aca="false">DAY(M225)</f>
        <v>27</v>
      </c>
      <c r="O225" s="19" t="str">
        <f aca="false">TEXT(M225,"DDDD")</f>
        <v>miércoles</v>
      </c>
      <c r="P225" s="35" t="n">
        <f aca="false">MONTH(M225)</f>
        <v>8</v>
      </c>
      <c r="Q225" s="26" t="str">
        <f aca="false">TEXT(M225,"MMMM")</f>
        <v>agosto</v>
      </c>
    </row>
    <row r="226" customFormat="false" ht="14.25" hidden="false" customHeight="false" outlineLevel="0" collapsed="false">
      <c r="A226" s="1" t="n">
        <v>11</v>
      </c>
      <c r="B226" s="1" t="s">
        <v>416</v>
      </c>
      <c r="C226" s="1" t="s">
        <v>20</v>
      </c>
      <c r="D226" s="1" t="s">
        <v>417</v>
      </c>
      <c r="F226" s="21" t="s">
        <v>134</v>
      </c>
      <c r="H226" s="3" t="n">
        <v>4240</v>
      </c>
      <c r="I226" s="1" t="n">
        <v>2100</v>
      </c>
      <c r="J226" s="1" t="n">
        <v>120</v>
      </c>
      <c r="K226" s="1" t="n">
        <v>2020</v>
      </c>
      <c r="M226" s="37" t="n">
        <v>45896</v>
      </c>
      <c r="N226" s="19" t="n">
        <f aca="false">DAY(M226)</f>
        <v>27</v>
      </c>
      <c r="O226" s="19" t="str">
        <f aca="false">TEXT(M226,"DDDD")</f>
        <v>miércoles</v>
      </c>
      <c r="P226" s="35" t="n">
        <f aca="false">MONTH(M226)</f>
        <v>8</v>
      </c>
      <c r="Q226" s="26" t="str">
        <f aca="false">TEXT(M226,"MMMM")</f>
        <v>agosto</v>
      </c>
    </row>
    <row r="227" customFormat="false" ht="14.25" hidden="false" customHeight="false" outlineLevel="0" collapsed="false">
      <c r="A227" s="1" t="n">
        <v>11</v>
      </c>
      <c r="B227" s="1" t="s">
        <v>418</v>
      </c>
      <c r="C227" s="1" t="s">
        <v>20</v>
      </c>
      <c r="D227" s="1" t="s">
        <v>419</v>
      </c>
      <c r="F227" s="21" t="s">
        <v>267</v>
      </c>
      <c r="H227" s="3" t="n">
        <v>4720</v>
      </c>
      <c r="I227" s="1" t="n">
        <v>2100</v>
      </c>
      <c r="J227" s="1" t="n">
        <v>120</v>
      </c>
      <c r="K227" s="1" t="n">
        <v>2500</v>
      </c>
      <c r="M227" s="37" t="n">
        <v>45896</v>
      </c>
      <c r="N227" s="19" t="n">
        <f aca="false">DAY(M227)</f>
        <v>27</v>
      </c>
      <c r="O227" s="19" t="str">
        <f aca="false">TEXT(M227,"DDDD")</f>
        <v>miércoles</v>
      </c>
      <c r="P227" s="35" t="n">
        <f aca="false">MONTH(M227)</f>
        <v>8</v>
      </c>
      <c r="Q227" s="26" t="str">
        <f aca="false">TEXT(M227,"MMMM")</f>
        <v>agosto</v>
      </c>
    </row>
    <row r="228" customFormat="false" ht="14.25" hidden="false" customHeight="false" outlineLevel="0" collapsed="false">
      <c r="A228" s="1" t="n">
        <v>10</v>
      </c>
      <c r="B228" s="1" t="s">
        <v>420</v>
      </c>
      <c r="C228" s="1" t="s">
        <v>20</v>
      </c>
      <c r="D228" s="1" t="s">
        <v>421</v>
      </c>
      <c r="H228" s="3" t="n">
        <v>2620</v>
      </c>
      <c r="I228" s="26" t="n">
        <v>1200</v>
      </c>
      <c r="K228" s="1" t="n">
        <v>1360</v>
      </c>
      <c r="M228" s="37" t="n">
        <v>45896</v>
      </c>
      <c r="N228" s="19" t="n">
        <f aca="false">DAY(M228)</f>
        <v>27</v>
      </c>
      <c r="O228" s="19" t="str">
        <f aca="false">TEXT(M228,"DDDD")</f>
        <v>miércoles</v>
      </c>
      <c r="P228" s="35" t="n">
        <f aca="false">MONTH(M228)</f>
        <v>8</v>
      </c>
      <c r="Q228" s="26" t="str">
        <f aca="false">TEXT(M228,"MMMM")</f>
        <v>agosto</v>
      </c>
    </row>
    <row r="229" customFormat="false" ht="14.25" hidden="false" customHeight="false" outlineLevel="0" collapsed="false">
      <c r="A229" s="1" t="n">
        <v>10</v>
      </c>
      <c r="B229" s="1" t="s">
        <v>422</v>
      </c>
      <c r="C229" s="1" t="s">
        <v>38</v>
      </c>
      <c r="D229" s="1" t="s">
        <v>423</v>
      </c>
      <c r="H229" s="3" t="n">
        <v>2260</v>
      </c>
      <c r="I229" s="1" t="n">
        <v>1200</v>
      </c>
      <c r="K229" s="1" t="n">
        <v>1000</v>
      </c>
      <c r="M229" s="37" t="n">
        <v>45896</v>
      </c>
      <c r="N229" s="19" t="n">
        <f aca="false">DAY(M229)</f>
        <v>27</v>
      </c>
      <c r="O229" s="19" t="str">
        <f aca="false">TEXT(M229,"DDDD")</f>
        <v>miércoles</v>
      </c>
      <c r="P229" s="35" t="n">
        <f aca="false">MONTH(M229)</f>
        <v>8</v>
      </c>
      <c r="Q229" s="26" t="str">
        <f aca="false">TEXT(M229,"MMMM")</f>
        <v>agosto</v>
      </c>
    </row>
    <row r="230" customFormat="false" ht="14.25" hidden="false" customHeight="false" outlineLevel="0" collapsed="false">
      <c r="A230" s="1" t="n">
        <v>10</v>
      </c>
      <c r="B230" s="1" t="s">
        <v>424</v>
      </c>
      <c r="C230" s="1" t="s">
        <v>20</v>
      </c>
      <c r="D230" s="1" t="s">
        <v>425</v>
      </c>
      <c r="H230" s="3" t="n">
        <v>2260</v>
      </c>
      <c r="I230" s="1" t="n">
        <v>1200</v>
      </c>
      <c r="K230" s="1" t="n">
        <v>1000</v>
      </c>
      <c r="M230" s="37" t="n">
        <v>45896</v>
      </c>
      <c r="N230" s="19" t="n">
        <f aca="false">DAY(M230)</f>
        <v>27</v>
      </c>
      <c r="O230" s="19" t="str">
        <f aca="false">TEXT(M230,"DDDD")</f>
        <v>miércoles</v>
      </c>
      <c r="P230" s="35" t="n">
        <f aca="false">MONTH(M230)</f>
        <v>8</v>
      </c>
      <c r="Q230" s="26" t="str">
        <f aca="false">TEXT(M230,"MMMM")</f>
        <v>agosto</v>
      </c>
      <c r="R230" s="21" t="s">
        <v>83</v>
      </c>
      <c r="S230" s="1" t="n">
        <v>16209</v>
      </c>
    </row>
    <row r="231" customFormat="false" ht="14.25" hidden="false" customHeight="false" outlineLevel="0" collapsed="false">
      <c r="A231" s="1" t="n">
        <v>10</v>
      </c>
      <c r="B231" s="1" t="s">
        <v>426</v>
      </c>
      <c r="C231" s="1" t="s">
        <v>38</v>
      </c>
      <c r="D231" s="1" t="s">
        <v>427</v>
      </c>
      <c r="H231" s="3" t="n">
        <v>1260</v>
      </c>
      <c r="I231" s="1" t="n">
        <v>1200</v>
      </c>
      <c r="J231" s="1" t="n">
        <v>60</v>
      </c>
      <c r="M231" s="37" t="n">
        <v>45896</v>
      </c>
      <c r="N231" s="19" t="n">
        <f aca="false">DAY(M231)</f>
        <v>27</v>
      </c>
      <c r="O231" s="19" t="str">
        <f aca="false">TEXT(M231,"DDDD")</f>
        <v>miércoles</v>
      </c>
      <c r="P231" s="35" t="n">
        <f aca="false">MONTH(M231)</f>
        <v>8</v>
      </c>
      <c r="Q231" s="26" t="str">
        <f aca="false">TEXT(M231,"MMMM")</f>
        <v>agosto</v>
      </c>
    </row>
    <row r="232" customFormat="false" ht="14.25" hidden="false" customHeight="false" outlineLevel="0" collapsed="false">
      <c r="A232" s="1" t="n">
        <v>9</v>
      </c>
      <c r="B232" s="1" t="s">
        <v>428</v>
      </c>
      <c r="C232" s="1" t="s">
        <v>20</v>
      </c>
      <c r="D232" s="1" t="s">
        <v>429</v>
      </c>
      <c r="H232" s="3" t="n">
        <v>2060</v>
      </c>
      <c r="I232" s="26" t="n">
        <v>1200</v>
      </c>
      <c r="J232" s="1" t="n">
        <v>60</v>
      </c>
      <c r="K232" s="26" t="n">
        <v>800</v>
      </c>
      <c r="L232" s="36"/>
      <c r="M232" s="37" t="n">
        <v>45896</v>
      </c>
      <c r="N232" s="19" t="n">
        <f aca="false">DAY(M232)</f>
        <v>27</v>
      </c>
      <c r="O232" s="19" t="str">
        <f aca="false">TEXT(M232,"DDDD")</f>
        <v>miércoles</v>
      </c>
      <c r="P232" s="35" t="n">
        <f aca="false">MONTH(M232)</f>
        <v>8</v>
      </c>
      <c r="Q232" s="26" t="str">
        <f aca="false">TEXT(M232,"MMMM")</f>
        <v>agosto</v>
      </c>
    </row>
    <row r="233" customFormat="false" ht="14.25" hidden="false" customHeight="false" outlineLevel="0" collapsed="false">
      <c r="A233" s="1" t="n">
        <v>9</v>
      </c>
      <c r="B233" s="1" t="s">
        <v>430</v>
      </c>
      <c r="C233" s="1" t="s">
        <v>38</v>
      </c>
      <c r="D233" s="1" t="s">
        <v>431</v>
      </c>
      <c r="H233" s="3" t="n">
        <v>1260</v>
      </c>
      <c r="I233" s="26" t="n">
        <v>1200</v>
      </c>
      <c r="M233" s="5" t="n">
        <v>45896</v>
      </c>
      <c r="N233" s="19" t="n">
        <f aca="false">DAY(M233)</f>
        <v>27</v>
      </c>
      <c r="O233" s="19" t="str">
        <f aca="false">TEXT(M233,"DDDD")</f>
        <v>miércoles</v>
      </c>
      <c r="P233" s="35" t="n">
        <f aca="false">MONTH(M233)</f>
        <v>8</v>
      </c>
      <c r="Q233" s="26" t="str">
        <f aca="false">TEXT(M233,"MMMM")</f>
        <v>agosto</v>
      </c>
    </row>
    <row r="234" customFormat="false" ht="14.25" hidden="false" customHeight="false" outlineLevel="0" collapsed="false">
      <c r="A234" s="1" t="n">
        <v>9</v>
      </c>
      <c r="B234" s="1" t="s">
        <v>432</v>
      </c>
      <c r="C234" s="1" t="s">
        <v>140</v>
      </c>
      <c r="D234" s="1" t="s">
        <v>49</v>
      </c>
      <c r="H234" s="3" t="n">
        <v>1435</v>
      </c>
      <c r="I234" s="26" t="n">
        <v>1200</v>
      </c>
      <c r="K234" s="1" t="n">
        <v>175</v>
      </c>
      <c r="M234" s="5" t="n">
        <v>45896</v>
      </c>
      <c r="N234" s="19" t="n">
        <f aca="false">DAY(M234)</f>
        <v>27</v>
      </c>
      <c r="O234" s="19" t="str">
        <f aca="false">TEXT(M234,"DDDD")</f>
        <v>miércoles</v>
      </c>
      <c r="P234" s="35" t="n">
        <f aca="false">MONTH(M234)</f>
        <v>8</v>
      </c>
      <c r="Q234" s="26" t="str">
        <f aca="false">TEXT(M234,"MMMM")</f>
        <v>agosto</v>
      </c>
    </row>
    <row r="235" customFormat="false" ht="14.25" hidden="false" customHeight="false" outlineLevel="0" collapsed="false">
      <c r="A235" s="1" t="n">
        <v>9</v>
      </c>
      <c r="B235" s="1" t="s">
        <v>433</v>
      </c>
      <c r="C235" s="1" t="s">
        <v>140</v>
      </c>
      <c r="D235" s="1" t="s">
        <v>49</v>
      </c>
      <c r="H235" s="3" t="n">
        <v>1260</v>
      </c>
      <c r="I235" s="1" t="n">
        <v>1200</v>
      </c>
      <c r="M235" s="5" t="n">
        <v>45896</v>
      </c>
      <c r="N235" s="19" t="n">
        <f aca="false">DAY(M235)</f>
        <v>27</v>
      </c>
      <c r="O235" s="19" t="str">
        <f aca="false">TEXT(M235,"DDDD")</f>
        <v>miércoles</v>
      </c>
      <c r="P235" s="35" t="n">
        <f aca="false">MONTH(M235)</f>
        <v>8</v>
      </c>
      <c r="Q235" s="26" t="str">
        <f aca="false">TEXT(M235,"MMMM")</f>
        <v>agosto</v>
      </c>
    </row>
    <row r="236" customFormat="false" ht="14.25" hidden="false" customHeight="false" outlineLevel="0" collapsed="false">
      <c r="A236" s="1" t="n">
        <v>9</v>
      </c>
      <c r="B236" s="1" t="s">
        <v>434</v>
      </c>
      <c r="C236" s="1" t="s">
        <v>20</v>
      </c>
      <c r="D236" s="1" t="s">
        <v>96</v>
      </c>
      <c r="H236" s="3" t="n">
        <v>1260</v>
      </c>
      <c r="I236" s="1" t="n">
        <v>1200</v>
      </c>
      <c r="M236" s="5" t="n">
        <v>45896</v>
      </c>
      <c r="N236" s="19" t="n">
        <f aca="false">DAY(M236)</f>
        <v>27</v>
      </c>
      <c r="O236" s="19" t="str">
        <f aca="false">TEXT(M236,"DDDD")</f>
        <v>miércoles</v>
      </c>
      <c r="P236" s="35" t="n">
        <f aca="false">MONTH(M236)</f>
        <v>8</v>
      </c>
      <c r="Q236" s="26" t="str">
        <f aca="false">TEXT(M236,"MMMM")</f>
        <v>agosto</v>
      </c>
      <c r="R236" s="21" t="s">
        <v>83</v>
      </c>
      <c r="S236" s="1" t="n">
        <v>5009</v>
      </c>
    </row>
    <row r="237" customFormat="false" ht="14.25" hidden="false" customHeight="false" outlineLevel="0" collapsed="false">
      <c r="A237" s="1" t="n">
        <v>8</v>
      </c>
      <c r="B237" s="1" t="s">
        <v>435</v>
      </c>
      <c r="C237" s="1" t="s">
        <v>20</v>
      </c>
      <c r="D237" s="1" t="s">
        <v>436</v>
      </c>
      <c r="H237" s="3" t="n">
        <v>1410</v>
      </c>
      <c r="I237" s="26" t="n">
        <v>1200</v>
      </c>
      <c r="J237" s="1" t="n">
        <v>60</v>
      </c>
      <c r="K237" s="26" t="n">
        <v>150</v>
      </c>
      <c r="L237" s="36"/>
      <c r="M237" s="5" t="n">
        <v>45896</v>
      </c>
      <c r="N237" s="19" t="n">
        <f aca="false">DAY(M237)</f>
        <v>27</v>
      </c>
      <c r="O237" s="19" t="str">
        <f aca="false">TEXT(M237,"DDDD")</f>
        <v>miércoles</v>
      </c>
      <c r="P237" s="35" t="n">
        <f aca="false">MONTH(M237)</f>
        <v>8</v>
      </c>
      <c r="Q237" s="26" t="str">
        <f aca="false">TEXT(M237,"MMMM")</f>
        <v>agosto</v>
      </c>
    </row>
    <row r="238" customFormat="false" ht="14.25" hidden="false" customHeight="false" outlineLevel="0" collapsed="false">
      <c r="A238" s="1" t="n">
        <v>8</v>
      </c>
      <c r="B238" s="1" t="s">
        <v>437</v>
      </c>
      <c r="C238" s="1" t="s">
        <v>38</v>
      </c>
      <c r="D238" s="1" t="s">
        <v>65</v>
      </c>
      <c r="H238" s="3" t="n">
        <v>2460</v>
      </c>
      <c r="I238" s="26" t="n">
        <v>1200</v>
      </c>
      <c r="K238" s="1" t="n">
        <v>1200</v>
      </c>
      <c r="M238" s="5" t="n">
        <v>45896</v>
      </c>
      <c r="N238" s="19" t="n">
        <f aca="false">DAY(M238)</f>
        <v>27</v>
      </c>
      <c r="O238" s="19" t="str">
        <f aca="false">TEXT(M238,"DDDD")</f>
        <v>miércoles</v>
      </c>
      <c r="P238" s="35" t="n">
        <f aca="false">MONTH(M238)</f>
        <v>8</v>
      </c>
      <c r="Q238" s="26" t="str">
        <f aca="false">TEXT(M238,"MMMM")</f>
        <v>agosto</v>
      </c>
    </row>
    <row r="239" customFormat="false" ht="14.25" hidden="false" customHeight="false" outlineLevel="0" collapsed="false">
      <c r="A239" s="1" t="n">
        <v>8</v>
      </c>
      <c r="B239" s="1" t="s">
        <v>438</v>
      </c>
      <c r="C239" s="1" t="s">
        <v>38</v>
      </c>
      <c r="D239" s="1" t="s">
        <v>152</v>
      </c>
      <c r="H239" s="3" t="n">
        <v>1260</v>
      </c>
      <c r="I239" s="26" t="n">
        <v>1200</v>
      </c>
      <c r="M239" s="5" t="n">
        <v>45896</v>
      </c>
      <c r="N239" s="19" t="n">
        <f aca="false">DAY(M239)</f>
        <v>27</v>
      </c>
      <c r="O239" s="19" t="str">
        <f aca="false">TEXT(M239,"DDDD")</f>
        <v>miércoles</v>
      </c>
      <c r="P239" s="35" t="n">
        <f aca="false">MONTH(M239)</f>
        <v>8</v>
      </c>
      <c r="Q239" s="26" t="str">
        <f aca="false">TEXT(M239,"MMMM")</f>
        <v>agosto</v>
      </c>
    </row>
    <row r="240" customFormat="false" ht="14.25" hidden="false" customHeight="false" outlineLevel="0" collapsed="false">
      <c r="A240" s="1" t="n">
        <v>11</v>
      </c>
      <c r="B240" s="1" t="s">
        <v>439</v>
      </c>
      <c r="C240" s="1" t="s">
        <v>38</v>
      </c>
      <c r="D240" s="1" t="s">
        <v>278</v>
      </c>
      <c r="H240" s="3" t="n">
        <v>5270</v>
      </c>
      <c r="I240" s="1" t="n">
        <v>3750</v>
      </c>
      <c r="J240" s="1" t="n">
        <v>60</v>
      </c>
      <c r="K240" s="1" t="n">
        <v>1460</v>
      </c>
      <c r="M240" s="5" t="n">
        <v>45900</v>
      </c>
      <c r="N240" s="19" t="n">
        <f aca="false">DAY(M240)</f>
        <v>31</v>
      </c>
      <c r="O240" s="19" t="str">
        <f aca="false">TEXT(M240,"DDDD")</f>
        <v>domingo</v>
      </c>
      <c r="P240" s="6" t="n">
        <f aca="false">MONTH(M240)</f>
        <v>8</v>
      </c>
      <c r="Q240" s="26" t="str">
        <f aca="false">TEXT(M240,"MMMM")</f>
        <v>agosto</v>
      </c>
    </row>
    <row r="241" customFormat="false" ht="14.25" hidden="false" customHeight="false" outlineLevel="0" collapsed="false">
      <c r="A241" s="1" t="n">
        <v>10</v>
      </c>
      <c r="B241" s="1" t="s">
        <v>440</v>
      </c>
      <c r="C241" s="1" t="s">
        <v>38</v>
      </c>
      <c r="D241" s="1" t="s">
        <v>441</v>
      </c>
      <c r="H241" s="3" t="n">
        <v>4310</v>
      </c>
      <c r="I241" s="1" t="n">
        <v>4200</v>
      </c>
      <c r="J241" s="1" t="n">
        <v>60</v>
      </c>
      <c r="K241" s="1" t="n">
        <v>50</v>
      </c>
      <c r="M241" s="5" t="n">
        <v>45900</v>
      </c>
      <c r="N241" s="19" t="n">
        <f aca="false">DAY(M241)</f>
        <v>31</v>
      </c>
      <c r="O241" s="19" t="str">
        <f aca="false">TEXT(M241,"DDDD")</f>
        <v>domingo</v>
      </c>
      <c r="P241" s="6" t="n">
        <f aca="false">MONTH(M241)</f>
        <v>8</v>
      </c>
      <c r="Q241" s="26" t="str">
        <f aca="false">TEXT(M241,"MMMM")</f>
        <v>agosto</v>
      </c>
    </row>
    <row r="242" customFormat="false" ht="14.25" hidden="false" customHeight="false" outlineLevel="0" collapsed="false">
      <c r="A242" s="1" t="n">
        <v>10</v>
      </c>
      <c r="B242" s="1" t="s">
        <v>442</v>
      </c>
      <c r="C242" s="1" t="s">
        <v>140</v>
      </c>
      <c r="D242" s="1" t="s">
        <v>49</v>
      </c>
      <c r="H242" s="3" t="n">
        <v>2060</v>
      </c>
      <c r="I242" s="1" t="n">
        <v>1900</v>
      </c>
      <c r="J242" s="1" t="n">
        <v>60</v>
      </c>
      <c r="K242" s="1" t="n">
        <v>100</v>
      </c>
      <c r="M242" s="5" t="n">
        <v>45900</v>
      </c>
      <c r="N242" s="19" t="n">
        <f aca="false">DAY(M242)</f>
        <v>31</v>
      </c>
      <c r="O242" s="19" t="str">
        <f aca="false">TEXT(M242,"DDDD")</f>
        <v>domingo</v>
      </c>
      <c r="P242" s="6" t="n">
        <f aca="false">MONTH(M242)</f>
        <v>8</v>
      </c>
      <c r="Q242" s="26" t="str">
        <f aca="false">TEXT(M242,"MMMM")</f>
        <v>agosto</v>
      </c>
    </row>
    <row r="243" customFormat="false" ht="14.25" hidden="false" customHeight="false" outlineLevel="0" collapsed="false">
      <c r="A243" s="1" t="n">
        <v>10</v>
      </c>
      <c r="B243" s="1" t="s">
        <v>142</v>
      </c>
      <c r="C243" s="1" t="s">
        <v>20</v>
      </c>
      <c r="D243" s="1" t="s">
        <v>443</v>
      </c>
      <c r="H243" s="3" t="n">
        <v>3860</v>
      </c>
      <c r="I243" s="1" t="n">
        <v>2800</v>
      </c>
      <c r="J243" s="1" t="n">
        <v>60</v>
      </c>
      <c r="K243" s="1" t="n">
        <v>1720</v>
      </c>
      <c r="M243" s="5" t="n">
        <v>45900</v>
      </c>
      <c r="N243" s="19" t="n">
        <f aca="false">DAY(M243)</f>
        <v>31</v>
      </c>
      <c r="O243" s="19" t="str">
        <f aca="false">TEXT(M243,"DDDD")</f>
        <v>domingo</v>
      </c>
      <c r="P243" s="6" t="n">
        <f aca="false">MONTH(M243)</f>
        <v>8</v>
      </c>
      <c r="Q243" s="26" t="str">
        <f aca="false">TEXT(M243,"MMMM")</f>
        <v>agosto</v>
      </c>
    </row>
    <row r="244" customFormat="false" ht="14.25" hidden="false" customHeight="false" outlineLevel="0" collapsed="false">
      <c r="A244" s="1" t="n">
        <v>9</v>
      </c>
      <c r="B244" s="1" t="s">
        <v>444</v>
      </c>
      <c r="C244" s="1" t="s">
        <v>20</v>
      </c>
      <c r="D244" s="1" t="s">
        <v>445</v>
      </c>
      <c r="H244" s="3" t="n">
        <v>2840</v>
      </c>
      <c r="I244" s="1" t="n">
        <v>2000</v>
      </c>
      <c r="J244" s="1" t="n">
        <v>60</v>
      </c>
      <c r="K244" s="1" t="n">
        <v>780</v>
      </c>
      <c r="M244" s="5" t="n">
        <v>45900</v>
      </c>
      <c r="N244" s="19" t="n">
        <f aca="false">DAY(M244)</f>
        <v>31</v>
      </c>
      <c r="O244" s="19" t="str">
        <f aca="false">TEXT(M244,"DDDD")</f>
        <v>domingo</v>
      </c>
      <c r="P244" s="6" t="n">
        <f aca="false">MONTH(M244)</f>
        <v>8</v>
      </c>
      <c r="Q244" s="26" t="str">
        <f aca="false">TEXT(M244,"MMMM")</f>
        <v>agosto</v>
      </c>
    </row>
    <row r="245" customFormat="false" ht="14.25" hidden="false" customHeight="false" outlineLevel="0" collapsed="false">
      <c r="A245" s="1" t="n">
        <v>9</v>
      </c>
      <c r="B245" s="1" t="s">
        <v>446</v>
      </c>
      <c r="C245" s="1" t="s">
        <v>20</v>
      </c>
      <c r="D245" s="1" t="s">
        <v>447</v>
      </c>
      <c r="H245" s="3" t="n">
        <v>1890</v>
      </c>
      <c r="I245" s="1" t="n">
        <v>1730</v>
      </c>
      <c r="J245" s="1" t="n">
        <v>60</v>
      </c>
      <c r="K245" s="1" t="n">
        <v>100</v>
      </c>
      <c r="M245" s="5" t="n">
        <v>45900</v>
      </c>
      <c r="N245" s="19" t="n">
        <f aca="false">DAY(M245)</f>
        <v>31</v>
      </c>
      <c r="O245" s="19" t="str">
        <f aca="false">TEXT(M245,"DDDD")</f>
        <v>domingo</v>
      </c>
      <c r="P245" s="6" t="n">
        <f aca="false">MONTH(M245)</f>
        <v>8</v>
      </c>
      <c r="Q245" s="26" t="str">
        <f aca="false">TEXT(M245,"MMMM")</f>
        <v>agosto</v>
      </c>
    </row>
    <row r="246" customFormat="false" ht="14.25" hidden="false" customHeight="false" outlineLevel="0" collapsed="false">
      <c r="A246" s="1" t="n">
        <v>9</v>
      </c>
      <c r="B246" s="1" t="s">
        <v>448</v>
      </c>
      <c r="C246" s="1" t="s">
        <v>38</v>
      </c>
      <c r="D246" s="1" t="s">
        <v>449</v>
      </c>
      <c r="H246" s="3" t="n">
        <v>2160</v>
      </c>
      <c r="I246" s="1" t="n">
        <v>1950</v>
      </c>
      <c r="J246" s="1" t="n">
        <v>60</v>
      </c>
      <c r="K246" s="1" t="n">
        <v>150</v>
      </c>
      <c r="M246" s="5" t="n">
        <v>45900</v>
      </c>
      <c r="N246" s="19" t="n">
        <f aca="false">DAY(M246)</f>
        <v>31</v>
      </c>
      <c r="O246" s="19" t="str">
        <f aca="false">TEXT(M246,"DDDD")</f>
        <v>domingo</v>
      </c>
      <c r="P246" s="6" t="n">
        <f aca="false">MONTH(M246)</f>
        <v>8</v>
      </c>
      <c r="Q246" s="26" t="str">
        <f aca="false">TEXT(M246,"MMMM")</f>
        <v>agosto</v>
      </c>
    </row>
    <row r="247" customFormat="false" ht="14.25" hidden="false" customHeight="false" outlineLevel="0" collapsed="false">
      <c r="A247" s="1" t="n">
        <v>8</v>
      </c>
      <c r="B247" s="1" t="s">
        <v>450</v>
      </c>
      <c r="C247" s="1" t="s">
        <v>20</v>
      </c>
      <c r="D247" s="1" t="s">
        <v>451</v>
      </c>
      <c r="H247" s="3" t="n">
        <v>3820</v>
      </c>
      <c r="I247" s="1" t="n">
        <v>2080</v>
      </c>
      <c r="J247" s="1" t="n">
        <v>60</v>
      </c>
      <c r="K247" s="1" t="n">
        <v>1680</v>
      </c>
      <c r="M247" s="5" t="n">
        <v>45900</v>
      </c>
      <c r="N247" s="19" t="n">
        <f aca="false">DAY(M247)</f>
        <v>31</v>
      </c>
      <c r="O247" s="19" t="str">
        <f aca="false">TEXT(M247,"DDDD")</f>
        <v>domingo</v>
      </c>
      <c r="P247" s="6" t="n">
        <f aca="false">MONTH(M247)</f>
        <v>8</v>
      </c>
      <c r="Q247" s="26" t="str">
        <f aca="false">TEXT(M247,"MMMM")</f>
        <v>agosto</v>
      </c>
    </row>
    <row r="248" customFormat="false" ht="14.25" hidden="false" customHeight="false" outlineLevel="0" collapsed="false">
      <c r="A248" s="1" t="n">
        <v>7</v>
      </c>
      <c r="B248" s="1" t="s">
        <v>452</v>
      </c>
      <c r="C248" s="1" t="s">
        <v>20</v>
      </c>
      <c r="D248" s="1" t="s">
        <v>453</v>
      </c>
      <c r="H248" s="3" t="n">
        <v>3680</v>
      </c>
      <c r="I248" s="1" t="n">
        <v>2080</v>
      </c>
      <c r="J248" s="1" t="n">
        <v>60</v>
      </c>
      <c r="K248" s="1" t="n">
        <v>1540</v>
      </c>
      <c r="M248" s="5" t="n">
        <v>45900</v>
      </c>
      <c r="N248" s="19" t="n">
        <f aca="false">DAY(M248)</f>
        <v>31</v>
      </c>
      <c r="O248" s="19" t="str">
        <f aca="false">TEXT(M248,"DDDD")</f>
        <v>domingo</v>
      </c>
      <c r="P248" s="6" t="n">
        <f aca="false">MONTH(M248)</f>
        <v>8</v>
      </c>
      <c r="Q248" s="26" t="str">
        <f aca="false">TEXT(M248,"MMMM")</f>
        <v>agosto</v>
      </c>
    </row>
    <row r="249" customFormat="false" ht="14.25" hidden="false" customHeight="false" outlineLevel="0" collapsed="false">
      <c r="A249" s="1" t="n">
        <v>7</v>
      </c>
      <c r="B249" s="1" t="s">
        <v>454</v>
      </c>
      <c r="C249" s="1" t="s">
        <v>140</v>
      </c>
      <c r="D249" s="1" t="s">
        <v>202</v>
      </c>
      <c r="H249" s="3" t="n">
        <v>2140</v>
      </c>
      <c r="I249" s="1" t="n">
        <v>1730</v>
      </c>
      <c r="J249" s="1" t="n">
        <v>60</v>
      </c>
      <c r="K249" s="1" t="n">
        <v>350</v>
      </c>
      <c r="M249" s="5" t="n">
        <v>45900</v>
      </c>
      <c r="N249" s="19" t="n">
        <f aca="false">DAY(M249)</f>
        <v>31</v>
      </c>
      <c r="O249" s="19" t="str">
        <f aca="false">TEXT(M249,"DDDD")</f>
        <v>domingo</v>
      </c>
      <c r="P249" s="6" t="n">
        <f aca="false">MONTH(M249)</f>
        <v>8</v>
      </c>
      <c r="Q249" s="26" t="str">
        <f aca="false">TEXT(M249,"MMMM")</f>
        <v>agosto</v>
      </c>
    </row>
    <row r="250" customFormat="false" ht="14.25" hidden="false" customHeight="false" outlineLevel="0" collapsed="false">
      <c r="A250" s="1" t="n">
        <v>7</v>
      </c>
      <c r="B250" s="1" t="s">
        <v>455</v>
      </c>
      <c r="C250" s="1" t="s">
        <v>20</v>
      </c>
      <c r="D250" s="1" t="s">
        <v>456</v>
      </c>
      <c r="H250" s="3" t="n">
        <v>2850</v>
      </c>
      <c r="I250" s="1" t="n">
        <v>1730</v>
      </c>
      <c r="J250" s="1" t="n">
        <v>60</v>
      </c>
      <c r="K250" s="1" t="n">
        <v>1060</v>
      </c>
      <c r="M250" s="5" t="n">
        <v>45900</v>
      </c>
      <c r="N250" s="19" t="n">
        <f aca="false">DAY(M250)</f>
        <v>31</v>
      </c>
      <c r="O250" s="19" t="str">
        <f aca="false">TEXT(M250,"DDDD")</f>
        <v>domingo</v>
      </c>
      <c r="P250" s="6" t="n">
        <f aca="false">MONTH(M250)</f>
        <v>8</v>
      </c>
      <c r="Q250" s="26" t="str">
        <f aca="false">TEXT(M250,"MMMM")</f>
        <v>agosto</v>
      </c>
    </row>
    <row r="251" customFormat="false" ht="14.25" hidden="false" customHeight="false" outlineLevel="0" collapsed="false">
      <c r="A251" s="1" t="n">
        <v>4</v>
      </c>
      <c r="B251" s="1" t="s">
        <v>457</v>
      </c>
      <c r="C251" s="1" t="s">
        <v>38</v>
      </c>
      <c r="D251" s="1" t="s">
        <v>458</v>
      </c>
      <c r="H251" s="3" t="n">
        <v>2060</v>
      </c>
      <c r="I251" s="1" t="n">
        <v>2000</v>
      </c>
      <c r="J251" s="1" t="n">
        <v>60</v>
      </c>
      <c r="M251" s="5" t="n">
        <v>45900</v>
      </c>
      <c r="N251" s="19" t="n">
        <f aca="false">DAY(M251)</f>
        <v>31</v>
      </c>
      <c r="O251" s="19" t="str">
        <f aca="false">TEXT(M251,"DDDD")</f>
        <v>domingo</v>
      </c>
      <c r="P251" s="6" t="n">
        <f aca="false">MONTH(M251)</f>
        <v>8</v>
      </c>
      <c r="Q251" s="26" t="str">
        <f aca="false">TEXT(M251,"MMMM")</f>
        <v>agosto</v>
      </c>
      <c r="R251" s="21" t="s">
        <v>83</v>
      </c>
      <c r="S251" s="1" t="n">
        <v>8599</v>
      </c>
    </row>
    <row r="252" customFormat="false" ht="14.25" hidden="false" customHeight="false" outlineLevel="0" collapsed="false">
      <c r="A252" s="1" t="n">
        <v>4</v>
      </c>
      <c r="B252" s="1" t="s">
        <v>459</v>
      </c>
      <c r="C252" s="1" t="s">
        <v>20</v>
      </c>
      <c r="D252" s="1" t="s">
        <v>460</v>
      </c>
      <c r="H252" s="3" t="n">
        <v>1760</v>
      </c>
      <c r="I252" s="1" t="n">
        <v>1200</v>
      </c>
      <c r="J252" s="1" t="n">
        <v>60</v>
      </c>
      <c r="K252" s="1" t="n">
        <v>500</v>
      </c>
      <c r="M252" s="5" t="n">
        <v>45900</v>
      </c>
      <c r="N252" s="19" t="n">
        <f aca="false">DAY(M252)</f>
        <v>31</v>
      </c>
      <c r="O252" s="19" t="str">
        <f aca="false">TEXT(M252,"DDDD")</f>
        <v>domingo</v>
      </c>
      <c r="P252" s="6" t="n">
        <f aca="false">MONTH(M252)</f>
        <v>8</v>
      </c>
      <c r="Q252" s="26" t="str">
        <f aca="false">TEXT(M252,"MMMM")</f>
        <v>agosto</v>
      </c>
    </row>
    <row r="253" customFormat="false" ht="14.25" hidden="false" customHeight="false" outlineLevel="0" collapsed="false">
      <c r="A253" s="1" t="n">
        <v>4</v>
      </c>
      <c r="B253" s="1" t="s">
        <v>197</v>
      </c>
      <c r="C253" s="1" t="s">
        <v>20</v>
      </c>
      <c r="D253" s="1" t="s">
        <v>461</v>
      </c>
      <c r="H253" s="3" t="n">
        <v>2100</v>
      </c>
      <c r="I253" s="1" t="n">
        <v>1200</v>
      </c>
      <c r="J253" s="1" t="n">
        <v>60</v>
      </c>
      <c r="K253" s="1" t="n">
        <v>840</v>
      </c>
      <c r="M253" s="5" t="n">
        <v>45900</v>
      </c>
      <c r="N253" s="19" t="n">
        <f aca="false">DAY(M253)</f>
        <v>31</v>
      </c>
      <c r="O253" s="19" t="str">
        <f aca="false">TEXT(M253,"DDDD")</f>
        <v>domingo</v>
      </c>
      <c r="P253" s="6" t="n">
        <f aca="false">MONTH(M253)</f>
        <v>8</v>
      </c>
      <c r="Q253" s="26" t="str">
        <f aca="false">TEXT(M253,"MMMM")</f>
        <v>agosto</v>
      </c>
      <c r="R253" s="21" t="s">
        <v>83</v>
      </c>
      <c r="S253" s="1" t="n">
        <v>10550</v>
      </c>
    </row>
    <row r="254" customFormat="false" ht="14.25" hidden="false" customHeight="false" outlineLevel="0" collapsed="false">
      <c r="A254" s="1" t="n">
        <v>3</v>
      </c>
      <c r="B254" s="1" t="s">
        <v>462</v>
      </c>
      <c r="C254" s="1" t="s">
        <v>38</v>
      </c>
      <c r="D254" s="1" t="s">
        <v>458</v>
      </c>
      <c r="H254" s="3" t="n">
        <v>2790</v>
      </c>
      <c r="I254" s="1" t="n">
        <v>2050</v>
      </c>
      <c r="J254" s="1" t="n">
        <v>60</v>
      </c>
      <c r="K254" s="1" t="n">
        <v>680</v>
      </c>
      <c r="M254" s="5" t="n">
        <v>45900</v>
      </c>
      <c r="N254" s="19" t="n">
        <f aca="false">DAY(M254)</f>
        <v>31</v>
      </c>
      <c r="O254" s="19" t="str">
        <f aca="false">TEXT(M254,"DDDD")</f>
        <v>domingo</v>
      </c>
      <c r="P254" s="6" t="n">
        <f aca="false">MONTH(M254)</f>
        <v>8</v>
      </c>
      <c r="Q254" s="26" t="str">
        <f aca="false">TEXT(M254,"MMMM")</f>
        <v>agosto</v>
      </c>
    </row>
    <row r="255" customFormat="false" ht="14.25" hidden="false" customHeight="false" outlineLevel="0" collapsed="false">
      <c r="A255" s="1" t="n">
        <v>3</v>
      </c>
      <c r="B255" s="1" t="s">
        <v>463</v>
      </c>
      <c r="C255" s="1" t="s">
        <v>20</v>
      </c>
      <c r="D255" s="1" t="s">
        <v>464</v>
      </c>
      <c r="H255" s="3" t="n">
        <v>2110</v>
      </c>
      <c r="I255" s="1" t="n">
        <v>2050</v>
      </c>
      <c r="J255" s="1" t="n">
        <v>60</v>
      </c>
      <c r="M255" s="5" t="n">
        <v>45900</v>
      </c>
      <c r="N255" s="19" t="n">
        <f aca="false">DAY(M255)</f>
        <v>31</v>
      </c>
      <c r="O255" s="19" t="str">
        <f aca="false">TEXT(M255,"DDDD")</f>
        <v>domingo</v>
      </c>
      <c r="P255" s="6" t="n">
        <f aca="false">MONTH(M255)</f>
        <v>8</v>
      </c>
      <c r="Q255" s="26" t="str">
        <f aca="false">TEXT(M255,"MMMM")</f>
        <v>agosto</v>
      </c>
    </row>
    <row r="256" customFormat="false" ht="14.25" hidden="false" customHeight="false" outlineLevel="0" collapsed="false">
      <c r="A256" s="1" t="n">
        <v>12</v>
      </c>
      <c r="B256" s="1" t="s">
        <v>465</v>
      </c>
      <c r="C256" s="1" t="s">
        <v>20</v>
      </c>
      <c r="D256" s="1" t="s">
        <v>82</v>
      </c>
      <c r="H256" s="3" t="n">
        <v>1200</v>
      </c>
      <c r="I256" s="1" t="n">
        <v>1200</v>
      </c>
      <c r="M256" s="5" t="n">
        <v>45901</v>
      </c>
      <c r="N256" s="19" t="n">
        <f aca="false">DAY(M256)</f>
        <v>1</v>
      </c>
      <c r="O256" s="19" t="str">
        <f aca="false">TEXT(M256,"DDDD")</f>
        <v>lunes</v>
      </c>
      <c r="P256" s="6" t="n">
        <f aca="false">MONTH(M256)</f>
        <v>9</v>
      </c>
      <c r="Q256" s="26" t="str">
        <f aca="false">TEXT(M256,"MMMM")</f>
        <v>septiembre</v>
      </c>
    </row>
    <row r="257" customFormat="false" ht="14.25" hidden="false" customHeight="false" outlineLevel="0" collapsed="false">
      <c r="A257" s="1" t="n">
        <v>10</v>
      </c>
      <c r="B257" s="1" t="s">
        <v>466</v>
      </c>
      <c r="C257" s="1" t="s">
        <v>20</v>
      </c>
      <c r="D257" s="1" t="s">
        <v>467</v>
      </c>
      <c r="E257" s="2" t="n">
        <v>436289488</v>
      </c>
      <c r="F257" s="21" t="s">
        <v>468</v>
      </c>
      <c r="G257" s="1" t="n">
        <v>436289355</v>
      </c>
      <c r="H257" s="3" t="n">
        <v>3750</v>
      </c>
      <c r="I257" s="1" t="n">
        <v>2100</v>
      </c>
      <c r="K257" s="1" t="n">
        <v>1650</v>
      </c>
      <c r="M257" s="5" t="n">
        <v>45901</v>
      </c>
      <c r="N257" s="19" t="n">
        <f aca="false">DAY(M257)</f>
        <v>1</v>
      </c>
      <c r="O257" s="19" t="str">
        <f aca="false">TEXT(M257,"DDDD")</f>
        <v>lunes</v>
      </c>
      <c r="P257" s="6" t="n">
        <f aca="false">MONTH(M257)</f>
        <v>9</v>
      </c>
      <c r="Q257" s="26" t="str">
        <f aca="false">TEXT(M257,"MMMM")</f>
        <v>septiembre</v>
      </c>
    </row>
    <row r="258" customFormat="false" ht="14.25" hidden="false" customHeight="false" outlineLevel="0" collapsed="false">
      <c r="A258" s="1" t="n">
        <v>10</v>
      </c>
      <c r="B258" s="1" t="s">
        <v>247</v>
      </c>
      <c r="C258" s="1" t="s">
        <v>20</v>
      </c>
      <c r="D258" s="1" t="s">
        <v>468</v>
      </c>
      <c r="E258" s="2" t="n">
        <v>436286272</v>
      </c>
      <c r="H258" s="3" t="n">
        <v>2680</v>
      </c>
      <c r="I258" s="1" t="n">
        <v>1200</v>
      </c>
      <c r="K258" s="1" t="n">
        <v>1480</v>
      </c>
      <c r="M258" s="5" t="n">
        <v>45901</v>
      </c>
      <c r="N258" s="19" t="n">
        <f aca="false">DAY(M258)</f>
        <v>1</v>
      </c>
      <c r="O258" s="19" t="str">
        <f aca="false">TEXT(M258,"DDDD")</f>
        <v>lunes</v>
      </c>
      <c r="P258" s="6" t="n">
        <f aca="false">MONTH(M258)</f>
        <v>9</v>
      </c>
      <c r="Q258" s="26" t="str">
        <f aca="false">TEXT(M258,"MMMM")</f>
        <v>septiembre</v>
      </c>
    </row>
    <row r="259" customFormat="false" ht="14.25" hidden="false" customHeight="false" outlineLevel="0" collapsed="false">
      <c r="A259" s="1" t="n">
        <v>10</v>
      </c>
      <c r="B259" s="1" t="s">
        <v>469</v>
      </c>
      <c r="C259" s="1" t="s">
        <v>20</v>
      </c>
      <c r="D259" s="1" t="s">
        <v>131</v>
      </c>
      <c r="E259" s="2" t="n">
        <v>436282103</v>
      </c>
      <c r="H259" s="3" t="n">
        <v>2700</v>
      </c>
      <c r="I259" s="1" t="n">
        <v>1200</v>
      </c>
      <c r="K259" s="1" t="n">
        <v>1500</v>
      </c>
      <c r="M259" s="5" t="n">
        <v>45901</v>
      </c>
      <c r="N259" s="19" t="n">
        <f aca="false">DAY(M259)</f>
        <v>1</v>
      </c>
      <c r="O259" s="19" t="str">
        <f aca="false">TEXT(M259,"DDDD")</f>
        <v>lunes</v>
      </c>
      <c r="P259" s="6" t="n">
        <f aca="false">MONTH(M259)</f>
        <v>9</v>
      </c>
      <c r="Q259" s="26" t="str">
        <f aca="false">TEXT(M259,"MMMM")</f>
        <v>septiembre</v>
      </c>
    </row>
    <row r="260" customFormat="false" ht="14.25" hidden="false" customHeight="false" outlineLevel="0" collapsed="false">
      <c r="A260" s="1" t="n">
        <v>9</v>
      </c>
      <c r="B260" s="1" t="s">
        <v>470</v>
      </c>
      <c r="C260" s="1" t="s">
        <v>20</v>
      </c>
      <c r="D260" s="1" t="s">
        <v>228</v>
      </c>
      <c r="E260" s="2" t="n">
        <v>436277897</v>
      </c>
      <c r="F260" s="21" t="s">
        <v>228</v>
      </c>
      <c r="G260" s="1" t="n">
        <v>436277971</v>
      </c>
      <c r="H260" s="3" t="n">
        <v>3160</v>
      </c>
      <c r="I260" s="1" t="n">
        <v>1800</v>
      </c>
      <c r="K260" s="1" t="n">
        <v>1360</v>
      </c>
      <c r="M260" s="5" t="n">
        <v>45901</v>
      </c>
      <c r="N260" s="19" t="n">
        <f aca="false">DAY(M260)</f>
        <v>1</v>
      </c>
      <c r="O260" s="19" t="str">
        <f aca="false">TEXT(M260,"DDDD")</f>
        <v>lunes</v>
      </c>
      <c r="P260" s="6" t="n">
        <f aca="false">MONTH(M260)</f>
        <v>9</v>
      </c>
      <c r="Q260" s="26" t="str">
        <f aca="false">TEXT(M260,"MMMM")</f>
        <v>septiembre</v>
      </c>
    </row>
    <row r="261" customFormat="false" ht="14.25" hidden="false" customHeight="false" outlineLevel="0" collapsed="false">
      <c r="A261" s="1" t="n">
        <v>9</v>
      </c>
      <c r="B261" s="1" t="s">
        <v>471</v>
      </c>
      <c r="C261" s="1" t="s">
        <v>38</v>
      </c>
      <c r="D261" s="1" t="s">
        <v>274</v>
      </c>
      <c r="E261" s="2" t="n">
        <v>436276271</v>
      </c>
      <c r="H261" s="3" t="n">
        <v>1490</v>
      </c>
      <c r="I261" s="1" t="n">
        <v>1250</v>
      </c>
      <c r="K261" s="1" t="n">
        <v>240</v>
      </c>
      <c r="M261" s="5" t="n">
        <v>45901</v>
      </c>
      <c r="N261" s="19" t="n">
        <f aca="false">DAY(M261)</f>
        <v>1</v>
      </c>
      <c r="O261" s="19" t="str">
        <f aca="false">TEXT(M261,"DDDD")</f>
        <v>lunes</v>
      </c>
      <c r="P261" s="6" t="n">
        <f aca="false">MONTH(M261)</f>
        <v>9</v>
      </c>
      <c r="Q261" s="26" t="str">
        <f aca="false">TEXT(M261,"MMMM")</f>
        <v>septiembre</v>
      </c>
    </row>
    <row r="262" customFormat="false" ht="14.25" hidden="false" customHeight="false" outlineLevel="0" collapsed="false">
      <c r="A262" s="1" t="n">
        <v>9</v>
      </c>
      <c r="B262" s="1" t="s">
        <v>472</v>
      </c>
      <c r="C262" s="1" t="s">
        <v>20</v>
      </c>
      <c r="D262" s="1" t="s">
        <v>473</v>
      </c>
      <c r="E262" s="2" t="n">
        <v>436273594</v>
      </c>
      <c r="F262" s="21" t="s">
        <v>474</v>
      </c>
      <c r="G262" s="1" t="n">
        <v>436274562</v>
      </c>
      <c r="H262" s="3" t="n">
        <v>3200</v>
      </c>
      <c r="M262" s="5" t="n">
        <v>45901</v>
      </c>
      <c r="N262" s="19" t="n">
        <f aca="false">DAY(M262)</f>
        <v>1</v>
      </c>
      <c r="O262" s="19" t="str">
        <f aca="false">TEXT(M262,"DDDD")</f>
        <v>lunes</v>
      </c>
      <c r="P262" s="6" t="n">
        <f aca="false">MONTH(M262)</f>
        <v>9</v>
      </c>
      <c r="Q262" s="26" t="str">
        <f aca="false">TEXT(M262,"MMMM")</f>
        <v>septiembre</v>
      </c>
    </row>
    <row r="263" customFormat="false" ht="14.25" hidden="false" customHeight="false" outlineLevel="0" collapsed="false">
      <c r="A263" s="1" t="n">
        <v>9</v>
      </c>
      <c r="B263" s="1" t="s">
        <v>475</v>
      </c>
      <c r="C263" s="1" t="s">
        <v>38</v>
      </c>
      <c r="D263" s="1" t="s">
        <v>476</v>
      </c>
      <c r="E263" s="2" t="n">
        <v>436268719</v>
      </c>
      <c r="H263" s="3" t="n">
        <v>3950</v>
      </c>
      <c r="I263" s="1" t="n">
        <v>2900</v>
      </c>
      <c r="K263" s="1" t="n">
        <v>1050</v>
      </c>
      <c r="M263" s="5" t="n">
        <v>45901</v>
      </c>
      <c r="N263" s="19" t="n">
        <f aca="false">DAY(M263)</f>
        <v>1</v>
      </c>
      <c r="O263" s="19" t="str">
        <f aca="false">TEXT(M263,"DDDD")</f>
        <v>lunes</v>
      </c>
      <c r="P263" s="6" t="n">
        <f aca="false">MONTH(M263)</f>
        <v>9</v>
      </c>
      <c r="Q263" s="26" t="str">
        <f aca="false">TEXT(M263,"MMMM")</f>
        <v>septiembre</v>
      </c>
      <c r="R263" s="21" t="s">
        <v>83</v>
      </c>
      <c r="S263" s="1" t="n">
        <v>55114.89</v>
      </c>
    </row>
    <row r="264" customFormat="false" ht="14.25" hidden="false" customHeight="false" outlineLevel="0" collapsed="false">
      <c r="A264" s="1" t="n">
        <v>8</v>
      </c>
      <c r="B264" s="1" t="s">
        <v>477</v>
      </c>
      <c r="C264" s="1" t="s">
        <v>20</v>
      </c>
      <c r="D264" s="1" t="s">
        <v>478</v>
      </c>
      <c r="E264" s="2" t="n">
        <v>436266017</v>
      </c>
      <c r="F264" s="21" t="s">
        <v>479</v>
      </c>
      <c r="G264" s="1" t="n">
        <v>436266219</v>
      </c>
      <c r="H264" s="3" t="n">
        <v>2540</v>
      </c>
      <c r="I264" s="1" t="n">
        <v>2100</v>
      </c>
      <c r="K264" s="1" t="n">
        <v>440</v>
      </c>
      <c r="M264" s="5" t="n">
        <v>45901</v>
      </c>
      <c r="N264" s="19" t="n">
        <f aca="false">DAY(M264)</f>
        <v>1</v>
      </c>
      <c r="O264" s="19" t="str">
        <f aca="false">TEXT(M264,"DDDD")</f>
        <v>lunes</v>
      </c>
      <c r="P264" s="6" t="n">
        <f aca="false">MONTH(M264)</f>
        <v>9</v>
      </c>
      <c r="Q264" s="26" t="str">
        <f aca="false">TEXT(M264,"MMMM")</f>
        <v>septiembre</v>
      </c>
    </row>
    <row r="265" customFormat="false" ht="14.25" hidden="false" customHeight="false" outlineLevel="0" collapsed="false">
      <c r="A265" s="1" t="n">
        <v>3</v>
      </c>
      <c r="B265" s="1" t="s">
        <v>480</v>
      </c>
      <c r="C265" s="1" t="s">
        <v>20</v>
      </c>
      <c r="D265" s="1" t="s">
        <v>87</v>
      </c>
      <c r="E265" s="2" t="n">
        <v>436325298</v>
      </c>
      <c r="H265" s="3" t="n">
        <v>3090</v>
      </c>
      <c r="I265" s="26" t="n">
        <v>1650</v>
      </c>
      <c r="K265" s="26" t="n">
        <v>1440</v>
      </c>
      <c r="L265" s="36"/>
      <c r="M265" s="5" t="n">
        <v>45902</v>
      </c>
      <c r="N265" s="33" t="n">
        <f aca="false">DAY(M265)</f>
        <v>2</v>
      </c>
      <c r="O265" s="33" t="str">
        <f aca="false">TEXT(M265,"DDDD")</f>
        <v>martes</v>
      </c>
      <c r="P265" s="35" t="n">
        <f aca="false">MONTH(M265)</f>
        <v>9</v>
      </c>
      <c r="Q265" s="26" t="str">
        <f aca="false">TEXT(M265,"MMMM")</f>
        <v>septiembre</v>
      </c>
    </row>
    <row r="266" customFormat="false" ht="14.25" hidden="false" customHeight="false" outlineLevel="0" collapsed="false">
      <c r="A266" s="1" t="n">
        <v>3</v>
      </c>
      <c r="B266" s="1" t="s">
        <v>481</v>
      </c>
      <c r="C266" s="1" t="s">
        <v>20</v>
      </c>
      <c r="D266" s="1" t="s">
        <v>482</v>
      </c>
      <c r="E266" s="2" t="n">
        <v>436325192</v>
      </c>
      <c r="H266" s="3" t="n">
        <v>1750</v>
      </c>
      <c r="I266" s="26" t="n">
        <v>1750</v>
      </c>
      <c r="M266" s="5" t="n">
        <v>45902</v>
      </c>
      <c r="N266" s="33" t="n">
        <f aca="false">DAY(M266)</f>
        <v>2</v>
      </c>
      <c r="O266" s="33" t="str">
        <f aca="false">TEXT(M266,"DDDD")</f>
        <v>martes</v>
      </c>
      <c r="P266" s="35" t="n">
        <f aca="false">MONTH(M266)</f>
        <v>9</v>
      </c>
      <c r="Q266" s="26" t="str">
        <f aca="false">TEXT(M266,"MMMM")</f>
        <v>septiembre</v>
      </c>
    </row>
    <row r="267" customFormat="false" ht="14.25" hidden="false" customHeight="false" outlineLevel="0" collapsed="false">
      <c r="A267" s="1" t="n">
        <v>3</v>
      </c>
      <c r="B267" s="1" t="s">
        <v>483</v>
      </c>
      <c r="C267" s="1" t="s">
        <v>38</v>
      </c>
      <c r="D267" s="1" t="s">
        <v>484</v>
      </c>
      <c r="E267" s="2" t="n">
        <v>436325112</v>
      </c>
      <c r="H267" s="3" t="n">
        <v>2300</v>
      </c>
      <c r="I267" s="26" t="n">
        <v>1300</v>
      </c>
      <c r="K267" s="26" t="n">
        <v>1000</v>
      </c>
      <c r="L267" s="36"/>
      <c r="M267" s="5" t="n">
        <v>45902</v>
      </c>
      <c r="N267" s="33" t="n">
        <f aca="false">DAY(M267)</f>
        <v>2</v>
      </c>
      <c r="O267" s="33" t="str">
        <f aca="false">TEXT(M267,"DDDD")</f>
        <v>martes</v>
      </c>
      <c r="P267" s="35" t="n">
        <f aca="false">MONTH(M267)</f>
        <v>9</v>
      </c>
      <c r="Q267" s="26" t="str">
        <f aca="false">TEXT(M267,"MMMM")</f>
        <v>septiembre</v>
      </c>
    </row>
    <row r="268" customFormat="false" ht="14.25" hidden="false" customHeight="false" outlineLevel="0" collapsed="false">
      <c r="A268" s="1" t="n">
        <v>2</v>
      </c>
      <c r="B268" s="1" t="s">
        <v>485</v>
      </c>
      <c r="C268" s="1" t="s">
        <v>20</v>
      </c>
      <c r="D268" s="1" t="s">
        <v>486</v>
      </c>
      <c r="E268" s="2" t="n">
        <v>436324765</v>
      </c>
      <c r="H268" s="3" t="n">
        <v>1600</v>
      </c>
      <c r="I268" s="26" t="n">
        <v>1600</v>
      </c>
      <c r="M268" s="5" t="n">
        <v>45902</v>
      </c>
      <c r="N268" s="33" t="n">
        <f aca="false">DAY(M268)</f>
        <v>2</v>
      </c>
      <c r="O268" s="33" t="str">
        <f aca="false">TEXT(M268,"DDDD")</f>
        <v>martes</v>
      </c>
      <c r="P268" s="35" t="n">
        <f aca="false">MONTH(M268)</f>
        <v>9</v>
      </c>
      <c r="Q268" s="26" t="str">
        <f aca="false">TEXT(M268,"MMMM")</f>
        <v>septiembre</v>
      </c>
    </row>
    <row r="269" customFormat="false" ht="14.25" hidden="false" customHeight="false" outlineLevel="0" collapsed="false">
      <c r="A269" s="1" t="n">
        <v>2</v>
      </c>
      <c r="B269" s="1" t="s">
        <v>487</v>
      </c>
      <c r="C269" s="1" t="s">
        <v>20</v>
      </c>
      <c r="D269" s="1" t="s">
        <v>488</v>
      </c>
      <c r="E269" s="2" t="n">
        <v>436324640</v>
      </c>
      <c r="F269" s="21" t="s">
        <v>488</v>
      </c>
      <c r="G269" s="1" t="n">
        <v>436324658</v>
      </c>
      <c r="H269" s="3" t="n">
        <v>3618</v>
      </c>
      <c r="I269" s="26" t="n">
        <v>1800</v>
      </c>
      <c r="K269" s="26" t="n">
        <v>1818</v>
      </c>
      <c r="L269" s="36"/>
      <c r="M269" s="5" t="n">
        <v>45902</v>
      </c>
      <c r="N269" s="33" t="n">
        <f aca="false">DAY(M269)</f>
        <v>2</v>
      </c>
      <c r="O269" s="33" t="str">
        <f aca="false">TEXT(M269,"DDDD")</f>
        <v>martes</v>
      </c>
      <c r="P269" s="35" t="n">
        <f aca="false">MONTH(M269)</f>
        <v>9</v>
      </c>
      <c r="Q269" s="26" t="str">
        <f aca="false">TEXT(M269,"MMMM")</f>
        <v>septiembre</v>
      </c>
    </row>
    <row r="270" customFormat="false" ht="14.25" hidden="false" customHeight="false" outlineLevel="0" collapsed="false">
      <c r="A270" s="1" t="n">
        <v>1</v>
      </c>
      <c r="B270" s="1" t="s">
        <v>489</v>
      </c>
      <c r="C270" s="1" t="s">
        <v>20</v>
      </c>
      <c r="D270" s="1" t="s">
        <v>150</v>
      </c>
      <c r="E270" s="2" t="n">
        <v>436324116</v>
      </c>
      <c r="H270" s="3" t="n">
        <v>2340</v>
      </c>
      <c r="I270" s="26" t="n">
        <v>1200</v>
      </c>
      <c r="K270" s="1" t="n">
        <v>1140</v>
      </c>
      <c r="M270" s="5" t="n">
        <v>45902</v>
      </c>
      <c r="N270" s="33" t="n">
        <f aca="false">DAY(M270)</f>
        <v>2</v>
      </c>
      <c r="O270" s="33" t="str">
        <f aca="false">TEXT(M270,"DDDD")</f>
        <v>martes</v>
      </c>
      <c r="P270" s="35" t="n">
        <f aca="false">MONTH(M270)</f>
        <v>9</v>
      </c>
      <c r="Q270" s="26" t="str">
        <f aca="false">TEXT(M270,"MMMM")</f>
        <v>septiembre</v>
      </c>
    </row>
    <row r="271" customFormat="false" ht="14.25" hidden="false" customHeight="false" outlineLevel="0" collapsed="false">
      <c r="A271" s="1" t="n">
        <v>1</v>
      </c>
      <c r="B271" s="1" t="s">
        <v>490</v>
      </c>
      <c r="C271" s="1" t="s">
        <v>20</v>
      </c>
      <c r="D271" s="1" t="s">
        <v>491</v>
      </c>
      <c r="E271" s="2" t="n">
        <v>436323524</v>
      </c>
      <c r="H271" s="3" t="n">
        <v>2100</v>
      </c>
      <c r="I271" s="26" t="n">
        <v>1200</v>
      </c>
      <c r="K271" s="1" t="n">
        <v>1140</v>
      </c>
      <c r="M271" s="5" t="n">
        <v>45902</v>
      </c>
      <c r="N271" s="33" t="n">
        <f aca="false">DAY(M271)</f>
        <v>2</v>
      </c>
      <c r="O271" s="33" t="str">
        <f aca="false">TEXT(M271,"DDDD")</f>
        <v>martes</v>
      </c>
      <c r="P271" s="35" t="n">
        <f aca="false">MONTH(M271)</f>
        <v>9</v>
      </c>
      <c r="Q271" s="26" t="str">
        <f aca="false">TEXT(M271,"MMMM")</f>
        <v>septiembre</v>
      </c>
    </row>
    <row r="272" customFormat="false" ht="14.25" hidden="false" customHeight="false" outlineLevel="0" collapsed="false">
      <c r="A272" s="1" t="n">
        <v>1</v>
      </c>
      <c r="B272" s="38" t="s">
        <v>492</v>
      </c>
      <c r="C272" s="21" t="s">
        <v>20</v>
      </c>
      <c r="D272" s="21" t="s">
        <v>493</v>
      </c>
      <c r="E272" s="2" t="n">
        <v>436320351</v>
      </c>
      <c r="H272" s="3" t="n">
        <v>2760</v>
      </c>
      <c r="I272" s="26" t="n">
        <v>1200</v>
      </c>
      <c r="K272" s="1" t="n">
        <v>1560</v>
      </c>
      <c r="M272" s="5" t="n">
        <v>45902</v>
      </c>
      <c r="N272" s="33" t="n">
        <f aca="false">DAY(M272)</f>
        <v>2</v>
      </c>
      <c r="O272" s="33" t="str">
        <f aca="false">TEXT(M272,"DDDD")</f>
        <v>martes</v>
      </c>
      <c r="P272" s="35" t="n">
        <f aca="false">MONTH(M272)</f>
        <v>9</v>
      </c>
      <c r="Q272" s="26" t="str">
        <f aca="false">TEXT(M272,"MMMM")</f>
        <v>septiembre</v>
      </c>
    </row>
    <row r="273" customFormat="false" ht="14.25" hidden="false" customHeight="false" outlineLevel="0" collapsed="false">
      <c r="A273" s="1" t="n">
        <v>7</v>
      </c>
      <c r="B273" s="1" t="s">
        <v>494</v>
      </c>
      <c r="C273" s="1" t="s">
        <v>20</v>
      </c>
      <c r="D273" s="1" t="s">
        <v>495</v>
      </c>
      <c r="E273" s="2" t="n">
        <v>436441870</v>
      </c>
      <c r="H273" s="3" t="n">
        <v>1620</v>
      </c>
      <c r="I273" s="26" t="n">
        <v>1200</v>
      </c>
      <c r="K273" s="26" t="n">
        <v>420</v>
      </c>
      <c r="L273" s="36"/>
      <c r="M273" s="5" t="n">
        <v>45903</v>
      </c>
      <c r="N273" s="33" t="n">
        <f aca="false">DAY(M273)</f>
        <v>3</v>
      </c>
      <c r="O273" s="33" t="str">
        <f aca="false">TEXT(M273,"DDDD")</f>
        <v>miércoles</v>
      </c>
      <c r="P273" s="35" t="n">
        <f aca="false">MONTH(M273)</f>
        <v>9</v>
      </c>
      <c r="Q273" s="26" t="str">
        <f aca="false">TEXT(M273,"MMMM")</f>
        <v>septiembre</v>
      </c>
    </row>
    <row r="274" customFormat="false" ht="14.25" hidden="false" customHeight="false" outlineLevel="0" collapsed="false">
      <c r="A274" s="1" t="n">
        <v>7</v>
      </c>
      <c r="B274" s="39" t="s">
        <v>496</v>
      </c>
      <c r="C274" s="21" t="s">
        <v>38</v>
      </c>
      <c r="D274" s="21" t="s">
        <v>497</v>
      </c>
      <c r="E274" s="2" t="n">
        <v>436438101</v>
      </c>
      <c r="H274" s="3" t="n">
        <v>2940</v>
      </c>
      <c r="I274" s="26" t="n">
        <v>2300</v>
      </c>
      <c r="K274" s="26" t="n">
        <v>640</v>
      </c>
      <c r="L274" s="36"/>
      <c r="M274" s="5" t="n">
        <v>45903</v>
      </c>
      <c r="N274" s="33" t="n">
        <f aca="false">DAY(M274)</f>
        <v>3</v>
      </c>
      <c r="O274" s="33" t="str">
        <f aca="false">TEXT(M274,"DDDD")</f>
        <v>miércoles</v>
      </c>
      <c r="P274" s="35" t="n">
        <f aca="false">MONTH(M274)</f>
        <v>9</v>
      </c>
      <c r="Q274" s="26" t="str">
        <f aca="false">TEXT(M274,"MMMM")</f>
        <v>septiembre</v>
      </c>
    </row>
    <row r="275" customFormat="false" ht="14.25" hidden="false" customHeight="false" outlineLevel="0" collapsed="false">
      <c r="A275" s="1" t="n">
        <v>7</v>
      </c>
      <c r="B275" s="40" t="n">
        <v>0.516666666666667</v>
      </c>
      <c r="C275" s="21" t="s">
        <v>20</v>
      </c>
      <c r="D275" s="21" t="s">
        <v>498</v>
      </c>
      <c r="E275" s="2" t="n">
        <v>436433381</v>
      </c>
      <c r="H275" s="3" t="n">
        <v>1200</v>
      </c>
      <c r="I275" s="26" t="n">
        <v>1200</v>
      </c>
      <c r="M275" s="5" t="n">
        <v>45903</v>
      </c>
      <c r="N275" s="33" t="n">
        <f aca="false">DAY(M275)</f>
        <v>3</v>
      </c>
      <c r="O275" s="33" t="str">
        <f aca="false">TEXT(M275,"DDDD")</f>
        <v>miércoles</v>
      </c>
      <c r="P275" s="35" t="n">
        <f aca="false">MONTH(M275)</f>
        <v>9</v>
      </c>
      <c r="Q275" s="26" t="str">
        <f aca="false">TEXT(M275,"MMMM")</f>
        <v>septiembre</v>
      </c>
    </row>
    <row r="276" customFormat="false" ht="14.25" hidden="false" customHeight="false" outlineLevel="0" collapsed="false">
      <c r="A276" s="1" t="n">
        <v>6</v>
      </c>
      <c r="B276" s="1" t="s">
        <v>499</v>
      </c>
      <c r="C276" s="1" t="s">
        <v>20</v>
      </c>
      <c r="D276" s="1" t="s">
        <v>500</v>
      </c>
      <c r="E276" s="2" t="n">
        <v>436431444</v>
      </c>
      <c r="H276" s="3" t="n">
        <v>1600</v>
      </c>
      <c r="I276" s="26" t="n">
        <v>1200</v>
      </c>
      <c r="K276" s="26" t="n">
        <v>400</v>
      </c>
      <c r="L276" s="36"/>
      <c r="M276" s="5" t="n">
        <v>45903</v>
      </c>
      <c r="N276" s="33" t="n">
        <f aca="false">DAY(M276)</f>
        <v>3</v>
      </c>
      <c r="O276" s="33" t="str">
        <f aca="false">TEXT(M276,"DDDD")</f>
        <v>miércoles</v>
      </c>
      <c r="P276" s="35" t="n">
        <f aca="false">MONTH(M276)</f>
        <v>9</v>
      </c>
      <c r="Q276" s="26" t="str">
        <f aca="false">TEXT(M276,"MMMM")</f>
        <v>septiembre</v>
      </c>
    </row>
    <row r="277" customFormat="false" ht="14.25" hidden="false" customHeight="false" outlineLevel="0" collapsed="false">
      <c r="A277" s="1" t="n">
        <v>6</v>
      </c>
      <c r="B277" s="1" t="s">
        <v>501</v>
      </c>
      <c r="C277" s="1" t="s">
        <v>140</v>
      </c>
      <c r="D277" s="1" t="s">
        <v>49</v>
      </c>
      <c r="E277" s="2" t="n">
        <v>436430411</v>
      </c>
      <c r="H277" s="3" t="n">
        <v>1445</v>
      </c>
      <c r="I277" s="26" t="n">
        <v>1200</v>
      </c>
      <c r="K277" s="26" t="n">
        <v>245</v>
      </c>
      <c r="L277" s="36"/>
      <c r="M277" s="5" t="n">
        <v>45903</v>
      </c>
      <c r="N277" s="33" t="n">
        <f aca="false">DAY(M277)</f>
        <v>3</v>
      </c>
      <c r="O277" s="33" t="str">
        <f aca="false">TEXT(M277,"DDDD")</f>
        <v>miércoles</v>
      </c>
      <c r="P277" s="35" t="n">
        <f aca="false">MONTH(M277)</f>
        <v>9</v>
      </c>
      <c r="Q277" s="26" t="str">
        <f aca="false">TEXT(M277,"MMMM")</f>
        <v>septiembre</v>
      </c>
    </row>
    <row r="278" customFormat="false" ht="14.25" hidden="false" customHeight="false" outlineLevel="0" collapsed="false">
      <c r="A278" s="1" t="n">
        <v>5</v>
      </c>
      <c r="B278" s="1" t="s">
        <v>502</v>
      </c>
      <c r="C278" s="1" t="s">
        <v>38</v>
      </c>
      <c r="D278" s="1" t="s">
        <v>503</v>
      </c>
      <c r="E278" s="2" t="n">
        <v>436425071</v>
      </c>
      <c r="H278" s="3" t="n">
        <v>2980</v>
      </c>
      <c r="I278" s="26" t="n">
        <v>1800</v>
      </c>
      <c r="K278" s="26" t="n">
        <v>1180</v>
      </c>
      <c r="L278" s="36"/>
      <c r="M278" s="5" t="n">
        <v>45903</v>
      </c>
      <c r="N278" s="33" t="n">
        <f aca="false">DAY(M278)</f>
        <v>3</v>
      </c>
      <c r="O278" s="33" t="str">
        <f aca="false">TEXT(M278,"DDDD")</f>
        <v>miércoles</v>
      </c>
      <c r="P278" s="35" t="n">
        <f aca="false">MONTH(M278)</f>
        <v>9</v>
      </c>
      <c r="Q278" s="26" t="str">
        <f aca="false">TEXT(M278,"MMMM")</f>
        <v>septiembre</v>
      </c>
    </row>
    <row r="279" customFormat="false" ht="14.25" hidden="false" customHeight="false" outlineLevel="0" collapsed="false">
      <c r="A279" s="1" t="n">
        <v>5</v>
      </c>
      <c r="B279" s="1" t="s">
        <v>504</v>
      </c>
      <c r="C279" s="1" t="s">
        <v>20</v>
      </c>
      <c r="D279" s="1" t="s">
        <v>505</v>
      </c>
      <c r="E279" s="2" t="n">
        <v>436424524</v>
      </c>
      <c r="H279" s="3" t="n">
        <v>1200</v>
      </c>
      <c r="I279" s="26" t="n">
        <v>1200</v>
      </c>
      <c r="M279" s="5" t="n">
        <v>45903</v>
      </c>
      <c r="N279" s="33" t="n">
        <f aca="false">DAY(M279)</f>
        <v>3</v>
      </c>
      <c r="O279" s="33" t="str">
        <f aca="false">TEXT(M279,"DDDD")</f>
        <v>miércoles</v>
      </c>
      <c r="P279" s="35" t="n">
        <f aca="false">MONTH(M279)</f>
        <v>9</v>
      </c>
      <c r="Q279" s="26" t="str">
        <f aca="false">TEXT(M279,"MMMM")</f>
        <v>septiembre</v>
      </c>
    </row>
    <row r="280" customFormat="false" ht="14.25" hidden="false" customHeight="false" outlineLevel="0" collapsed="false">
      <c r="A280" s="1" t="n">
        <v>5</v>
      </c>
      <c r="B280" s="1" t="s">
        <v>506</v>
      </c>
      <c r="C280" s="1" t="s">
        <v>38</v>
      </c>
      <c r="D280" s="1" t="s">
        <v>507</v>
      </c>
      <c r="E280" s="2" t="n">
        <v>436423944</v>
      </c>
      <c r="H280" s="3" t="n">
        <v>1551</v>
      </c>
      <c r="I280" s="26" t="n">
        <v>1550</v>
      </c>
      <c r="K280" s="26" t="n">
        <v>1</v>
      </c>
      <c r="L280" s="36"/>
      <c r="M280" s="5" t="n">
        <v>45903</v>
      </c>
      <c r="N280" s="33" t="n">
        <f aca="false">DAY(M280)</f>
        <v>3</v>
      </c>
      <c r="O280" s="33" t="str">
        <f aca="false">TEXT(M280,"DDDD")</f>
        <v>miércoles</v>
      </c>
      <c r="P280" s="35" t="n">
        <f aca="false">MONTH(M280)</f>
        <v>9</v>
      </c>
      <c r="Q280" s="26" t="str">
        <f aca="false">TEXT(M280,"MMMM")</f>
        <v>septiembre</v>
      </c>
    </row>
    <row r="281" customFormat="false" ht="14.25" hidden="false" customHeight="false" outlineLevel="0" collapsed="false">
      <c r="A281" s="1" t="n">
        <v>12</v>
      </c>
      <c r="B281" s="41" t="s">
        <v>311</v>
      </c>
      <c r="C281" s="21" t="s">
        <v>20</v>
      </c>
      <c r="D281" s="21" t="s">
        <v>508</v>
      </c>
      <c r="E281" s="2" t="n">
        <v>436623953</v>
      </c>
      <c r="H281" s="3" t="n">
        <v>1200</v>
      </c>
      <c r="I281" s="26"/>
      <c r="J281" s="26"/>
      <c r="K281" s="26"/>
      <c r="L281" s="36"/>
      <c r="M281" s="42" t="n">
        <v>45904</v>
      </c>
      <c r="N281" s="33" t="n">
        <f aca="false">DAY(M281)</f>
        <v>4</v>
      </c>
      <c r="O281" s="33" t="str">
        <f aca="false">TEXT(M281,"DDDD")</f>
        <v>jueves</v>
      </c>
      <c r="P281" s="35" t="n">
        <f aca="false">MONTH(M281)</f>
        <v>9</v>
      </c>
      <c r="Q281" s="26" t="str">
        <f aca="false">TEXT(M281,"MMMM")</f>
        <v>septiembre</v>
      </c>
    </row>
    <row r="282" customFormat="false" ht="14.25" hidden="false" customHeight="false" outlineLevel="0" collapsed="false">
      <c r="A282" s="1" t="n">
        <v>12</v>
      </c>
      <c r="B282" s="1" t="s">
        <v>313</v>
      </c>
      <c r="C282" s="1" t="s">
        <v>20</v>
      </c>
      <c r="D282" s="1" t="s">
        <v>509</v>
      </c>
      <c r="E282" s="2" t="n">
        <v>436618315</v>
      </c>
      <c r="F282" s="21" t="s">
        <v>510</v>
      </c>
      <c r="G282" s="1" t="n">
        <v>436618571</v>
      </c>
      <c r="H282" s="3" t="n">
        <v>3020</v>
      </c>
      <c r="I282" s="26" t="n">
        <v>2100</v>
      </c>
      <c r="J282" s="26"/>
      <c r="K282" s="26" t="n">
        <v>920</v>
      </c>
      <c r="L282" s="36"/>
      <c r="M282" s="42" t="n">
        <v>45904</v>
      </c>
      <c r="N282" s="33" t="n">
        <f aca="false">DAY(M282)</f>
        <v>4</v>
      </c>
      <c r="O282" s="33" t="str">
        <f aca="false">TEXT(M282,"DDDD")</f>
        <v>jueves</v>
      </c>
      <c r="P282" s="35" t="n">
        <f aca="false">MONTH(M282)</f>
        <v>9</v>
      </c>
      <c r="Q282" s="26" t="str">
        <f aca="false">TEXT(M282,"MMMM")</f>
        <v>septiembre</v>
      </c>
    </row>
    <row r="283" customFormat="false" ht="14.25" hidden="false" customHeight="false" outlineLevel="0" collapsed="false">
      <c r="A283" s="1" t="n">
        <v>12</v>
      </c>
      <c r="B283" s="1" t="s">
        <v>309</v>
      </c>
      <c r="C283" s="1" t="s">
        <v>20</v>
      </c>
      <c r="D283" s="1" t="s">
        <v>511</v>
      </c>
      <c r="E283" s="2" t="n">
        <v>436609562</v>
      </c>
      <c r="H283" s="3" t="n">
        <v>2490</v>
      </c>
      <c r="I283" s="26" t="n">
        <v>1950</v>
      </c>
      <c r="J283" s="26"/>
      <c r="K283" s="26" t="n">
        <v>540</v>
      </c>
      <c r="L283" s="36"/>
      <c r="M283" s="42" t="n">
        <v>45904</v>
      </c>
      <c r="N283" s="33" t="n">
        <f aca="false">DAY(M283)</f>
        <v>4</v>
      </c>
      <c r="O283" s="33" t="str">
        <f aca="false">TEXT(M283,"DDDD")</f>
        <v>jueves</v>
      </c>
      <c r="P283" s="35" t="n">
        <f aca="false">MONTH(M283)</f>
        <v>9</v>
      </c>
      <c r="Q283" s="26" t="str">
        <f aca="false">TEXT(M283,"MMMM")</f>
        <v>septiembre</v>
      </c>
    </row>
    <row r="284" customFormat="false" ht="14.25" hidden="false" customHeight="false" outlineLevel="0" collapsed="false">
      <c r="A284" s="1" t="n">
        <v>11</v>
      </c>
      <c r="B284" s="1" t="s">
        <v>321</v>
      </c>
      <c r="C284" s="1" t="s">
        <v>38</v>
      </c>
      <c r="D284" s="1" t="s">
        <v>512</v>
      </c>
      <c r="E284" s="2" t="n">
        <v>436572566</v>
      </c>
      <c r="H284" s="3" t="n">
        <v>1500</v>
      </c>
      <c r="I284" s="26" t="n">
        <v>1500</v>
      </c>
      <c r="J284" s="26"/>
      <c r="K284" s="26"/>
      <c r="L284" s="36"/>
      <c r="M284" s="42" t="n">
        <v>45904</v>
      </c>
      <c r="N284" s="33" t="n">
        <f aca="false">DAY(M284)</f>
        <v>4</v>
      </c>
      <c r="O284" s="33" t="str">
        <f aca="false">TEXT(M284,"DDDD")</f>
        <v>jueves</v>
      </c>
      <c r="P284" s="35" t="n">
        <f aca="false">MONTH(M284)</f>
        <v>9</v>
      </c>
      <c r="Q284" s="26" t="str">
        <f aca="false">TEXT(M284,"MMMM")</f>
        <v>septiembre</v>
      </c>
    </row>
    <row r="285" customFormat="false" ht="14.25" hidden="false" customHeight="false" outlineLevel="0" collapsed="false">
      <c r="A285" s="1" t="n">
        <v>11</v>
      </c>
      <c r="B285" s="1" t="s">
        <v>315</v>
      </c>
      <c r="C285" s="1" t="s">
        <v>38</v>
      </c>
      <c r="D285" s="1" t="s">
        <v>47</v>
      </c>
      <c r="E285" s="2" t="n">
        <v>436602376</v>
      </c>
      <c r="F285" s="21" t="s">
        <v>47</v>
      </c>
      <c r="G285" s="1" t="n">
        <v>436602126</v>
      </c>
      <c r="H285" s="3" t="n">
        <v>2300</v>
      </c>
      <c r="I285" s="26" t="n">
        <v>1800</v>
      </c>
      <c r="J285" s="26"/>
      <c r="K285" s="26" t="n">
        <v>500</v>
      </c>
      <c r="L285" s="36"/>
      <c r="M285" s="42" t="n">
        <v>45904</v>
      </c>
      <c r="N285" s="33" t="n">
        <f aca="false">DAY(M285)</f>
        <v>4</v>
      </c>
      <c r="O285" s="33" t="str">
        <f aca="false">TEXT(M285,"DDDD")</f>
        <v>jueves</v>
      </c>
      <c r="P285" s="35" t="n">
        <f aca="false">MONTH(M285)</f>
        <v>9</v>
      </c>
      <c r="Q285" s="26" t="str">
        <f aca="false">TEXT(M285,"MMMM")</f>
        <v>septiembre</v>
      </c>
    </row>
    <row r="286" customFormat="false" ht="14.25" hidden="false" customHeight="false" outlineLevel="0" collapsed="false">
      <c r="A286" s="1" t="n">
        <v>11</v>
      </c>
      <c r="B286" s="1" t="s">
        <v>317</v>
      </c>
      <c r="C286" s="1" t="s">
        <v>20</v>
      </c>
      <c r="D286" s="1" t="s">
        <v>513</v>
      </c>
      <c r="E286" s="2" t="n">
        <v>436591735</v>
      </c>
      <c r="H286" s="3" t="n">
        <v>1200</v>
      </c>
      <c r="I286" s="26" t="n">
        <v>1200</v>
      </c>
      <c r="J286" s="26"/>
      <c r="K286" s="26"/>
      <c r="L286" s="36"/>
      <c r="M286" s="42" t="n">
        <v>45904</v>
      </c>
      <c r="N286" s="33" t="n">
        <f aca="false">DAY(M286)</f>
        <v>4</v>
      </c>
      <c r="O286" s="33" t="str">
        <f aca="false">TEXT(M286,"DDDD")</f>
        <v>jueves</v>
      </c>
      <c r="P286" s="35" t="n">
        <f aca="false">MONTH(M286)</f>
        <v>9</v>
      </c>
      <c r="Q286" s="26" t="str">
        <f aca="false">TEXT(M286,"MMMM")</f>
        <v>septiembre</v>
      </c>
    </row>
    <row r="287" customFormat="false" ht="14.25" hidden="false" customHeight="false" outlineLevel="0" collapsed="false">
      <c r="A287" s="1" t="n">
        <v>11</v>
      </c>
      <c r="B287" s="1" t="s">
        <v>319</v>
      </c>
      <c r="C287" s="1" t="s">
        <v>20</v>
      </c>
      <c r="D287" s="1" t="s">
        <v>47</v>
      </c>
      <c r="E287" s="2" t="n">
        <v>436588696</v>
      </c>
      <c r="H287" s="3" t="n">
        <v>1550</v>
      </c>
      <c r="I287" s="26" t="n">
        <v>1550</v>
      </c>
      <c r="J287" s="26"/>
      <c r="K287" s="26"/>
      <c r="L287" s="36"/>
      <c r="M287" s="42" t="n">
        <v>45904</v>
      </c>
      <c r="N287" s="33" t="n">
        <f aca="false">DAY(M287)</f>
        <v>4</v>
      </c>
      <c r="O287" s="33" t="str">
        <f aca="false">TEXT(M287,"DDDD")</f>
        <v>jueves</v>
      </c>
      <c r="P287" s="35" t="n">
        <f aca="false">MONTH(M287)</f>
        <v>9</v>
      </c>
      <c r="Q287" s="26" t="str">
        <f aca="false">TEXT(M287,"MMMM")</f>
        <v>septiembre</v>
      </c>
    </row>
    <row r="288" customFormat="false" ht="14.25" hidden="false" customHeight="false" outlineLevel="0" collapsed="false">
      <c r="A288" s="1" t="n">
        <v>10</v>
      </c>
      <c r="B288" s="1" t="s">
        <v>323</v>
      </c>
      <c r="C288" s="1" t="s">
        <v>20</v>
      </c>
      <c r="D288" s="1" t="s">
        <v>514</v>
      </c>
      <c r="E288" s="2" t="n">
        <v>436623953</v>
      </c>
      <c r="H288" s="3" t="n">
        <v>1200</v>
      </c>
      <c r="I288" s="26" t="n">
        <v>1200</v>
      </c>
      <c r="J288" s="26"/>
      <c r="K288" s="26"/>
      <c r="L288" s="36"/>
      <c r="M288" s="42" t="n">
        <v>45904</v>
      </c>
      <c r="N288" s="33" t="n">
        <f aca="false">DAY(M288)</f>
        <v>4</v>
      </c>
      <c r="O288" s="33" t="str">
        <f aca="false">TEXT(M288,"DDDD")</f>
        <v>jueves</v>
      </c>
      <c r="P288" s="35" t="n">
        <f aca="false">MONTH(M288)</f>
        <v>9</v>
      </c>
      <c r="Q288" s="26" t="str">
        <f aca="false">TEXT(M288,"MMMM")</f>
        <v>septiembre</v>
      </c>
      <c r="R288" s="21" t="s">
        <v>83</v>
      </c>
      <c r="S288" s="1" t="n">
        <v>19800</v>
      </c>
    </row>
    <row r="289" customFormat="false" ht="14.25" hidden="false" customHeight="false" outlineLevel="0" collapsed="false">
      <c r="A289" s="1" t="n">
        <v>10</v>
      </c>
      <c r="B289" s="1" t="s">
        <v>322</v>
      </c>
      <c r="C289" s="1" t="s">
        <v>38</v>
      </c>
      <c r="D289" s="1" t="s">
        <v>515</v>
      </c>
      <c r="E289" s="2" t="n">
        <v>436576766</v>
      </c>
      <c r="H289" s="3" t="n">
        <v>2050</v>
      </c>
      <c r="I289" s="26" t="n">
        <v>1550</v>
      </c>
      <c r="J289" s="26"/>
      <c r="K289" s="26" t="n">
        <v>500</v>
      </c>
      <c r="L289" s="36"/>
      <c r="M289" s="42" t="n">
        <v>45904</v>
      </c>
      <c r="N289" s="33" t="n">
        <f aca="false">DAY(M289)</f>
        <v>4</v>
      </c>
      <c r="O289" s="33" t="str">
        <f aca="false">TEXT(M289,"DDDD")</f>
        <v>jueves</v>
      </c>
      <c r="P289" s="35" t="n">
        <f aca="false">MONTH(M289)</f>
        <v>9</v>
      </c>
      <c r="Q289" s="26" t="str">
        <f aca="false">TEXT(M289,"MMMM")</f>
        <v>septiembre</v>
      </c>
    </row>
    <row r="290" customFormat="false" ht="14.25" hidden="false" customHeight="false" outlineLevel="0" collapsed="false">
      <c r="A290" s="1" t="n">
        <v>12</v>
      </c>
      <c r="B290" s="1" t="s">
        <v>516</v>
      </c>
      <c r="C290" s="1" t="s">
        <v>20</v>
      </c>
      <c r="D290" s="1" t="s">
        <v>57</v>
      </c>
      <c r="E290" s="2" t="n">
        <v>436741007</v>
      </c>
      <c r="H290" s="3" t="n">
        <v>1510</v>
      </c>
      <c r="I290" s="26" t="n">
        <v>1200</v>
      </c>
      <c r="K290" s="1" t="n">
        <v>310</v>
      </c>
      <c r="M290" s="5" t="n">
        <v>45905</v>
      </c>
      <c r="N290" s="33" t="n">
        <f aca="false">DAY(M290)</f>
        <v>5</v>
      </c>
      <c r="O290" s="33" t="str">
        <f aca="false">TEXT(M290,"DDDD")</f>
        <v>viernes</v>
      </c>
      <c r="P290" s="6" t="n">
        <f aca="false">MONTH(M290)</f>
        <v>9</v>
      </c>
      <c r="Q290" s="26" t="str">
        <f aca="false">TEXT(M290,"MMMM")</f>
        <v>septiembre</v>
      </c>
    </row>
    <row r="291" customFormat="false" ht="14.25" hidden="false" customHeight="false" outlineLevel="0" collapsed="false">
      <c r="A291" s="1" t="n">
        <v>12</v>
      </c>
      <c r="B291" s="1" t="s">
        <v>517</v>
      </c>
      <c r="C291" s="1" t="s">
        <v>38</v>
      </c>
      <c r="D291" s="1" t="s">
        <v>518</v>
      </c>
      <c r="E291" s="2" t="n">
        <v>436737321</v>
      </c>
      <c r="H291" s="3" t="n">
        <v>1650</v>
      </c>
      <c r="I291" s="26" t="n">
        <v>1650</v>
      </c>
      <c r="M291" s="5" t="n">
        <v>45905</v>
      </c>
      <c r="N291" s="33" t="n">
        <f aca="false">DAY(M291)</f>
        <v>5</v>
      </c>
      <c r="O291" s="33" t="str">
        <f aca="false">TEXT(M291,"DDDD")</f>
        <v>viernes</v>
      </c>
      <c r="P291" s="6" t="n">
        <f aca="false">MONTH(M291)</f>
        <v>9</v>
      </c>
      <c r="Q291" s="26" t="str">
        <f aca="false">TEXT(M291,"MMMM")</f>
        <v>septiembre</v>
      </c>
    </row>
    <row r="292" customFormat="false" ht="14.25" hidden="false" customHeight="false" outlineLevel="0" collapsed="false">
      <c r="A292" s="1" t="n">
        <v>12</v>
      </c>
      <c r="B292" s="1" t="s">
        <v>519</v>
      </c>
      <c r="C292" s="1" t="s">
        <v>20</v>
      </c>
      <c r="D292" s="1" t="s">
        <v>520</v>
      </c>
      <c r="E292" s="2" t="n">
        <v>436730661</v>
      </c>
      <c r="H292" s="3" t="n">
        <v>1950</v>
      </c>
      <c r="I292" s="26" t="n">
        <v>1200</v>
      </c>
      <c r="K292" s="1" t="n">
        <v>750</v>
      </c>
      <c r="M292" s="5" t="n">
        <v>45905</v>
      </c>
      <c r="N292" s="33" t="n">
        <f aca="false">DAY(M292)</f>
        <v>5</v>
      </c>
      <c r="O292" s="33" t="str">
        <f aca="false">TEXT(M292,"DDDD")</f>
        <v>viernes</v>
      </c>
      <c r="P292" s="6" t="n">
        <f aca="false">MONTH(M292)</f>
        <v>9</v>
      </c>
      <c r="Q292" s="26" t="str">
        <f aca="false">TEXT(M292,"MMMM")</f>
        <v>septiembre</v>
      </c>
    </row>
    <row r="293" customFormat="false" ht="14.25" hidden="false" customHeight="false" outlineLevel="0" collapsed="false">
      <c r="A293" s="1" t="n">
        <v>10</v>
      </c>
      <c r="B293" s="1" t="s">
        <v>521</v>
      </c>
      <c r="C293" s="1" t="s">
        <v>20</v>
      </c>
      <c r="D293" s="1" t="s">
        <v>522</v>
      </c>
      <c r="E293" s="2" t="n">
        <v>436706387</v>
      </c>
      <c r="F293" s="21" t="s">
        <v>523</v>
      </c>
      <c r="H293" s="3" t="n">
        <v>7440</v>
      </c>
      <c r="I293" s="26" t="n">
        <v>3400</v>
      </c>
      <c r="K293" s="1" t="n">
        <v>4040</v>
      </c>
      <c r="M293" s="5" t="n">
        <v>45905</v>
      </c>
      <c r="N293" s="33" t="n">
        <f aca="false">DAY(M293)</f>
        <v>5</v>
      </c>
      <c r="O293" s="33" t="str">
        <f aca="false">TEXT(M293,"DDDD")</f>
        <v>viernes</v>
      </c>
      <c r="P293" s="6" t="n">
        <f aca="false">MONTH(M293)</f>
        <v>9</v>
      </c>
      <c r="Q293" s="26" t="str">
        <f aca="false">TEXT(M293,"MMMM")</f>
        <v>septiembre</v>
      </c>
    </row>
    <row r="294" customFormat="false" ht="14.25" hidden="false" customHeight="false" outlineLevel="0" collapsed="false">
      <c r="A294" s="1" t="n">
        <v>10</v>
      </c>
      <c r="B294" s="1" t="s">
        <v>524</v>
      </c>
      <c r="C294" s="1" t="s">
        <v>20</v>
      </c>
      <c r="D294" s="1" t="s">
        <v>525</v>
      </c>
      <c r="E294" s="2" t="n">
        <v>436695629</v>
      </c>
      <c r="F294" s="21" t="s">
        <v>526</v>
      </c>
      <c r="G294" s="1" t="n">
        <v>436695527</v>
      </c>
      <c r="H294" s="3" t="n">
        <v>5100</v>
      </c>
      <c r="I294" s="26" t="n">
        <v>2100</v>
      </c>
      <c r="K294" s="1" t="n">
        <v>3000</v>
      </c>
      <c r="M294" s="5" t="n">
        <v>45905</v>
      </c>
      <c r="N294" s="33" t="n">
        <f aca="false">DAY(M294)</f>
        <v>5</v>
      </c>
      <c r="O294" s="33" t="str">
        <f aca="false">TEXT(M294,"DDDD")</f>
        <v>viernes</v>
      </c>
      <c r="P294" s="6" t="n">
        <f aca="false">MONTH(M294)</f>
        <v>9</v>
      </c>
      <c r="Q294" s="26" t="str">
        <f aca="false">TEXT(M294,"MMMM")</f>
        <v>septiembre</v>
      </c>
    </row>
    <row r="295" customFormat="false" ht="14.25" hidden="false" customHeight="false" outlineLevel="0" collapsed="false">
      <c r="A295" s="1" t="n">
        <v>9</v>
      </c>
      <c r="B295" s="1" t="s">
        <v>527</v>
      </c>
      <c r="C295" s="1" t="s">
        <v>38</v>
      </c>
      <c r="D295" s="1" t="s">
        <v>500</v>
      </c>
      <c r="E295" s="2" t="n">
        <v>436683774</v>
      </c>
      <c r="H295" s="3" t="n">
        <v>3520</v>
      </c>
      <c r="I295" s="26" t="n">
        <v>2600</v>
      </c>
      <c r="K295" s="1" t="n">
        <v>920</v>
      </c>
      <c r="M295" s="5" t="n">
        <v>45905</v>
      </c>
      <c r="N295" s="33" t="n">
        <f aca="false">DAY(M295)</f>
        <v>5</v>
      </c>
      <c r="O295" s="33" t="str">
        <f aca="false">TEXT(M295,"DDDD")</f>
        <v>viernes</v>
      </c>
      <c r="P295" s="6" t="n">
        <f aca="false">MONTH(M295)</f>
        <v>9</v>
      </c>
      <c r="Q295" s="26" t="str">
        <f aca="false">TEXT(M295,"MMMM")</f>
        <v>septiembre</v>
      </c>
    </row>
    <row r="296" customFormat="false" ht="14.25" hidden="false" customHeight="false" outlineLevel="0" collapsed="false">
      <c r="A296" s="1" t="n">
        <v>9</v>
      </c>
      <c r="B296" s="1" t="s">
        <v>528</v>
      </c>
      <c r="C296" s="1" t="s">
        <v>38</v>
      </c>
      <c r="D296" s="1" t="s">
        <v>65</v>
      </c>
      <c r="E296" s="2" t="n">
        <v>436682275</v>
      </c>
      <c r="H296" s="3" t="n">
        <v>3900</v>
      </c>
      <c r="I296" s="26" t="n">
        <v>2850</v>
      </c>
      <c r="K296" s="1" t="n">
        <v>1050</v>
      </c>
      <c r="M296" s="5" t="n">
        <v>45905</v>
      </c>
      <c r="N296" s="33" t="n">
        <f aca="false">DAY(M296)</f>
        <v>5</v>
      </c>
      <c r="O296" s="33" t="str">
        <f aca="false">TEXT(M296,"DDDD")</f>
        <v>viernes</v>
      </c>
      <c r="P296" s="6" t="n">
        <f aca="false">MONTH(M296)</f>
        <v>9</v>
      </c>
      <c r="Q296" s="26" t="str">
        <f aca="false">TEXT(M296,"MMMM")</f>
        <v>septiembre</v>
      </c>
    </row>
    <row r="297" customFormat="false" ht="14.25" hidden="false" customHeight="false" outlineLevel="0" collapsed="false">
      <c r="A297" s="1" t="n">
        <v>8</v>
      </c>
      <c r="B297" s="1" t="s">
        <v>529</v>
      </c>
      <c r="C297" s="1" t="s">
        <v>20</v>
      </c>
      <c r="D297" s="1" t="s">
        <v>530</v>
      </c>
      <c r="E297" s="2" t="n">
        <v>436680024</v>
      </c>
      <c r="H297" s="3" t="n">
        <v>2440</v>
      </c>
      <c r="I297" s="26" t="n">
        <v>1200</v>
      </c>
      <c r="K297" s="1" t="n">
        <v>1240</v>
      </c>
      <c r="M297" s="5" t="n">
        <v>45905</v>
      </c>
      <c r="N297" s="33" t="n">
        <f aca="false">DAY(M297)</f>
        <v>5</v>
      </c>
      <c r="O297" s="33" t="str">
        <f aca="false">TEXT(M297,"DDDD")</f>
        <v>viernes</v>
      </c>
      <c r="P297" s="6" t="n">
        <f aca="false">MONTH(M297)</f>
        <v>9</v>
      </c>
      <c r="Q297" s="26" t="str">
        <f aca="false">TEXT(M297,"MMMM")</f>
        <v>septiembre</v>
      </c>
    </row>
    <row r="298" customFormat="false" ht="14.25" hidden="false" customHeight="false" outlineLevel="0" collapsed="false">
      <c r="A298" s="1" t="n">
        <v>3</v>
      </c>
      <c r="B298" s="1" t="s">
        <v>178</v>
      </c>
      <c r="C298" s="1" t="s">
        <v>20</v>
      </c>
      <c r="D298" s="1" t="s">
        <v>531</v>
      </c>
      <c r="E298" s="2" t="n">
        <v>436763561</v>
      </c>
      <c r="H298" s="3" t="n">
        <v>2300</v>
      </c>
      <c r="I298" s="26" t="n">
        <v>1200</v>
      </c>
      <c r="K298" s="1" t="n">
        <v>1100</v>
      </c>
      <c r="M298" s="5" t="n">
        <v>45906</v>
      </c>
      <c r="N298" s="33" t="n">
        <f aca="false">DAY(M298)</f>
        <v>6</v>
      </c>
      <c r="O298" s="33" t="str">
        <f aca="false">TEXT(M298,"DDDD")</f>
        <v>sábado</v>
      </c>
      <c r="P298" s="6" t="n">
        <f aca="false">MONTH(M298)</f>
        <v>9</v>
      </c>
      <c r="Q298" s="26" t="str">
        <f aca="false">TEXT(M298,"MMMM")</f>
        <v>septiembre</v>
      </c>
    </row>
    <row r="299" customFormat="false" ht="14.25" hidden="false" customHeight="false" outlineLevel="0" collapsed="false">
      <c r="A299" s="1" t="n">
        <v>3</v>
      </c>
      <c r="B299" s="1" t="s">
        <v>532</v>
      </c>
      <c r="C299" s="1" t="s">
        <v>20</v>
      </c>
      <c r="D299" s="1" t="s">
        <v>179</v>
      </c>
      <c r="E299" s="2" t="n">
        <v>436763380</v>
      </c>
      <c r="H299" s="3" t="n">
        <v>3100</v>
      </c>
      <c r="I299" s="26" t="n">
        <v>1600</v>
      </c>
      <c r="K299" s="1" t="n">
        <v>1500</v>
      </c>
      <c r="M299" s="5" t="n">
        <v>45906</v>
      </c>
      <c r="N299" s="33" t="n">
        <f aca="false">DAY(M299)</f>
        <v>6</v>
      </c>
      <c r="O299" s="33" t="str">
        <f aca="false">TEXT(M299,"DDDD")</f>
        <v>sábado</v>
      </c>
      <c r="P299" s="6" t="n">
        <f aca="false">MONTH(M299)</f>
        <v>9</v>
      </c>
      <c r="Q299" s="26" t="str">
        <f aca="false">TEXT(M299,"MMMM")</f>
        <v>septiembre</v>
      </c>
    </row>
    <row r="300" customFormat="false" ht="14.25" hidden="false" customHeight="false" outlineLevel="0" collapsed="false">
      <c r="A300" s="1" t="n">
        <v>3</v>
      </c>
      <c r="B300" s="1" t="s">
        <v>533</v>
      </c>
      <c r="C300" s="1" t="s">
        <v>20</v>
      </c>
      <c r="D300" s="1" t="s">
        <v>85</v>
      </c>
      <c r="E300" s="2" t="n">
        <v>436763308</v>
      </c>
      <c r="H300" s="3" t="n">
        <v>1400</v>
      </c>
      <c r="I300" s="26" t="n">
        <v>1200</v>
      </c>
      <c r="K300" s="1" t="n">
        <v>200</v>
      </c>
      <c r="M300" s="5" t="n">
        <v>45906</v>
      </c>
      <c r="N300" s="33" t="n">
        <f aca="false">DAY(M300)</f>
        <v>6</v>
      </c>
      <c r="O300" s="33" t="str">
        <f aca="false">TEXT(M300,"DDDD")</f>
        <v>sábado</v>
      </c>
      <c r="P300" s="6" t="n">
        <f aca="false">MONTH(M300)</f>
        <v>9</v>
      </c>
      <c r="Q300" s="26" t="str">
        <f aca="false">TEXT(M300,"MMMM")</f>
        <v>septiembre</v>
      </c>
    </row>
    <row r="301" customFormat="false" ht="14.25" hidden="false" customHeight="false" outlineLevel="0" collapsed="false">
      <c r="A301" s="1" t="n">
        <v>3</v>
      </c>
      <c r="B301" s="1" t="s">
        <v>534</v>
      </c>
      <c r="C301" s="1" t="s">
        <v>20</v>
      </c>
      <c r="D301" s="1" t="s">
        <v>535</v>
      </c>
      <c r="E301" s="2" t="n">
        <v>436763133</v>
      </c>
      <c r="H301" s="3" t="n">
        <v>2680</v>
      </c>
      <c r="I301" s="26" t="n">
        <v>1200</v>
      </c>
      <c r="K301" s="1" t="n">
        <v>1480</v>
      </c>
      <c r="M301" s="5" t="n">
        <v>45906</v>
      </c>
      <c r="N301" s="33" t="n">
        <f aca="false">DAY(M301)</f>
        <v>6</v>
      </c>
      <c r="O301" s="33" t="str">
        <f aca="false">TEXT(M301,"DDDD")</f>
        <v>sábado</v>
      </c>
      <c r="P301" s="6" t="n">
        <f aca="false">MONTH(M301)</f>
        <v>9</v>
      </c>
      <c r="Q301" s="26" t="str">
        <f aca="false">TEXT(M301,"MMMM")</f>
        <v>septiembre</v>
      </c>
    </row>
    <row r="302" customFormat="false" ht="14.25" hidden="false" customHeight="false" outlineLevel="0" collapsed="false">
      <c r="A302" s="1" t="n">
        <v>3</v>
      </c>
      <c r="B302" s="1" t="s">
        <v>536</v>
      </c>
      <c r="C302" s="1" t="s">
        <v>20</v>
      </c>
      <c r="D302" s="1" t="s">
        <v>537</v>
      </c>
      <c r="E302" s="2" t="n">
        <v>436762863</v>
      </c>
      <c r="H302" s="3" t="n">
        <v>2300</v>
      </c>
      <c r="I302" s="26" t="n">
        <v>1300</v>
      </c>
      <c r="K302" s="1" t="n">
        <v>1000</v>
      </c>
      <c r="M302" s="5" t="n">
        <v>45906</v>
      </c>
      <c r="N302" s="33" t="n">
        <f aca="false">DAY(M302)</f>
        <v>6</v>
      </c>
      <c r="O302" s="33" t="str">
        <f aca="false">TEXT(M302,"DDDD")</f>
        <v>sábado</v>
      </c>
      <c r="P302" s="6" t="n">
        <f aca="false">MONTH(M302)</f>
        <v>9</v>
      </c>
      <c r="Q302" s="26" t="str">
        <f aca="false">TEXT(M302,"MMMM")</f>
        <v>septiembre</v>
      </c>
    </row>
    <row r="303" s="26" customFormat="true" ht="14.25" hidden="false" customHeight="false" outlineLevel="0" collapsed="false">
      <c r="A303" s="26" t="n">
        <v>2</v>
      </c>
      <c r="B303" s="26" t="s">
        <v>538</v>
      </c>
      <c r="C303" s="26" t="s">
        <v>20</v>
      </c>
      <c r="D303" s="26" t="s">
        <v>539</v>
      </c>
      <c r="E303" s="27" t="n">
        <v>436762567</v>
      </c>
      <c r="H303" s="26" t="n">
        <v>2400</v>
      </c>
      <c r="I303" s="26" t="n">
        <v>1400</v>
      </c>
      <c r="K303" s="26" t="n">
        <v>1000</v>
      </c>
      <c r="L303" s="4"/>
      <c r="M303" s="5" t="n">
        <v>45906</v>
      </c>
      <c r="N303" s="33" t="n">
        <f aca="false">DAY(M303)</f>
        <v>6</v>
      </c>
      <c r="O303" s="33" t="str">
        <f aca="false">TEXT(M303,"DDDD")</f>
        <v>sábado</v>
      </c>
      <c r="P303" s="6" t="n">
        <f aca="false">MONTH(M303)</f>
        <v>9</v>
      </c>
      <c r="Q303" s="26" t="str">
        <f aca="false">TEXT(M303,"MMMM")</f>
        <v>septiembre</v>
      </c>
    </row>
    <row r="304" customFormat="false" ht="14.25" hidden="false" customHeight="false" outlineLevel="0" collapsed="false">
      <c r="A304" s="1" t="n">
        <v>2</v>
      </c>
      <c r="B304" s="1" t="s">
        <v>326</v>
      </c>
      <c r="C304" s="1" t="s">
        <v>20</v>
      </c>
      <c r="D304" s="1" t="s">
        <v>221</v>
      </c>
      <c r="E304" s="2" t="n">
        <v>436762166</v>
      </c>
      <c r="H304" s="3" t="n">
        <v>1200</v>
      </c>
      <c r="I304" s="26" t="n">
        <v>1200</v>
      </c>
      <c r="M304" s="5" t="n">
        <v>45906</v>
      </c>
      <c r="N304" s="33" t="n">
        <f aca="false">DAY(M304)</f>
        <v>6</v>
      </c>
      <c r="O304" s="33" t="str">
        <f aca="false">TEXT(M304,"DDDD")</f>
        <v>sábado</v>
      </c>
      <c r="P304" s="6" t="n">
        <f aca="false">MONTH(M304)</f>
        <v>9</v>
      </c>
      <c r="Q304" s="26" t="str">
        <f aca="false">TEXT(M304,"MMMM")</f>
        <v>septiembre</v>
      </c>
    </row>
    <row r="305" customFormat="false" ht="14.25" hidden="false" customHeight="false" outlineLevel="0" collapsed="false">
      <c r="A305" s="1" t="n">
        <v>2</v>
      </c>
      <c r="B305" s="1" t="s">
        <v>540</v>
      </c>
      <c r="C305" s="1" t="s">
        <v>38</v>
      </c>
      <c r="D305" s="1" t="s">
        <v>541</v>
      </c>
      <c r="E305" s="2" t="n">
        <v>436761720</v>
      </c>
      <c r="H305" s="3" t="n">
        <v>2080</v>
      </c>
      <c r="I305" s="26" t="n">
        <v>1400</v>
      </c>
      <c r="K305" s="1" t="n">
        <v>680</v>
      </c>
      <c r="M305" s="5" t="n">
        <v>45906</v>
      </c>
      <c r="N305" s="33" t="n">
        <f aca="false">DAY(M305)</f>
        <v>6</v>
      </c>
      <c r="O305" s="33" t="str">
        <f aca="false">TEXT(M305,"DDDD")</f>
        <v>sábado</v>
      </c>
      <c r="P305" s="6" t="n">
        <f aca="false">MONTH(M305)</f>
        <v>9</v>
      </c>
      <c r="Q305" s="26" t="str">
        <f aca="false">TEXT(M305,"MMMM")</f>
        <v>septiembre</v>
      </c>
    </row>
    <row r="306" customFormat="false" ht="14.25" hidden="false" customHeight="false" outlineLevel="0" collapsed="false">
      <c r="A306" s="1" t="n">
        <v>2</v>
      </c>
      <c r="B306" s="1" t="s">
        <v>542</v>
      </c>
      <c r="C306" s="1" t="s">
        <v>20</v>
      </c>
      <c r="D306" s="1" t="s">
        <v>543</v>
      </c>
      <c r="E306" s="2" t="n">
        <v>436761451</v>
      </c>
      <c r="H306" s="3" t="n">
        <v>1200</v>
      </c>
      <c r="I306" s="26" t="n">
        <v>1200</v>
      </c>
      <c r="M306" s="5" t="n">
        <v>45906</v>
      </c>
      <c r="N306" s="33" t="n">
        <f aca="false">DAY(M306)</f>
        <v>6</v>
      </c>
      <c r="O306" s="33" t="str">
        <f aca="false">TEXT(M306,"DDDD")</f>
        <v>sábado</v>
      </c>
      <c r="P306" s="6" t="n">
        <f aca="false">MONTH(M306)</f>
        <v>9</v>
      </c>
      <c r="Q306" s="26" t="str">
        <f aca="false">TEXT(M306,"MMMM")</f>
        <v>septiembre</v>
      </c>
    </row>
    <row r="307" customFormat="false" ht="14.25" hidden="false" customHeight="false" outlineLevel="0" collapsed="false">
      <c r="A307" s="1" t="n">
        <v>2</v>
      </c>
      <c r="B307" s="1" t="s">
        <v>544</v>
      </c>
      <c r="C307" s="1" t="s">
        <v>20</v>
      </c>
      <c r="D307" s="1" t="s">
        <v>47</v>
      </c>
      <c r="E307" s="2" t="n">
        <v>436760482</v>
      </c>
      <c r="F307" s="21" t="s">
        <v>47</v>
      </c>
      <c r="G307" s="1" t="n">
        <v>436760615</v>
      </c>
      <c r="H307" s="3" t="n">
        <v>3900</v>
      </c>
      <c r="I307" s="26" t="n">
        <v>1800</v>
      </c>
      <c r="K307" s="1" t="n">
        <v>2100</v>
      </c>
      <c r="M307" s="5" t="n">
        <v>45906</v>
      </c>
      <c r="N307" s="33" t="n">
        <f aca="false">DAY(M307)</f>
        <v>6</v>
      </c>
      <c r="O307" s="33" t="str">
        <f aca="false">TEXT(M307,"DDDD")</f>
        <v>sábado</v>
      </c>
      <c r="P307" s="6" t="n">
        <f aca="false">MONTH(M307)</f>
        <v>9</v>
      </c>
      <c r="Q307" s="26" t="str">
        <f aca="false">TEXT(M307,"MMMM")</f>
        <v>septiembre</v>
      </c>
    </row>
    <row r="308" customFormat="false" ht="14.25" hidden="false" customHeight="false" outlineLevel="0" collapsed="false">
      <c r="A308" s="1" t="n">
        <v>1</v>
      </c>
      <c r="B308" s="1" t="s">
        <v>545</v>
      </c>
      <c r="C308" s="1" t="s">
        <v>20</v>
      </c>
      <c r="D308" s="1" t="s">
        <v>546</v>
      </c>
      <c r="E308" s="2" t="n">
        <v>436738880</v>
      </c>
      <c r="H308" s="3" t="n">
        <v>1500</v>
      </c>
      <c r="M308" s="5" t="n">
        <v>45906</v>
      </c>
      <c r="N308" s="33" t="n">
        <f aca="false">DAY(M308)</f>
        <v>6</v>
      </c>
      <c r="O308" s="33" t="str">
        <f aca="false">TEXT(M308,"DDDD")</f>
        <v>sábado</v>
      </c>
      <c r="P308" s="6" t="n">
        <f aca="false">MONTH(M308)</f>
        <v>9</v>
      </c>
      <c r="Q308" s="26" t="str">
        <f aca="false">TEXT(M308,"MMMM")</f>
        <v>septiembre</v>
      </c>
    </row>
    <row r="309" customFormat="false" ht="14.25" hidden="false" customHeight="false" outlineLevel="0" collapsed="false">
      <c r="A309" s="1" t="n">
        <v>12</v>
      </c>
      <c r="B309" s="1" t="s">
        <v>547</v>
      </c>
      <c r="C309" s="1" t="s">
        <v>20</v>
      </c>
      <c r="D309" s="1" t="s">
        <v>478</v>
      </c>
      <c r="E309" s="2" t="n">
        <v>437008695</v>
      </c>
      <c r="F309" s="21" t="s">
        <v>548</v>
      </c>
      <c r="G309" s="1" t="n">
        <v>437008950</v>
      </c>
      <c r="H309" s="3" t="n">
        <v>3390</v>
      </c>
      <c r="I309" s="26" t="n">
        <v>2350</v>
      </c>
      <c r="K309" s="1" t="n">
        <v>1040</v>
      </c>
      <c r="M309" s="5" t="s">
        <v>549</v>
      </c>
      <c r="N309" s="33" t="n">
        <f aca="false">DAY(M309)</f>
        <v>7</v>
      </c>
      <c r="O309" s="33" t="str">
        <f aca="false">TEXT(M309,"DDDD")</f>
        <v>domingo</v>
      </c>
      <c r="P309" s="6" t="n">
        <f aca="false">MONTH(M309)</f>
        <v>9</v>
      </c>
      <c r="Q309" s="26" t="str">
        <f aca="false">TEXT(M309,"MMMM")</f>
        <v>septiembre</v>
      </c>
    </row>
    <row r="310" customFormat="false" ht="14.25" hidden="false" customHeight="false" outlineLevel="0" collapsed="false">
      <c r="A310" s="1" t="n">
        <v>12</v>
      </c>
      <c r="B310" s="1" t="s">
        <v>550</v>
      </c>
      <c r="C310" s="1" t="s">
        <v>38</v>
      </c>
      <c r="D310" s="1" t="s">
        <v>551</v>
      </c>
      <c r="E310" s="2" t="n">
        <v>436999876</v>
      </c>
      <c r="H310" s="3" t="n">
        <v>2201</v>
      </c>
      <c r="K310" s="1" t="n">
        <v>1</v>
      </c>
      <c r="M310" s="5" t="s">
        <v>549</v>
      </c>
      <c r="N310" s="33" t="n">
        <f aca="false">DAY(M310)</f>
        <v>7</v>
      </c>
      <c r="O310" s="33" t="str">
        <f aca="false">TEXT(M310,"DDDD")</f>
        <v>domingo</v>
      </c>
      <c r="P310" s="6" t="n">
        <f aca="false">MONTH(M310)</f>
        <v>9</v>
      </c>
      <c r="Q310" s="26" t="str">
        <f aca="false">TEXT(M310,"MMMM")</f>
        <v>septiembre</v>
      </c>
    </row>
    <row r="311" customFormat="false" ht="14.25" hidden="false" customHeight="false" outlineLevel="0" collapsed="false">
      <c r="A311" s="1" t="n">
        <v>12</v>
      </c>
      <c r="B311" s="1" t="s">
        <v>552</v>
      </c>
      <c r="C311" s="1" t="s">
        <v>20</v>
      </c>
      <c r="D311" s="1" t="s">
        <v>175</v>
      </c>
      <c r="E311" s="2" t="n">
        <v>436981503</v>
      </c>
      <c r="F311" s="21" t="s">
        <v>553</v>
      </c>
      <c r="G311" s="1" t="n">
        <v>436969978</v>
      </c>
      <c r="H311" s="3" t="n">
        <v>1850</v>
      </c>
      <c r="M311" s="5" t="s">
        <v>549</v>
      </c>
      <c r="N311" s="33" t="n">
        <f aca="false">DAY(M311)</f>
        <v>7</v>
      </c>
      <c r="O311" s="33" t="str">
        <f aca="false">TEXT(M311,"DDDD")</f>
        <v>domingo</v>
      </c>
      <c r="P311" s="6" t="n">
        <f aca="false">MONTH(M311)</f>
        <v>9</v>
      </c>
      <c r="Q311" s="26" t="str">
        <f aca="false">TEXT(M311,"MMMM")</f>
        <v>septiembre</v>
      </c>
    </row>
    <row r="312" customFormat="false" ht="14.25" hidden="false" customHeight="false" outlineLevel="0" collapsed="false">
      <c r="A312" s="1" t="n">
        <v>2</v>
      </c>
      <c r="B312" s="1" t="s">
        <v>554</v>
      </c>
      <c r="C312" s="1" t="s">
        <v>20</v>
      </c>
      <c r="D312" s="1" t="s">
        <v>555</v>
      </c>
      <c r="E312" s="2" t="n">
        <v>437018290</v>
      </c>
      <c r="H312" s="3" t="n">
        <v>2700</v>
      </c>
      <c r="I312" s="26" t="n">
        <v>1200</v>
      </c>
      <c r="K312" s="1" t="n">
        <v>1500</v>
      </c>
      <c r="M312" s="5" t="n">
        <v>45908</v>
      </c>
      <c r="N312" s="33" t="n">
        <f aca="false">DAY(M312)</f>
        <v>8</v>
      </c>
      <c r="O312" s="33" t="str">
        <f aca="false">TEXT(M312,"DDDD")</f>
        <v>lunes</v>
      </c>
      <c r="P312" s="6" t="n">
        <f aca="false">MONTH(M312)</f>
        <v>9</v>
      </c>
      <c r="Q312" s="26" t="str">
        <f aca="false">TEXT(M312,"MMMM")</f>
        <v>septiembre</v>
      </c>
    </row>
    <row r="313" customFormat="false" ht="14.25" hidden="false" customHeight="false" outlineLevel="0" collapsed="false">
      <c r="A313" s="1" t="n">
        <v>2</v>
      </c>
      <c r="B313" s="1" t="s">
        <v>556</v>
      </c>
      <c r="C313" s="1" t="s">
        <v>20</v>
      </c>
      <c r="D313" s="1" t="s">
        <v>557</v>
      </c>
      <c r="E313" s="2" t="n">
        <v>437017251</v>
      </c>
      <c r="F313" s="21" t="s">
        <v>558</v>
      </c>
      <c r="G313" s="1" t="n">
        <v>437017209</v>
      </c>
      <c r="H313" s="3" t="n">
        <v>3420</v>
      </c>
      <c r="I313" s="26" t="n">
        <v>2100</v>
      </c>
      <c r="K313" s="1" t="n">
        <v>1320</v>
      </c>
      <c r="M313" s="5" t="n">
        <v>45908</v>
      </c>
      <c r="N313" s="33" t="n">
        <f aca="false">DAY(M313)</f>
        <v>8</v>
      </c>
      <c r="O313" s="33" t="str">
        <f aca="false">TEXT(M313,"DDDD")</f>
        <v>lunes</v>
      </c>
      <c r="P313" s="6" t="n">
        <f aca="false">MONTH(M313)</f>
        <v>9</v>
      </c>
      <c r="Q313" s="26" t="str">
        <f aca="false">TEXT(M313,"MMMM")</f>
        <v>septiembre</v>
      </c>
    </row>
    <row r="314" customFormat="false" ht="14.25" hidden="false" customHeight="false" outlineLevel="0" collapsed="false">
      <c r="A314" s="1" t="n">
        <v>1</v>
      </c>
      <c r="B314" s="1" t="s">
        <v>559</v>
      </c>
      <c r="C314" s="1" t="s">
        <v>38</v>
      </c>
      <c r="D314" s="1" t="s">
        <v>560</v>
      </c>
      <c r="E314" s="2" t="n">
        <v>437017087</v>
      </c>
      <c r="H314" s="3" t="n">
        <v>1900</v>
      </c>
      <c r="I314" s="26" t="n">
        <v>1200</v>
      </c>
      <c r="K314" s="1" t="n">
        <v>700</v>
      </c>
      <c r="M314" s="5" t="n">
        <v>45908</v>
      </c>
      <c r="N314" s="33" t="n">
        <f aca="false">DAY(M314)</f>
        <v>8</v>
      </c>
      <c r="O314" s="33" t="str">
        <f aca="false">TEXT(M314,"DDDD")</f>
        <v>lunes</v>
      </c>
      <c r="P314" s="6" t="n">
        <f aca="false">MONTH(M314)</f>
        <v>9</v>
      </c>
      <c r="Q314" s="26" t="str">
        <f aca="false">TEXT(M314,"MMMM")</f>
        <v>septiembre</v>
      </c>
    </row>
    <row r="315" customFormat="false" ht="14.25" hidden="false" customHeight="false" outlineLevel="0" collapsed="false">
      <c r="A315" s="1" t="n">
        <v>1</v>
      </c>
      <c r="B315" s="1" t="s">
        <v>561</v>
      </c>
      <c r="C315" s="1" t="s">
        <v>38</v>
      </c>
      <c r="D315" s="1" t="s">
        <v>87</v>
      </c>
      <c r="E315" s="2" t="n">
        <v>437016214</v>
      </c>
      <c r="H315" s="3" t="n">
        <v>1800</v>
      </c>
      <c r="I315" s="26" t="n">
        <v>1500</v>
      </c>
      <c r="K315" s="1" t="n">
        <v>300</v>
      </c>
      <c r="M315" s="5" t="n">
        <v>45908</v>
      </c>
      <c r="N315" s="33" t="n">
        <f aca="false">DAY(M315)</f>
        <v>8</v>
      </c>
      <c r="O315" s="33" t="str">
        <f aca="false">TEXT(M315,"DDDD")</f>
        <v>lunes</v>
      </c>
      <c r="P315" s="6" t="n">
        <f aca="false">MONTH(M315)</f>
        <v>9</v>
      </c>
      <c r="Q315" s="26" t="str">
        <f aca="false">TEXT(M315,"MMMM")</f>
        <v>septiembre</v>
      </c>
    </row>
    <row r="316" customFormat="false" ht="14.25" hidden="false" customHeight="false" outlineLevel="0" collapsed="false">
      <c r="A316" s="1" t="n">
        <v>1</v>
      </c>
      <c r="B316" s="1" t="s">
        <v>562</v>
      </c>
      <c r="C316" s="1" t="s">
        <v>20</v>
      </c>
      <c r="D316" s="1" t="s">
        <v>563</v>
      </c>
      <c r="E316" s="2" t="n">
        <v>437015298</v>
      </c>
      <c r="H316" s="3" t="n">
        <v>1500</v>
      </c>
      <c r="I316" s="26" t="n">
        <v>1200</v>
      </c>
      <c r="K316" s="1" t="n">
        <v>300</v>
      </c>
      <c r="M316" s="5" t="n">
        <v>45908</v>
      </c>
      <c r="N316" s="33" t="n">
        <f aca="false">DAY(M316)</f>
        <v>8</v>
      </c>
      <c r="O316" s="33" t="str">
        <f aca="false">TEXT(M316,"DDDD")</f>
        <v>lunes</v>
      </c>
      <c r="P316" s="6" t="n">
        <f aca="false">MONTH(M316)</f>
        <v>9</v>
      </c>
      <c r="Q316" s="26" t="str">
        <f aca="false">TEXT(M316,"MMMM")</f>
        <v>septiembre</v>
      </c>
    </row>
    <row r="317" customFormat="false" ht="14.25" hidden="false" customHeight="false" outlineLevel="0" collapsed="false">
      <c r="A317" s="1" t="n">
        <v>5</v>
      </c>
      <c r="B317" s="1" t="s">
        <v>564</v>
      </c>
      <c r="C317" s="1" t="s">
        <v>20</v>
      </c>
      <c r="D317" s="1" t="s">
        <v>565</v>
      </c>
      <c r="E317" s="2" t="n">
        <v>437115158</v>
      </c>
      <c r="H317" s="3" t="n">
        <v>1540</v>
      </c>
      <c r="I317" s="26" t="n">
        <v>1200</v>
      </c>
      <c r="K317" s="1" t="n">
        <v>340</v>
      </c>
      <c r="M317" s="5" t="s">
        <v>566</v>
      </c>
      <c r="N317" s="33" t="n">
        <f aca="false">DAY(M317)</f>
        <v>9</v>
      </c>
      <c r="O317" s="33" t="str">
        <f aca="false">TEXT(M317,"DDDD")</f>
        <v>martes</v>
      </c>
      <c r="P317" s="6" t="n">
        <f aca="false">MONTH(M317)</f>
        <v>9</v>
      </c>
      <c r="Q317" s="26" t="str">
        <f aca="false">TEXT(M317,"MMMM")</f>
        <v>septiembre</v>
      </c>
      <c r="R317" s="21" t="s">
        <v>83</v>
      </c>
      <c r="S317" s="1" t="n">
        <v>7820</v>
      </c>
    </row>
    <row r="318" customFormat="false" ht="14.25" hidden="false" customHeight="false" outlineLevel="0" collapsed="false">
      <c r="A318" s="1" t="n">
        <v>5</v>
      </c>
      <c r="B318" s="1" t="s">
        <v>567</v>
      </c>
      <c r="C318" s="1" t="s">
        <v>38</v>
      </c>
      <c r="D318" s="1" t="s">
        <v>65</v>
      </c>
      <c r="E318" s="2" t="n">
        <v>437113634</v>
      </c>
      <c r="H318" s="3" t="n">
        <v>3830</v>
      </c>
      <c r="I318" s="26" t="n">
        <v>2450</v>
      </c>
      <c r="K318" s="1" t="n">
        <v>1380</v>
      </c>
      <c r="M318" s="5" t="s">
        <v>566</v>
      </c>
      <c r="N318" s="33" t="n">
        <f aca="false">DAY(M318)</f>
        <v>9</v>
      </c>
      <c r="O318" s="33" t="str">
        <f aca="false">TEXT(M318,"DDDD")</f>
        <v>martes</v>
      </c>
      <c r="P318" s="6" t="n">
        <f aca="false">MONTH(M318)</f>
        <v>9</v>
      </c>
      <c r="Q318" s="26" t="str">
        <f aca="false">TEXT(M318,"MMMM")</f>
        <v>septiembre</v>
      </c>
    </row>
    <row r="319" customFormat="false" ht="14.25" hidden="false" customHeight="false" outlineLevel="0" collapsed="false">
      <c r="A319" s="1" t="n">
        <v>5</v>
      </c>
      <c r="B319" s="1" t="s">
        <v>568</v>
      </c>
      <c r="C319" s="1" t="s">
        <v>20</v>
      </c>
      <c r="D319" s="1" t="s">
        <v>569</v>
      </c>
      <c r="E319" s="2" t="n">
        <v>437113343</v>
      </c>
      <c r="H319" s="3" t="n">
        <v>1600</v>
      </c>
      <c r="I319" s="26" t="n">
        <v>1200</v>
      </c>
      <c r="K319" s="1" t="n">
        <v>400</v>
      </c>
      <c r="M319" s="5" t="s">
        <v>566</v>
      </c>
      <c r="N319" s="33" t="n">
        <f aca="false">DAY(M319)</f>
        <v>9</v>
      </c>
      <c r="O319" s="33" t="str">
        <f aca="false">TEXT(M319,"DDDD")</f>
        <v>martes</v>
      </c>
      <c r="P319" s="6" t="n">
        <f aca="false">MONTH(M319)</f>
        <v>9</v>
      </c>
      <c r="Q319" s="26" t="str">
        <f aca="false">TEXT(M319,"MMMM")</f>
        <v>septiembre</v>
      </c>
      <c r="R319" s="21" t="s">
        <v>83</v>
      </c>
      <c r="S319" s="1" t="n">
        <v>9770</v>
      </c>
    </row>
    <row r="320" customFormat="false" ht="14.25" hidden="false" customHeight="false" outlineLevel="0" collapsed="false">
      <c r="A320" s="1" t="n">
        <v>5</v>
      </c>
      <c r="B320" s="1" t="s">
        <v>570</v>
      </c>
      <c r="C320" s="1" t="s">
        <v>38</v>
      </c>
      <c r="D320" s="1" t="s">
        <v>274</v>
      </c>
      <c r="E320" s="2" t="n">
        <v>437112883</v>
      </c>
      <c r="H320" s="3" t="n">
        <v>1760</v>
      </c>
      <c r="I320" s="26" t="n">
        <v>1200</v>
      </c>
      <c r="K320" s="1" t="n">
        <v>560</v>
      </c>
      <c r="M320" s="5" t="s">
        <v>566</v>
      </c>
      <c r="N320" s="33" t="n">
        <f aca="false">DAY(M320)</f>
        <v>9</v>
      </c>
      <c r="O320" s="33" t="str">
        <f aca="false">TEXT(M320,"DDDD")</f>
        <v>martes</v>
      </c>
      <c r="P320" s="6" t="n">
        <f aca="false">MONTH(M320)</f>
        <v>9</v>
      </c>
      <c r="Q320" s="26" t="str">
        <f aca="false">TEXT(M320,"MMMM")</f>
        <v>septiembre</v>
      </c>
    </row>
    <row r="321" customFormat="false" ht="14.25" hidden="false" customHeight="false" outlineLevel="0" collapsed="false">
      <c r="A321" s="1" t="n">
        <v>5</v>
      </c>
      <c r="B321" s="1" t="s">
        <v>571</v>
      </c>
      <c r="C321" s="1" t="s">
        <v>38</v>
      </c>
      <c r="D321" s="1" t="s">
        <v>572</v>
      </c>
      <c r="E321" s="2" t="n">
        <v>437112176</v>
      </c>
      <c r="H321" s="3" t="n">
        <v>1950</v>
      </c>
      <c r="I321" s="26" t="n">
        <v>1950</v>
      </c>
      <c r="M321" s="5" t="s">
        <v>566</v>
      </c>
      <c r="N321" s="33" t="n">
        <f aca="false">DAY(M321)</f>
        <v>9</v>
      </c>
      <c r="O321" s="33" t="str">
        <f aca="false">TEXT(M321,"DDDD")</f>
        <v>martes</v>
      </c>
      <c r="P321" s="6" t="n">
        <f aca="false">MONTH(M321)</f>
        <v>9</v>
      </c>
      <c r="Q321" s="26" t="str">
        <f aca="false">TEXT(M321,"MMMM")</f>
        <v>septiembre</v>
      </c>
    </row>
    <row r="322" customFormat="false" ht="14.25" hidden="false" customHeight="false" outlineLevel="0" collapsed="false">
      <c r="A322" s="1" t="n">
        <v>4</v>
      </c>
      <c r="B322" s="1" t="s">
        <v>573</v>
      </c>
      <c r="C322" s="1" t="s">
        <v>20</v>
      </c>
      <c r="D322" s="1" t="s">
        <v>574</v>
      </c>
      <c r="E322" s="2" t="n">
        <v>437111948</v>
      </c>
      <c r="H322" s="3" t="n">
        <v>2170</v>
      </c>
      <c r="I322" s="26" t="n">
        <v>1350</v>
      </c>
      <c r="K322" s="1" t="n">
        <v>820</v>
      </c>
      <c r="M322" s="5" t="s">
        <v>566</v>
      </c>
      <c r="N322" s="33" t="n">
        <f aca="false">DAY(M322)</f>
        <v>9</v>
      </c>
      <c r="O322" s="33" t="str">
        <f aca="false">TEXT(M322,"DDDD")</f>
        <v>martes</v>
      </c>
      <c r="P322" s="6" t="n">
        <f aca="false">MONTH(M322)</f>
        <v>9</v>
      </c>
      <c r="Q322" s="26" t="str">
        <f aca="false">TEXT(M322,"MMMM")</f>
        <v>septiembre</v>
      </c>
    </row>
    <row r="323" customFormat="false" ht="14.25" hidden="false" customHeight="false" outlineLevel="0" collapsed="false">
      <c r="A323" s="1" t="n">
        <v>12</v>
      </c>
      <c r="B323" s="1" t="s">
        <v>575</v>
      </c>
      <c r="C323" s="1" t="s">
        <v>20</v>
      </c>
      <c r="D323" s="1" t="s">
        <v>576</v>
      </c>
      <c r="E323" s="2" t="n">
        <v>437318867</v>
      </c>
      <c r="H323" s="3" t="n">
        <v>1550</v>
      </c>
      <c r="I323" s="26" t="n">
        <v>1200</v>
      </c>
      <c r="K323" s="1" t="n">
        <v>350</v>
      </c>
      <c r="M323" s="5" t="s">
        <v>577</v>
      </c>
      <c r="N323" s="33" t="n">
        <f aca="false">DAY(M323)</f>
        <v>10</v>
      </c>
      <c r="O323" s="33" t="str">
        <f aca="false">TEXT(M323,"DDDD")</f>
        <v>miércoles</v>
      </c>
      <c r="P323" s="6" t="n">
        <f aca="false">MONTH(M323)</f>
        <v>9</v>
      </c>
      <c r="Q323" s="26" t="str">
        <f aca="false">TEXT(M323,"MMMM")</f>
        <v>septiembre</v>
      </c>
    </row>
    <row r="324" customFormat="false" ht="14.25" hidden="false" customHeight="false" outlineLevel="0" collapsed="false">
      <c r="A324" s="1" t="n">
        <v>12</v>
      </c>
      <c r="B324" s="1" t="s">
        <v>578</v>
      </c>
      <c r="C324" s="1" t="s">
        <v>38</v>
      </c>
      <c r="D324" s="1" t="s">
        <v>579</v>
      </c>
      <c r="E324" s="2" t="n">
        <v>437314992</v>
      </c>
      <c r="H324" s="3" t="n">
        <v>1200</v>
      </c>
      <c r="I324" s="26" t="n">
        <v>1200</v>
      </c>
      <c r="M324" s="5" t="s">
        <v>577</v>
      </c>
      <c r="N324" s="33" t="n">
        <f aca="false">DAY(M324)</f>
        <v>10</v>
      </c>
      <c r="O324" s="33" t="str">
        <f aca="false">TEXT(M324,"DDDD")</f>
        <v>miércoles</v>
      </c>
      <c r="P324" s="6" t="n">
        <f aca="false">MONTH(M324)</f>
        <v>9</v>
      </c>
      <c r="Q324" s="26" t="str">
        <f aca="false">TEXT(M324,"MMMM")</f>
        <v>septiembre</v>
      </c>
    </row>
    <row r="325" customFormat="false" ht="14.25" hidden="false" customHeight="false" outlineLevel="0" collapsed="false">
      <c r="A325" s="1" t="n">
        <v>12</v>
      </c>
      <c r="B325" s="1" t="s">
        <v>580</v>
      </c>
      <c r="C325" s="1" t="s">
        <v>20</v>
      </c>
      <c r="D325" s="1" t="s">
        <v>581</v>
      </c>
      <c r="E325" s="2" t="n">
        <v>437313718</v>
      </c>
      <c r="H325" s="3" t="n">
        <v>2040</v>
      </c>
      <c r="I325" s="26" t="n">
        <v>1200</v>
      </c>
      <c r="K325" s="1" t="n">
        <v>840</v>
      </c>
      <c r="M325" s="5" t="s">
        <v>577</v>
      </c>
      <c r="N325" s="33" t="n">
        <f aca="false">DAY(M325)</f>
        <v>10</v>
      </c>
      <c r="O325" s="33" t="str">
        <f aca="false">TEXT(M325,"DDDD")</f>
        <v>miércoles</v>
      </c>
      <c r="P325" s="6" t="n">
        <f aca="false">MONTH(M325)</f>
        <v>9</v>
      </c>
      <c r="Q325" s="26" t="str">
        <f aca="false">TEXT(M325,"MMMM")</f>
        <v>septiembre</v>
      </c>
    </row>
    <row r="326" customFormat="false" ht="14.25" hidden="false" customHeight="false" outlineLevel="0" collapsed="false">
      <c r="A326" s="1" t="n">
        <v>12</v>
      </c>
      <c r="B326" s="1" t="s">
        <v>582</v>
      </c>
      <c r="C326" s="1" t="s">
        <v>20</v>
      </c>
      <c r="D326" s="1" t="s">
        <v>583</v>
      </c>
      <c r="E326" s="2" t="n">
        <v>437312482</v>
      </c>
      <c r="H326" s="3" t="n">
        <v>1200</v>
      </c>
      <c r="I326" s="26" t="n">
        <v>1200</v>
      </c>
      <c r="M326" s="5" t="s">
        <v>577</v>
      </c>
      <c r="N326" s="33" t="n">
        <f aca="false">DAY(M326)</f>
        <v>10</v>
      </c>
      <c r="O326" s="33" t="str">
        <f aca="false">TEXT(M326,"DDDD")</f>
        <v>miércoles</v>
      </c>
      <c r="P326" s="6" t="n">
        <f aca="false">MONTH(M326)</f>
        <v>9</v>
      </c>
      <c r="Q326" s="26" t="str">
        <f aca="false">TEXT(M326,"MMMM")</f>
        <v>septiembre</v>
      </c>
    </row>
    <row r="327" customFormat="false" ht="14.25" hidden="false" customHeight="false" outlineLevel="0" collapsed="false">
      <c r="A327" s="1" t="n">
        <v>12</v>
      </c>
      <c r="B327" s="1" t="s">
        <v>584</v>
      </c>
      <c r="C327" s="1" t="s">
        <v>20</v>
      </c>
      <c r="D327" s="1" t="s">
        <v>456</v>
      </c>
      <c r="E327" s="2" t="n">
        <v>437302424</v>
      </c>
      <c r="H327" s="3" t="n">
        <v>1200</v>
      </c>
      <c r="I327" s="26" t="n">
        <v>1200</v>
      </c>
      <c r="M327" s="5" t="s">
        <v>577</v>
      </c>
      <c r="N327" s="33" t="n">
        <f aca="false">DAY(M327)</f>
        <v>10</v>
      </c>
      <c r="O327" s="33" t="str">
        <f aca="false">TEXT(M327,"DDDD")</f>
        <v>miércoles</v>
      </c>
      <c r="P327" s="6" t="n">
        <f aca="false">MONTH(M327)</f>
        <v>9</v>
      </c>
      <c r="Q327" s="26" t="str">
        <f aca="false">TEXT(M327,"MMMM")</f>
        <v>septiembre</v>
      </c>
    </row>
    <row r="328" customFormat="false" ht="14.25" hidden="false" customHeight="false" outlineLevel="0" collapsed="false">
      <c r="A328" s="1" t="n">
        <v>11</v>
      </c>
      <c r="B328" s="1" t="s">
        <v>249</v>
      </c>
      <c r="C328" s="1" t="s">
        <v>20</v>
      </c>
      <c r="D328" s="1" t="s">
        <v>585</v>
      </c>
      <c r="E328" s="2" t="n">
        <v>437293550</v>
      </c>
      <c r="H328" s="3" t="n">
        <v>2660</v>
      </c>
      <c r="I328" s="26" t="n">
        <v>1200</v>
      </c>
      <c r="K328" s="1" t="n">
        <v>1460</v>
      </c>
      <c r="M328" s="5" t="s">
        <v>577</v>
      </c>
      <c r="N328" s="33" t="n">
        <f aca="false">DAY(M328)</f>
        <v>10</v>
      </c>
      <c r="O328" s="33" t="str">
        <f aca="false">TEXT(M328,"DDDD")</f>
        <v>miércoles</v>
      </c>
      <c r="P328" s="6" t="n">
        <f aca="false">MONTH(M328)</f>
        <v>9</v>
      </c>
      <c r="Q328" s="26" t="str">
        <f aca="false">TEXT(M328,"MMMM")</f>
        <v>septiembre</v>
      </c>
    </row>
    <row r="329" customFormat="false" ht="14.25" hidden="false" customHeight="false" outlineLevel="0" collapsed="false">
      <c r="A329" s="1" t="n">
        <v>11</v>
      </c>
      <c r="B329" s="1" t="s">
        <v>214</v>
      </c>
      <c r="C329" s="1" t="s">
        <v>38</v>
      </c>
      <c r="D329" s="1" t="s">
        <v>33</v>
      </c>
      <c r="E329" s="2" t="n">
        <v>437275202</v>
      </c>
      <c r="H329" s="3" t="n">
        <v>2050</v>
      </c>
      <c r="I329" s="26" t="n">
        <v>1750</v>
      </c>
      <c r="K329" s="1" t="n">
        <v>300</v>
      </c>
      <c r="M329" s="5" t="s">
        <v>577</v>
      </c>
      <c r="N329" s="33" t="n">
        <f aca="false">DAY(M329)</f>
        <v>10</v>
      </c>
      <c r="O329" s="33" t="str">
        <f aca="false">TEXT(M329,"DDDD")</f>
        <v>miércoles</v>
      </c>
      <c r="P329" s="6" t="n">
        <f aca="false">MONTH(M329)</f>
        <v>9</v>
      </c>
      <c r="Q329" s="26" t="str">
        <f aca="false">TEXT(M329,"MMMM")</f>
        <v>septiembre</v>
      </c>
      <c r="R329" s="21" t="s">
        <v>83</v>
      </c>
      <c r="S329" s="1" t="n">
        <v>8103</v>
      </c>
    </row>
    <row r="330" customFormat="false" ht="14.25" hidden="false" customHeight="false" outlineLevel="0" collapsed="false">
      <c r="A330" s="1" t="n">
        <v>11</v>
      </c>
      <c r="B330" s="1" t="s">
        <v>586</v>
      </c>
      <c r="C330" s="1" t="s">
        <v>38</v>
      </c>
      <c r="D330" s="1" t="s">
        <v>497</v>
      </c>
      <c r="E330" s="2" t="n">
        <v>437280687</v>
      </c>
      <c r="F330" s="21" t="s">
        <v>587</v>
      </c>
      <c r="G330" s="1" t="n">
        <v>437282112</v>
      </c>
      <c r="H330" s="3" t="n">
        <v>3840</v>
      </c>
      <c r="I330" s="26" t="n">
        <v>3000</v>
      </c>
      <c r="K330" s="1" t="n">
        <v>840</v>
      </c>
      <c r="M330" s="5" t="s">
        <v>577</v>
      </c>
      <c r="N330" s="33" t="n">
        <f aca="false">DAY(M330)</f>
        <v>10</v>
      </c>
      <c r="O330" s="33" t="str">
        <f aca="false">TEXT(M330,"DDDD")</f>
        <v>miércoles</v>
      </c>
      <c r="P330" s="6" t="n">
        <f aca="false">MONTH(M330)</f>
        <v>9</v>
      </c>
      <c r="Q330" s="26" t="str">
        <f aca="false">TEXT(M330,"MMMM")</f>
        <v>septiembre</v>
      </c>
    </row>
    <row r="331" customFormat="false" ht="14.25" hidden="false" customHeight="false" outlineLevel="0" collapsed="false">
      <c r="A331" s="1" t="n">
        <v>10</v>
      </c>
      <c r="B331" s="1" t="s">
        <v>527</v>
      </c>
      <c r="C331" s="1" t="s">
        <v>140</v>
      </c>
      <c r="D331" s="1" t="s">
        <v>588</v>
      </c>
      <c r="E331" s="2" t="n">
        <v>437271172</v>
      </c>
      <c r="H331" s="3" t="n">
        <v>1950</v>
      </c>
      <c r="I331" s="26" t="n">
        <v>1600</v>
      </c>
      <c r="K331" s="1" t="n">
        <v>350</v>
      </c>
      <c r="M331" s="5" t="s">
        <v>577</v>
      </c>
      <c r="N331" s="33" t="n">
        <f aca="false">DAY(M331)</f>
        <v>10</v>
      </c>
      <c r="O331" s="33" t="str">
        <f aca="false">TEXT(M331,"DDDD")</f>
        <v>miércoles</v>
      </c>
      <c r="P331" s="6" t="n">
        <f aca="false">MONTH(M331)</f>
        <v>9</v>
      </c>
      <c r="Q331" s="26" t="str">
        <f aca="false">TEXT(M331,"MMMM")</f>
        <v>septiembre</v>
      </c>
    </row>
    <row r="332" customFormat="false" ht="14.25" hidden="false" customHeight="false" outlineLevel="0" collapsed="false">
      <c r="A332" s="1" t="n">
        <v>12</v>
      </c>
      <c r="B332" s="1" t="s">
        <v>589</v>
      </c>
      <c r="C332" s="1" t="s">
        <v>20</v>
      </c>
      <c r="D332" s="1" t="s">
        <v>590</v>
      </c>
      <c r="E332" s="2" t="n">
        <v>437424093</v>
      </c>
      <c r="H332" s="3" t="n">
        <v>3030</v>
      </c>
      <c r="I332" s="26" t="n">
        <v>1450</v>
      </c>
      <c r="K332" s="1" t="n">
        <v>1580</v>
      </c>
      <c r="M332" s="5" t="s">
        <v>591</v>
      </c>
      <c r="N332" s="33" t="n">
        <f aca="false">DAY(M332)</f>
        <v>11</v>
      </c>
      <c r="O332" s="33" t="str">
        <f aca="false">TEXT(M332,"DDDD")</f>
        <v>jueves</v>
      </c>
      <c r="P332" s="6" t="n">
        <f aca="false">MONTH(M332)</f>
        <v>9</v>
      </c>
      <c r="Q332" s="26" t="str">
        <f aca="false">TEXT(M332,"MMMM")</f>
        <v>septiembre</v>
      </c>
    </row>
    <row r="333" customFormat="false" ht="14.25" hidden="false" customHeight="false" outlineLevel="0" collapsed="false">
      <c r="A333" s="1" t="n">
        <v>1</v>
      </c>
      <c r="B333" s="1" t="s">
        <v>276</v>
      </c>
      <c r="C333" s="1" t="s">
        <v>20</v>
      </c>
      <c r="D333" s="1" t="s">
        <v>150</v>
      </c>
      <c r="E333" s="2" t="n">
        <v>437323499</v>
      </c>
      <c r="H333" s="3" t="n">
        <v>2040</v>
      </c>
      <c r="I333" s="26" t="n">
        <v>1200</v>
      </c>
      <c r="K333" s="1" t="n">
        <v>840</v>
      </c>
      <c r="M333" s="5" t="s">
        <v>591</v>
      </c>
      <c r="N333" s="33" t="n">
        <f aca="false">DAY(M333)</f>
        <v>11</v>
      </c>
      <c r="O333" s="33" t="str">
        <f aca="false">TEXT(M333,"DDDD")</f>
        <v>jueves</v>
      </c>
      <c r="P333" s="6" t="n">
        <f aca="false">MONTH(M333)</f>
        <v>9</v>
      </c>
      <c r="Q333" s="26" t="str">
        <f aca="false">TEXT(M333,"MMMM")</f>
        <v>septiembre</v>
      </c>
    </row>
    <row r="334" customFormat="false" ht="14.25" hidden="false" customHeight="false" outlineLevel="0" collapsed="false">
      <c r="A334" s="1" t="n">
        <v>1</v>
      </c>
      <c r="B334" s="1" t="s">
        <v>592</v>
      </c>
      <c r="C334" s="1" t="s">
        <v>20</v>
      </c>
      <c r="D334" s="1" t="s">
        <v>593</v>
      </c>
      <c r="E334" s="2" t="n">
        <v>437323188</v>
      </c>
      <c r="F334" s="21" t="s">
        <v>594</v>
      </c>
      <c r="H334" s="3" t="n">
        <v>3280</v>
      </c>
      <c r="I334" s="26" t="n">
        <v>1800</v>
      </c>
      <c r="K334" s="1" t="n">
        <v>1480</v>
      </c>
      <c r="M334" s="5" t="s">
        <v>591</v>
      </c>
      <c r="N334" s="33" t="n">
        <f aca="false">DAY(M334)</f>
        <v>11</v>
      </c>
      <c r="O334" s="33" t="str">
        <f aca="false">TEXT(M334,"DDDD")</f>
        <v>jueves</v>
      </c>
      <c r="P334" s="6" t="n">
        <f aca="false">MONTH(M334)</f>
        <v>9</v>
      </c>
      <c r="Q334" s="26" t="str">
        <f aca="false">TEXT(M334,"MMMM")</f>
        <v>septiembre</v>
      </c>
    </row>
    <row r="335" customFormat="false" ht="14.25" hidden="false" customHeight="false" outlineLevel="0" collapsed="false">
      <c r="A335" s="1" t="n">
        <v>1</v>
      </c>
      <c r="B335" s="1" t="s">
        <v>595</v>
      </c>
      <c r="C335" s="1" t="s">
        <v>20</v>
      </c>
      <c r="D335" s="1" t="s">
        <v>103</v>
      </c>
      <c r="E335" s="2" t="n">
        <v>437322521</v>
      </c>
      <c r="H335" s="3" t="n">
        <v>3380</v>
      </c>
      <c r="I335" s="26" t="n">
        <v>1200</v>
      </c>
      <c r="K335" s="1" t="n">
        <v>2180</v>
      </c>
      <c r="M335" s="5" t="s">
        <v>591</v>
      </c>
      <c r="N335" s="33" t="n">
        <f aca="false">DAY(M335)</f>
        <v>11</v>
      </c>
      <c r="O335" s="33" t="str">
        <f aca="false">TEXT(M335,"DDDD")</f>
        <v>jueves</v>
      </c>
      <c r="P335" s="6" t="n">
        <f aca="false">MONTH(M335)</f>
        <v>9</v>
      </c>
      <c r="Q335" s="26" t="str">
        <f aca="false">TEXT(M335,"MMMM")</f>
        <v>septiembre</v>
      </c>
    </row>
    <row r="336" customFormat="false" ht="14.25" hidden="false" customHeight="false" outlineLevel="0" collapsed="false">
      <c r="A336" s="1" t="n">
        <v>1</v>
      </c>
      <c r="B336" s="1" t="s">
        <v>596</v>
      </c>
      <c r="C336" s="1" t="s">
        <v>20</v>
      </c>
      <c r="D336" s="1" t="s">
        <v>47</v>
      </c>
      <c r="E336" s="2" t="n">
        <v>437322024</v>
      </c>
      <c r="H336" s="3" t="n">
        <v>2760</v>
      </c>
      <c r="I336" s="26" t="n">
        <v>1200</v>
      </c>
      <c r="K336" s="1" t="n">
        <v>1560</v>
      </c>
      <c r="M336" s="5" t="s">
        <v>591</v>
      </c>
      <c r="N336" s="33" t="n">
        <f aca="false">DAY(M336)</f>
        <v>11</v>
      </c>
      <c r="O336" s="33" t="str">
        <f aca="false">TEXT(M336,"DDDD")</f>
        <v>jueves</v>
      </c>
      <c r="P336" s="6" t="n">
        <f aca="false">MONTH(M336)</f>
        <v>9</v>
      </c>
      <c r="Q336" s="26" t="str">
        <f aca="false">TEXT(M336,"MMMM")</f>
        <v>septiembre</v>
      </c>
      <c r="R336" s="21" t="s">
        <v>83</v>
      </c>
      <c r="S336" s="1" t="n">
        <v>29180</v>
      </c>
    </row>
    <row r="337" customFormat="false" ht="14.25" hidden="false" customHeight="false" outlineLevel="0" collapsed="false">
      <c r="A337" s="1" t="n">
        <v>1</v>
      </c>
      <c r="B337" s="1" t="s">
        <v>597</v>
      </c>
      <c r="C337" s="1" t="s">
        <v>20</v>
      </c>
      <c r="D337" s="1" t="s">
        <v>47</v>
      </c>
      <c r="E337" s="2" t="n">
        <v>437321528</v>
      </c>
      <c r="H337" s="3" t="n">
        <v>3100</v>
      </c>
      <c r="I337" s="26" t="n">
        <v>1200</v>
      </c>
      <c r="K337" s="1" t="n">
        <v>1900</v>
      </c>
      <c r="M337" s="5" t="s">
        <v>591</v>
      </c>
      <c r="N337" s="33" t="n">
        <f aca="false">DAY(M337)</f>
        <v>11</v>
      </c>
      <c r="O337" s="33" t="str">
        <f aca="false">TEXT(M337,"DDDD")</f>
        <v>jueves</v>
      </c>
      <c r="P337" s="6" t="n">
        <f aca="false">MONTH(M337)</f>
        <v>9</v>
      </c>
      <c r="Q337" s="26" t="str">
        <f aca="false">TEXT(M337,"MMMM")</f>
        <v>septiembre</v>
      </c>
    </row>
    <row r="338" customFormat="false" ht="14.25" hidden="false" customHeight="false" outlineLevel="0" collapsed="false">
      <c r="A338" s="1" t="n">
        <v>1</v>
      </c>
      <c r="B338" s="1" t="s">
        <v>598</v>
      </c>
      <c r="C338" s="1" t="s">
        <v>20</v>
      </c>
      <c r="D338" s="1" t="s">
        <v>576</v>
      </c>
      <c r="E338" s="2" t="n">
        <v>437320733</v>
      </c>
      <c r="H338" s="3" t="n">
        <v>1200</v>
      </c>
      <c r="I338" s="26" t="n">
        <v>1200</v>
      </c>
      <c r="M338" s="5" t="s">
        <v>591</v>
      </c>
      <c r="N338" s="33" t="n">
        <f aca="false">DAY(M338)</f>
        <v>11</v>
      </c>
      <c r="O338" s="33" t="str">
        <f aca="false">TEXT(M338,"DDDD")</f>
        <v>jueves</v>
      </c>
      <c r="P338" s="6" t="n">
        <f aca="false">MONTH(M338)</f>
        <v>9</v>
      </c>
      <c r="Q338" s="26" t="str">
        <f aca="false">TEXT(M338,"MMMM")</f>
        <v>septiembre</v>
      </c>
    </row>
    <row r="339" customFormat="false" ht="14.25" hidden="false" customHeight="false" outlineLevel="0" collapsed="false">
      <c r="A339" s="1" t="n">
        <v>2</v>
      </c>
      <c r="B339" s="1" t="s">
        <v>599</v>
      </c>
      <c r="C339" s="1" t="s">
        <v>20</v>
      </c>
      <c r="D339" s="1" t="s">
        <v>600</v>
      </c>
      <c r="E339" s="2" t="n">
        <v>437430738</v>
      </c>
      <c r="F339" s="21" t="s">
        <v>600</v>
      </c>
      <c r="G339" s="1" t="n">
        <v>437430813</v>
      </c>
      <c r="H339" s="3" t="n">
        <v>3560</v>
      </c>
      <c r="I339" s="26" t="n">
        <v>2100</v>
      </c>
      <c r="K339" s="1" t="n">
        <v>1460</v>
      </c>
      <c r="M339" s="5" t="s">
        <v>601</v>
      </c>
      <c r="N339" s="33" t="n">
        <f aca="false">DAY(M339)</f>
        <v>12</v>
      </c>
      <c r="O339" s="33" t="str">
        <f aca="false">TEXT(M339,"DDDD")</f>
        <v>viernes</v>
      </c>
      <c r="P339" s="6" t="n">
        <f aca="false">MONTH(M339)</f>
        <v>9</v>
      </c>
      <c r="Q339" s="26" t="str">
        <f aca="false">TEXT(M339,"MMMM")</f>
        <v>septiembre</v>
      </c>
      <c r="R339" s="21" t="s">
        <v>83</v>
      </c>
      <c r="S339" s="1" t="n">
        <v>7820</v>
      </c>
    </row>
    <row r="340" customFormat="false" ht="14.25" hidden="false" customHeight="false" outlineLevel="0" collapsed="false">
      <c r="A340" s="1" t="n">
        <v>2</v>
      </c>
      <c r="B340" s="1" t="s">
        <v>602</v>
      </c>
      <c r="C340" s="1" t="s">
        <v>20</v>
      </c>
      <c r="D340" s="1" t="s">
        <v>82</v>
      </c>
      <c r="E340" s="2" t="n">
        <v>437430404</v>
      </c>
      <c r="F340" s="21" t="s">
        <v>82</v>
      </c>
      <c r="G340" s="1" t="n">
        <v>437430471</v>
      </c>
      <c r="H340" s="3" t="n">
        <v>2820</v>
      </c>
      <c r="I340" s="26" t="n">
        <v>2100</v>
      </c>
      <c r="K340" s="1" t="n">
        <v>720</v>
      </c>
      <c r="M340" s="5" t="s">
        <v>601</v>
      </c>
      <c r="N340" s="33" t="n">
        <f aca="false">DAY(M340)</f>
        <v>12</v>
      </c>
      <c r="O340" s="33" t="str">
        <f aca="false">TEXT(M340,"DDDD")</f>
        <v>viernes</v>
      </c>
      <c r="P340" s="6" t="n">
        <f aca="false">MONTH(M340)</f>
        <v>9</v>
      </c>
      <c r="Q340" s="26" t="str">
        <f aca="false">TEXT(M340,"MMMM")</f>
        <v>septiembre</v>
      </c>
    </row>
    <row r="341" customFormat="false" ht="14.25" hidden="false" customHeight="false" outlineLevel="0" collapsed="false">
      <c r="A341" s="1" t="n">
        <v>2</v>
      </c>
      <c r="B341" s="1" t="s">
        <v>603</v>
      </c>
      <c r="C341" s="1" t="s">
        <v>20</v>
      </c>
      <c r="D341" s="1" t="s">
        <v>82</v>
      </c>
      <c r="E341" s="2" t="n">
        <v>437430282</v>
      </c>
      <c r="F341" s="21" t="s">
        <v>82</v>
      </c>
      <c r="G341" s="1" t="n">
        <v>437430233</v>
      </c>
      <c r="H341" s="3" t="n">
        <v>3800</v>
      </c>
      <c r="I341" s="26" t="n">
        <v>1800</v>
      </c>
      <c r="K341" s="1" t="n">
        <v>2000</v>
      </c>
      <c r="M341" s="5" t="s">
        <v>601</v>
      </c>
      <c r="N341" s="33" t="n">
        <f aca="false">DAY(M341)</f>
        <v>12</v>
      </c>
      <c r="O341" s="33" t="str">
        <f aca="false">TEXT(M341,"DDDD")</f>
        <v>viernes</v>
      </c>
      <c r="P341" s="6" t="n">
        <f aca="false">MONTH(M341)</f>
        <v>9</v>
      </c>
      <c r="Q341" s="26" t="str">
        <f aca="false">TEXT(M341,"MMMM")</f>
        <v>septiembre</v>
      </c>
      <c r="R341" s="21" t="s">
        <v>83</v>
      </c>
      <c r="S341" s="1" t="n">
        <v>27860</v>
      </c>
    </row>
    <row r="342" customFormat="false" ht="14.25" hidden="false" customHeight="false" outlineLevel="0" collapsed="false">
      <c r="A342" s="1" t="n">
        <v>2</v>
      </c>
      <c r="B342" s="1" t="s">
        <v>604</v>
      </c>
      <c r="C342" s="1" t="s">
        <v>38</v>
      </c>
      <c r="D342" s="1" t="s">
        <v>605</v>
      </c>
      <c r="E342" s="2" t="n">
        <v>437429742</v>
      </c>
      <c r="H342" s="3" t="n">
        <v>1860</v>
      </c>
      <c r="I342" s="26" t="n">
        <v>1200</v>
      </c>
      <c r="K342" s="1" t="n">
        <v>660</v>
      </c>
      <c r="M342" s="5" t="s">
        <v>601</v>
      </c>
      <c r="N342" s="33" t="n">
        <f aca="false">DAY(M342)</f>
        <v>12</v>
      </c>
      <c r="O342" s="33" t="str">
        <f aca="false">TEXT(M342,"DDDD")</f>
        <v>viernes</v>
      </c>
      <c r="P342" s="6" t="n">
        <f aca="false">MONTH(M342)</f>
        <v>9</v>
      </c>
      <c r="Q342" s="26" t="str">
        <f aca="false">TEXT(M342,"MMMM")</f>
        <v>septiembre</v>
      </c>
    </row>
    <row r="343" customFormat="false" ht="14.25" hidden="false" customHeight="false" outlineLevel="0" collapsed="false">
      <c r="A343" s="1" t="n">
        <v>1</v>
      </c>
      <c r="B343" s="1" t="s">
        <v>606</v>
      </c>
      <c r="C343" s="1" t="s">
        <v>20</v>
      </c>
      <c r="D343" s="1" t="s">
        <v>47</v>
      </c>
      <c r="E343" s="2" t="n">
        <v>437428747</v>
      </c>
      <c r="F343" s="21" t="s">
        <v>47</v>
      </c>
      <c r="G343" s="1" t="n">
        <v>437429059</v>
      </c>
      <c r="H343" s="3" t="n">
        <v>4440</v>
      </c>
      <c r="I343" s="26" t="n">
        <v>2100</v>
      </c>
      <c r="K343" s="1" t="n">
        <v>2340</v>
      </c>
      <c r="M343" s="5" t="s">
        <v>601</v>
      </c>
      <c r="N343" s="33" t="n">
        <f aca="false">DAY(M343)</f>
        <v>12</v>
      </c>
      <c r="O343" s="33" t="str">
        <f aca="false">TEXT(M343,"DDDD")</f>
        <v>viernes</v>
      </c>
      <c r="P343" s="6" t="n">
        <f aca="false">MONTH(M343)</f>
        <v>9</v>
      </c>
      <c r="Q343" s="26" t="str">
        <f aca="false">TEXT(M343,"MMMM")</f>
        <v>septiembre</v>
      </c>
    </row>
    <row r="344" customFormat="false" ht="14.25" hidden="false" customHeight="false" outlineLevel="0" collapsed="false">
      <c r="A344" s="1" t="n">
        <v>1</v>
      </c>
      <c r="B344" s="1" t="s">
        <v>607</v>
      </c>
      <c r="C344" s="1" t="s">
        <v>20</v>
      </c>
      <c r="D344" s="1" t="s">
        <v>47</v>
      </c>
      <c r="E344" s="2" t="n">
        <v>437428339</v>
      </c>
      <c r="H344" s="3" t="n">
        <v>1440</v>
      </c>
      <c r="I344" s="26" t="n">
        <v>1200</v>
      </c>
      <c r="K344" s="1" t="n">
        <v>240</v>
      </c>
      <c r="M344" s="5" t="s">
        <v>601</v>
      </c>
      <c r="N344" s="33" t="n">
        <f aca="false">DAY(M344)</f>
        <v>12</v>
      </c>
      <c r="O344" s="33" t="str">
        <f aca="false">TEXT(M344,"DDDD")</f>
        <v>viernes</v>
      </c>
      <c r="P344" s="6" t="n">
        <f aca="false">MONTH(M344)</f>
        <v>9</v>
      </c>
      <c r="Q344" s="26" t="str">
        <f aca="false">TEXT(M344,"MMMM")</f>
        <v>septiembre</v>
      </c>
    </row>
    <row r="345" customFormat="false" ht="14.25" hidden="false" customHeight="false" outlineLevel="0" collapsed="false">
      <c r="A345" s="1" t="n">
        <v>1</v>
      </c>
      <c r="B345" s="1" t="s">
        <v>608</v>
      </c>
      <c r="C345" s="1" t="s">
        <v>20</v>
      </c>
      <c r="D345" s="1" t="s">
        <v>47</v>
      </c>
      <c r="E345" s="2" t="n">
        <v>437426665</v>
      </c>
      <c r="F345" s="21" t="s">
        <v>47</v>
      </c>
      <c r="G345" s="1" t="n">
        <v>437427153</v>
      </c>
      <c r="H345" s="3" t="n">
        <v>3560</v>
      </c>
      <c r="I345" s="26" t="n">
        <v>2100</v>
      </c>
      <c r="K345" s="1" t="n">
        <v>1460</v>
      </c>
      <c r="M345" s="5" t="s">
        <v>601</v>
      </c>
      <c r="N345" s="33" t="n">
        <f aca="false">DAY(M345)</f>
        <v>12</v>
      </c>
      <c r="O345" s="33" t="str">
        <f aca="false">TEXT(M345,"DDDD")</f>
        <v>viernes</v>
      </c>
      <c r="P345" s="6" t="n">
        <f aca="false">MONTH(M345)</f>
        <v>9</v>
      </c>
      <c r="Q345" s="26" t="str">
        <f aca="false">TEXT(M345,"MMMM")</f>
        <v>septiembre</v>
      </c>
    </row>
    <row r="346" customFormat="false" ht="14.25" hidden="false" customHeight="false" outlineLevel="0" collapsed="false">
      <c r="A346" s="1" t="n">
        <v>1</v>
      </c>
      <c r="B346" s="1" t="s">
        <v>492</v>
      </c>
      <c r="C346" s="1" t="s">
        <v>38</v>
      </c>
      <c r="D346" s="1" t="s">
        <v>609</v>
      </c>
      <c r="E346" s="2" t="n">
        <v>437425842</v>
      </c>
      <c r="H346" s="3" t="n">
        <v>1201</v>
      </c>
      <c r="I346" s="26" t="n">
        <v>1200</v>
      </c>
      <c r="K346" s="1" t="n">
        <v>1</v>
      </c>
      <c r="M346" s="5" t="s">
        <v>601</v>
      </c>
      <c r="N346" s="33" t="n">
        <f aca="false">DAY(M346)</f>
        <v>12</v>
      </c>
      <c r="O346" s="33" t="str">
        <f aca="false">TEXT(M346,"DDDD")</f>
        <v>viernes</v>
      </c>
      <c r="P346" s="6" t="n">
        <f aca="false">MONTH(M346)</f>
        <v>9</v>
      </c>
      <c r="Q346" s="26" t="str">
        <f aca="false">TEXT(M346,"MMMM")</f>
        <v>septiembre</v>
      </c>
    </row>
    <row r="347" customFormat="false" ht="14.25" hidden="false" customHeight="false" outlineLevel="0" collapsed="false">
      <c r="A347" s="1" t="n">
        <v>11</v>
      </c>
      <c r="B347" s="1" t="s">
        <v>374</v>
      </c>
      <c r="C347" s="1" t="s">
        <v>20</v>
      </c>
      <c r="D347" s="1" t="s">
        <v>526</v>
      </c>
      <c r="E347" s="2" t="n">
        <v>437783508</v>
      </c>
      <c r="H347" s="3" t="n">
        <v>1900</v>
      </c>
      <c r="I347" s="26" t="n">
        <v>1900</v>
      </c>
      <c r="M347" s="5" t="s">
        <v>610</v>
      </c>
      <c r="N347" s="33" t="n">
        <f aca="false">DAY(M347)</f>
        <v>14</v>
      </c>
      <c r="O347" s="33" t="str">
        <f aca="false">TEXT(M347,"DDDD")</f>
        <v>domingo</v>
      </c>
      <c r="P347" s="6" t="n">
        <f aca="false">MONTH(M347)</f>
        <v>9</v>
      </c>
      <c r="Q347" s="26" t="str">
        <f aca="false">TEXT(M347,"MMMM")</f>
        <v>septiembre</v>
      </c>
    </row>
    <row r="348" customFormat="false" ht="14.25" hidden="false" customHeight="false" outlineLevel="0" collapsed="false">
      <c r="A348" s="1" t="n">
        <v>11</v>
      </c>
      <c r="B348" s="1" t="s">
        <v>611</v>
      </c>
      <c r="C348" s="1" t="s">
        <v>20</v>
      </c>
      <c r="D348" s="1" t="s">
        <v>612</v>
      </c>
      <c r="E348" s="2" t="n">
        <v>437770668</v>
      </c>
      <c r="F348" s="21" t="s">
        <v>613</v>
      </c>
      <c r="G348" s="1" t="n">
        <v>437768927</v>
      </c>
      <c r="H348" s="3" t="n">
        <v>3880</v>
      </c>
      <c r="I348" s="26" t="n">
        <v>3000</v>
      </c>
      <c r="K348" s="1" t="n">
        <v>880</v>
      </c>
      <c r="M348" s="5" t="s">
        <v>610</v>
      </c>
      <c r="N348" s="33" t="n">
        <f aca="false">DAY(M348)</f>
        <v>14</v>
      </c>
      <c r="O348" s="33" t="str">
        <f aca="false">TEXT(M348,"DDDD")</f>
        <v>domingo</v>
      </c>
      <c r="P348" s="6" t="n">
        <f aca="false">MONTH(M348)</f>
        <v>9</v>
      </c>
      <c r="Q348" s="26" t="str">
        <f aca="false">TEXT(M348,"MMMM")</f>
        <v>septiembre</v>
      </c>
    </row>
    <row r="349" customFormat="false" ht="14.25" hidden="false" customHeight="false" outlineLevel="0" collapsed="false">
      <c r="A349" s="1" t="n">
        <v>9</v>
      </c>
      <c r="B349" s="1" t="s">
        <v>264</v>
      </c>
      <c r="C349" s="1" t="s">
        <v>140</v>
      </c>
      <c r="D349" s="1" t="s">
        <v>55</v>
      </c>
      <c r="E349" s="2" t="n">
        <v>437734456</v>
      </c>
      <c r="H349" s="3" t="n">
        <v>2495</v>
      </c>
      <c r="I349" s="26" t="n">
        <v>2250</v>
      </c>
      <c r="K349" s="1" t="n">
        <v>245</v>
      </c>
      <c r="M349" s="5" t="s">
        <v>610</v>
      </c>
      <c r="N349" s="33" t="n">
        <f aca="false">DAY(M349)</f>
        <v>14</v>
      </c>
      <c r="O349" s="33" t="str">
        <f aca="false">TEXT(M349,"DDDD")</f>
        <v>domingo</v>
      </c>
      <c r="P349" s="6" t="n">
        <f aca="false">MONTH(M349)</f>
        <v>9</v>
      </c>
      <c r="Q349" s="26" t="str">
        <f aca="false">TEXT(M349,"MMMM")</f>
        <v>septiembre</v>
      </c>
    </row>
    <row r="350" customFormat="false" ht="14.25" hidden="false" customHeight="false" outlineLevel="0" collapsed="false">
      <c r="A350" s="1" t="n">
        <v>8</v>
      </c>
      <c r="B350" s="1" t="s">
        <v>614</v>
      </c>
      <c r="C350" s="1" t="s">
        <v>38</v>
      </c>
      <c r="D350" s="1" t="s">
        <v>615</v>
      </c>
      <c r="E350" s="2" t="n">
        <v>437727994</v>
      </c>
      <c r="H350" s="3" t="n">
        <v>2050</v>
      </c>
      <c r="I350" s="26" t="n">
        <v>1450</v>
      </c>
      <c r="K350" s="1" t="n">
        <v>600</v>
      </c>
      <c r="M350" s="5" t="s">
        <v>610</v>
      </c>
      <c r="N350" s="33" t="n">
        <f aca="false">DAY(M350)</f>
        <v>14</v>
      </c>
      <c r="O350" s="33" t="str">
        <f aca="false">TEXT(M350,"DDDD")</f>
        <v>domingo</v>
      </c>
      <c r="P350" s="6" t="n">
        <f aca="false">MONTH(M350)</f>
        <v>9</v>
      </c>
      <c r="Q350" s="26" t="str">
        <f aca="false">TEXT(M350,"MMMM")</f>
        <v>septiembre</v>
      </c>
    </row>
    <row r="351" customFormat="false" ht="14.25" hidden="false" customHeight="false" outlineLevel="0" collapsed="false">
      <c r="A351" s="1" t="n">
        <v>8</v>
      </c>
      <c r="B351" s="1" t="s">
        <v>616</v>
      </c>
      <c r="C351" s="1" t="s">
        <v>20</v>
      </c>
      <c r="D351" s="1" t="s">
        <v>617</v>
      </c>
      <c r="E351" s="2" t="n">
        <v>437723634</v>
      </c>
      <c r="H351" s="3" t="n">
        <v>1660</v>
      </c>
      <c r="I351" s="26" t="n">
        <v>1200</v>
      </c>
      <c r="K351" s="1" t="n">
        <v>460</v>
      </c>
      <c r="M351" s="5" t="s">
        <v>610</v>
      </c>
      <c r="N351" s="33" t="n">
        <f aca="false">DAY(M351)</f>
        <v>14</v>
      </c>
      <c r="O351" s="33" t="str">
        <f aca="false">TEXT(M351,"DDDD")</f>
        <v>domingo</v>
      </c>
      <c r="P351" s="6" t="n">
        <f aca="false">MONTH(M351)</f>
        <v>9</v>
      </c>
      <c r="Q351" s="26" t="str">
        <f aca="false">TEXT(M351,"MMMM")</f>
        <v>septiembre</v>
      </c>
    </row>
    <row r="352" customFormat="false" ht="14.25" hidden="false" customHeight="false" outlineLevel="0" collapsed="false">
      <c r="A352" s="1" t="n">
        <v>8</v>
      </c>
      <c r="B352" s="1" t="s">
        <v>618</v>
      </c>
      <c r="C352" s="1" t="s">
        <v>38</v>
      </c>
      <c r="D352" s="1" t="s">
        <v>619</v>
      </c>
      <c r="E352" s="2" t="n">
        <v>437718748</v>
      </c>
      <c r="H352" s="3" t="n">
        <v>3350</v>
      </c>
      <c r="I352" s="26" t="n">
        <v>2350</v>
      </c>
      <c r="K352" s="1" t="n">
        <v>1000</v>
      </c>
      <c r="M352" s="5" t="s">
        <v>610</v>
      </c>
      <c r="N352" s="33" t="n">
        <f aca="false">DAY(M352)</f>
        <v>14</v>
      </c>
      <c r="O352" s="33" t="str">
        <f aca="false">TEXT(M352,"DDDD")</f>
        <v>domingo</v>
      </c>
      <c r="P352" s="6" t="n">
        <f aca="false">MONTH(M352)</f>
        <v>9</v>
      </c>
      <c r="Q352" s="26" t="str">
        <f aca="false">TEXT(M352,"MMMM")</f>
        <v>septiembre</v>
      </c>
    </row>
    <row r="353" customFormat="false" ht="14.25" hidden="false" customHeight="false" outlineLevel="0" collapsed="false">
      <c r="A353" s="1" t="n">
        <v>7</v>
      </c>
      <c r="B353" s="1" t="s">
        <v>620</v>
      </c>
      <c r="C353" s="1" t="s">
        <v>20</v>
      </c>
      <c r="D353" s="1" t="s">
        <v>621</v>
      </c>
      <c r="E353" s="2" t="n">
        <v>437710499</v>
      </c>
      <c r="H353" s="3" t="n">
        <v>1760</v>
      </c>
      <c r="I353" s="26" t="n">
        <v>1200</v>
      </c>
      <c r="K353" s="1" t="n">
        <v>560</v>
      </c>
      <c r="M353" s="5" t="s">
        <v>610</v>
      </c>
      <c r="N353" s="33" t="n">
        <f aca="false">DAY(M353)</f>
        <v>14</v>
      </c>
      <c r="O353" s="33" t="str">
        <f aca="false">TEXT(M353,"DDDD")</f>
        <v>domingo</v>
      </c>
      <c r="P353" s="6" t="n">
        <f aca="false">MONTH(M353)</f>
        <v>9</v>
      </c>
      <c r="Q353" s="26" t="str">
        <f aca="false">TEXT(M353,"MMMM")</f>
        <v>septiembre</v>
      </c>
    </row>
    <row r="354" customFormat="false" ht="14.25" hidden="false" customHeight="false" outlineLevel="0" collapsed="false">
      <c r="A354" s="1" t="n">
        <v>7</v>
      </c>
      <c r="B354" s="1" t="s">
        <v>622</v>
      </c>
      <c r="C354" s="1" t="s">
        <v>20</v>
      </c>
      <c r="D354" s="1" t="s">
        <v>623</v>
      </c>
      <c r="E354" s="2" t="n">
        <v>437706294</v>
      </c>
      <c r="H354" s="3" t="n">
        <v>2200</v>
      </c>
      <c r="I354" s="26" t="n">
        <v>1400</v>
      </c>
      <c r="K354" s="1" t="n">
        <v>800</v>
      </c>
      <c r="M354" s="5" t="s">
        <v>610</v>
      </c>
      <c r="N354" s="33" t="n">
        <f aca="false">DAY(M354)</f>
        <v>14</v>
      </c>
      <c r="O354" s="33" t="str">
        <f aca="false">TEXT(M354,"DDDD")</f>
        <v>domingo</v>
      </c>
      <c r="P354" s="6" t="n">
        <f aca="false">MONTH(M354)</f>
        <v>9</v>
      </c>
      <c r="Q354" s="26" t="str">
        <f aca="false">TEXT(M354,"MMMM")</f>
        <v>septiembre</v>
      </c>
      <c r="R354" s="21" t="s">
        <v>83</v>
      </c>
      <c r="S354" s="1" t="n">
        <v>12942</v>
      </c>
    </row>
    <row r="355" customFormat="false" ht="14.25" hidden="false" customHeight="false" outlineLevel="0" collapsed="false">
      <c r="A355" s="1" t="n">
        <v>7</v>
      </c>
      <c r="B355" s="1" t="s">
        <v>624</v>
      </c>
      <c r="C355" s="1" t="s">
        <v>38</v>
      </c>
      <c r="D355" s="1" t="s">
        <v>625</v>
      </c>
      <c r="E355" s="2" t="n">
        <v>437703415</v>
      </c>
      <c r="H355" s="3" t="n">
        <v>1200</v>
      </c>
      <c r="I355" s="26" t="n">
        <v>1200</v>
      </c>
      <c r="M355" s="5" t="s">
        <v>610</v>
      </c>
      <c r="N355" s="33" t="n">
        <f aca="false">DAY(M355)</f>
        <v>14</v>
      </c>
      <c r="O355" s="33" t="str">
        <f aca="false">TEXT(M355,"DDDD")</f>
        <v>domingo</v>
      </c>
      <c r="P355" s="6" t="n">
        <f aca="false">MONTH(M355)</f>
        <v>9</v>
      </c>
      <c r="Q355" s="26" t="str">
        <f aca="false">TEXT(M355,"MMMM")</f>
        <v>septiembre</v>
      </c>
    </row>
    <row r="356" customFormat="false" ht="14.25" hidden="false" customHeight="false" outlineLevel="0" collapsed="false">
      <c r="A356" s="1" t="n">
        <v>6</v>
      </c>
      <c r="B356" s="1" t="s">
        <v>626</v>
      </c>
      <c r="C356" s="1" t="s">
        <v>20</v>
      </c>
      <c r="D356" s="1" t="s">
        <v>627</v>
      </c>
      <c r="E356" s="2" t="n">
        <v>437699659</v>
      </c>
      <c r="H356" s="3" t="n">
        <v>2910</v>
      </c>
      <c r="I356" s="26" t="n">
        <v>1450</v>
      </c>
      <c r="K356" s="1" t="n">
        <v>1460</v>
      </c>
      <c r="M356" s="5" t="s">
        <v>610</v>
      </c>
      <c r="N356" s="33" t="n">
        <f aca="false">DAY(M356)</f>
        <v>14</v>
      </c>
      <c r="O356" s="33" t="str">
        <f aca="false">TEXT(M356,"DDDD")</f>
        <v>domingo</v>
      </c>
      <c r="P356" s="6" t="n">
        <f aca="false">MONTH(M356)</f>
        <v>9</v>
      </c>
      <c r="Q356" s="26" t="str">
        <f aca="false">TEXT(M356,"MMMM")</f>
        <v>septiembre</v>
      </c>
    </row>
    <row r="357" customFormat="false" ht="14.25" hidden="false" customHeight="false" outlineLevel="0" collapsed="false">
      <c r="A357" s="1" t="n">
        <v>6</v>
      </c>
      <c r="B357" s="1" t="s">
        <v>628</v>
      </c>
      <c r="C357" s="1" t="s">
        <v>38</v>
      </c>
      <c r="D357" s="1" t="s">
        <v>500</v>
      </c>
      <c r="E357" s="2" t="n">
        <v>437696739</v>
      </c>
      <c r="H357" s="3" t="n">
        <v>4650</v>
      </c>
      <c r="I357" s="26" t="n">
        <v>4450</v>
      </c>
      <c r="K357" s="1" t="n">
        <v>200</v>
      </c>
      <c r="M357" s="5" t="s">
        <v>610</v>
      </c>
      <c r="N357" s="33" t="n">
        <f aca="false">DAY(M357)</f>
        <v>14</v>
      </c>
      <c r="O357" s="33" t="str">
        <f aca="false">TEXT(M357,"DDDD")</f>
        <v>domingo</v>
      </c>
      <c r="P357" s="6" t="n">
        <f aca="false">MONTH(M357)</f>
        <v>9</v>
      </c>
      <c r="Q357" s="26" t="str">
        <f aca="false">TEXT(M357,"MMMM")</f>
        <v>septiembre</v>
      </c>
    </row>
    <row r="358" customFormat="false" ht="14.25" hidden="false" customHeight="false" outlineLevel="0" collapsed="false">
      <c r="A358" s="1" t="n">
        <v>6</v>
      </c>
      <c r="B358" s="1" t="s">
        <v>629</v>
      </c>
      <c r="C358" s="1" t="s">
        <v>20</v>
      </c>
      <c r="D358" s="1" t="s">
        <v>630</v>
      </c>
      <c r="E358" s="2" t="n">
        <v>437696548</v>
      </c>
      <c r="H358" s="3" t="n">
        <v>2140</v>
      </c>
      <c r="I358" s="26" t="n">
        <v>1200</v>
      </c>
      <c r="K358" s="1" t="n">
        <v>940</v>
      </c>
      <c r="M358" s="5" t="s">
        <v>610</v>
      </c>
      <c r="N358" s="33" t="n">
        <f aca="false">DAY(M358)</f>
        <v>14</v>
      </c>
      <c r="O358" s="33" t="str">
        <f aca="false">TEXT(M358,"DDDD")</f>
        <v>domingo</v>
      </c>
      <c r="P358" s="6" t="n">
        <f aca="false">MONTH(M358)</f>
        <v>9</v>
      </c>
      <c r="Q358" s="26" t="str">
        <f aca="false">TEXT(M358,"MMMM")</f>
        <v>septiembre</v>
      </c>
    </row>
    <row r="359" customFormat="false" ht="14.25" hidden="false" customHeight="false" outlineLevel="0" collapsed="false">
      <c r="A359" s="1" t="n">
        <v>5</v>
      </c>
      <c r="B359" s="1" t="s">
        <v>631</v>
      </c>
      <c r="C359" s="1" t="s">
        <v>20</v>
      </c>
      <c r="D359" s="1" t="s">
        <v>632</v>
      </c>
      <c r="E359" s="2" t="n">
        <v>437695494</v>
      </c>
      <c r="H359" s="3" t="n">
        <v>2720</v>
      </c>
      <c r="I359" s="26" t="n">
        <v>1200</v>
      </c>
      <c r="K359" s="1" t="n">
        <v>1520</v>
      </c>
      <c r="M359" s="5" t="s">
        <v>610</v>
      </c>
      <c r="N359" s="33" t="n">
        <f aca="false">DAY(M359)</f>
        <v>14</v>
      </c>
      <c r="O359" s="33" t="str">
        <f aca="false">TEXT(M359,"DDDD")</f>
        <v>domingo</v>
      </c>
      <c r="P359" s="6" t="n">
        <f aca="false">MONTH(M359)</f>
        <v>9</v>
      </c>
      <c r="Q359" s="26" t="str">
        <f aca="false">TEXT(M359,"MMMM")</f>
        <v>septiembre</v>
      </c>
    </row>
    <row r="360" customFormat="false" ht="14.25" hidden="false" customHeight="false" outlineLevel="0" collapsed="false">
      <c r="A360" s="1" t="n">
        <v>1</v>
      </c>
      <c r="B360" s="1" t="s">
        <v>633</v>
      </c>
      <c r="C360" s="1" t="s">
        <v>20</v>
      </c>
      <c r="D360" s="1" t="s">
        <v>76</v>
      </c>
      <c r="E360" s="2" t="n">
        <v>437787456</v>
      </c>
      <c r="H360" s="3" t="n">
        <v>2780</v>
      </c>
      <c r="I360" s="26" t="n">
        <v>1200</v>
      </c>
      <c r="K360" s="1" t="n">
        <v>1580</v>
      </c>
      <c r="M360" s="5" t="n">
        <v>45915</v>
      </c>
      <c r="N360" s="33" t="n">
        <f aca="false">DAY(M360)</f>
        <v>15</v>
      </c>
      <c r="O360" s="33" t="str">
        <f aca="false">TEXT(M360,"DDDD")</f>
        <v>lunes</v>
      </c>
      <c r="P360" s="6" t="n">
        <f aca="false">MONTH(M360)</f>
        <v>9</v>
      </c>
      <c r="Q360" s="26" t="str">
        <f aca="false">TEXT(M360,"MMMM")</f>
        <v>septiembre</v>
      </c>
      <c r="R360" s="21" t="s">
        <v>83</v>
      </c>
      <c r="S360" s="1" t="n">
        <v>35379</v>
      </c>
    </row>
    <row r="361" customFormat="false" ht="14.25" hidden="false" customHeight="false" outlineLevel="0" collapsed="false">
      <c r="A361" s="1" t="n">
        <v>7</v>
      </c>
      <c r="B361" s="1" t="s">
        <v>634</v>
      </c>
      <c r="C361" s="1" t="s">
        <v>20</v>
      </c>
      <c r="D361" s="1" t="s">
        <v>635</v>
      </c>
      <c r="E361" s="2" t="n">
        <v>437925759</v>
      </c>
      <c r="H361" s="3" t="n">
        <v>2580</v>
      </c>
      <c r="I361" s="26" t="n">
        <v>1200</v>
      </c>
      <c r="K361" s="1" t="n">
        <v>1380</v>
      </c>
      <c r="M361" s="5" t="s">
        <v>636</v>
      </c>
      <c r="N361" s="33" t="n">
        <f aca="false">DAY(M361)</f>
        <v>16</v>
      </c>
      <c r="O361" s="33" t="str">
        <f aca="false">TEXT(M361,"DDDD")</f>
        <v>martes</v>
      </c>
      <c r="P361" s="6" t="n">
        <f aca="false">MONTH(M361)</f>
        <v>9</v>
      </c>
      <c r="Q361" s="26" t="str">
        <f aca="false">TEXT(M361,"MMMM")</f>
        <v>septiembre</v>
      </c>
    </row>
    <row r="362" customFormat="false" ht="14.25" hidden="false" customHeight="false" outlineLevel="0" collapsed="false">
      <c r="A362" s="1" t="n">
        <v>7</v>
      </c>
      <c r="B362" s="1" t="s">
        <v>637</v>
      </c>
      <c r="C362" s="1" t="s">
        <v>20</v>
      </c>
      <c r="D362" s="1" t="s">
        <v>638</v>
      </c>
      <c r="E362" s="2" t="n">
        <v>437922121</v>
      </c>
      <c r="H362" s="3" t="n">
        <v>1950</v>
      </c>
      <c r="I362" s="26" t="n">
        <v>1200</v>
      </c>
      <c r="K362" s="1" t="n">
        <v>750</v>
      </c>
      <c r="M362" s="5" t="s">
        <v>636</v>
      </c>
      <c r="N362" s="33" t="n">
        <f aca="false">DAY(M362)</f>
        <v>16</v>
      </c>
      <c r="O362" s="33" t="str">
        <f aca="false">TEXT(M362,"DDDD")</f>
        <v>martes</v>
      </c>
      <c r="P362" s="6" t="n">
        <f aca="false">MONTH(M362)</f>
        <v>9</v>
      </c>
      <c r="Q362" s="26" t="str">
        <f aca="false">TEXT(M362,"MMMM")</f>
        <v>septiembre</v>
      </c>
    </row>
    <row r="363" customFormat="false" ht="14.25" hidden="false" customHeight="false" outlineLevel="0" collapsed="false">
      <c r="A363" s="1" t="n">
        <v>7</v>
      </c>
      <c r="B363" s="1" t="s">
        <v>639</v>
      </c>
      <c r="C363" s="1" t="s">
        <v>140</v>
      </c>
      <c r="D363" s="1" t="s">
        <v>55</v>
      </c>
      <c r="E363" s="2" t="n">
        <v>437918891</v>
      </c>
      <c r="H363" s="3" t="n">
        <v>1300</v>
      </c>
      <c r="I363" s="26" t="n">
        <v>1200</v>
      </c>
      <c r="K363" s="1" t="n">
        <v>100</v>
      </c>
      <c r="M363" s="5" t="s">
        <v>636</v>
      </c>
      <c r="N363" s="33" t="n">
        <f aca="false">DAY(M363)</f>
        <v>16</v>
      </c>
      <c r="O363" s="33" t="str">
        <f aca="false">TEXT(M363,"DDDD")</f>
        <v>martes</v>
      </c>
      <c r="P363" s="6" t="n">
        <f aca="false">MONTH(M363)</f>
        <v>9</v>
      </c>
      <c r="Q363" s="26" t="str">
        <f aca="false">TEXT(M363,"MMMM")</f>
        <v>septiembre</v>
      </c>
    </row>
    <row r="364" customFormat="false" ht="14.25" hidden="false" customHeight="false" outlineLevel="0" collapsed="false">
      <c r="A364" s="1" t="n">
        <v>6</v>
      </c>
      <c r="B364" s="1" t="s">
        <v>640</v>
      </c>
      <c r="C364" s="1" t="s">
        <v>20</v>
      </c>
      <c r="D364" s="1" t="s">
        <v>641</v>
      </c>
      <c r="E364" s="2" t="n">
        <v>437915240</v>
      </c>
      <c r="H364" s="3" t="n">
        <v>1580</v>
      </c>
      <c r="I364" s="26" t="n">
        <v>1200</v>
      </c>
      <c r="K364" s="1" t="n">
        <v>380</v>
      </c>
      <c r="M364" s="5" t="s">
        <v>636</v>
      </c>
      <c r="N364" s="33" t="n">
        <f aca="false">DAY(M364)</f>
        <v>16</v>
      </c>
      <c r="O364" s="33" t="str">
        <f aca="false">TEXT(M364,"DDDD")</f>
        <v>martes</v>
      </c>
      <c r="P364" s="6" t="n">
        <f aca="false">MONTH(M364)</f>
        <v>9</v>
      </c>
      <c r="Q364" s="26" t="str">
        <f aca="false">TEXT(M364,"MMMM")</f>
        <v>septiembre</v>
      </c>
    </row>
    <row r="365" customFormat="false" ht="14.25" hidden="false" customHeight="false" outlineLevel="0" collapsed="false">
      <c r="A365" s="1" t="n">
        <v>6</v>
      </c>
      <c r="B365" s="1" t="s">
        <v>642</v>
      </c>
      <c r="C365" s="1" t="s">
        <v>38</v>
      </c>
      <c r="D365" s="1" t="s">
        <v>497</v>
      </c>
      <c r="E365" s="2" t="n">
        <v>437912513</v>
      </c>
      <c r="H365" s="3" t="n">
        <v>3410</v>
      </c>
      <c r="I365" s="26" t="n">
        <v>1850</v>
      </c>
      <c r="K365" s="1" t="n">
        <v>1560</v>
      </c>
      <c r="M365" s="5" t="s">
        <v>636</v>
      </c>
      <c r="N365" s="33" t="n">
        <f aca="false">DAY(M365)</f>
        <v>16</v>
      </c>
      <c r="O365" s="33" t="str">
        <f aca="false">TEXT(M365,"DDDD")</f>
        <v>martes</v>
      </c>
      <c r="P365" s="6" t="n">
        <f aca="false">MONTH(M365)</f>
        <v>9</v>
      </c>
      <c r="Q365" s="26" t="str">
        <f aca="false">TEXT(M365,"MMMM")</f>
        <v>septiembre</v>
      </c>
    </row>
    <row r="366" customFormat="false" ht="14.25" hidden="false" customHeight="false" outlineLevel="0" collapsed="false">
      <c r="A366" s="1" t="n">
        <v>6</v>
      </c>
      <c r="B366" s="1" t="s">
        <v>643</v>
      </c>
      <c r="C366" s="1" t="s">
        <v>140</v>
      </c>
      <c r="D366" s="1" t="s">
        <v>49</v>
      </c>
      <c r="E366" s="2" t="n">
        <v>437912311</v>
      </c>
      <c r="H366" s="3" t="n">
        <v>1445</v>
      </c>
      <c r="I366" s="26" t="n">
        <v>1200</v>
      </c>
      <c r="K366" s="1" t="n">
        <v>245</v>
      </c>
      <c r="M366" s="5" t="s">
        <v>636</v>
      </c>
      <c r="N366" s="33" t="n">
        <f aca="false">DAY(M366)</f>
        <v>16</v>
      </c>
      <c r="O366" s="33" t="str">
        <f aca="false">TEXT(M366,"DDDD")</f>
        <v>martes</v>
      </c>
      <c r="P366" s="6" t="n">
        <f aca="false">MONTH(M366)</f>
        <v>9</v>
      </c>
      <c r="Q366" s="26" t="str">
        <f aca="false">TEXT(M366,"MMMM")</f>
        <v>septiembre</v>
      </c>
    </row>
    <row r="367" customFormat="false" ht="14.25" hidden="false" customHeight="false" outlineLevel="0" collapsed="false">
      <c r="A367" s="1" t="n">
        <v>6</v>
      </c>
      <c r="B367" s="1" t="s">
        <v>644</v>
      </c>
      <c r="C367" s="1" t="s">
        <v>20</v>
      </c>
      <c r="D367" s="1" t="s">
        <v>474</v>
      </c>
      <c r="E367" s="2" t="n">
        <v>437911356</v>
      </c>
      <c r="H367" s="3" t="n">
        <v>1940</v>
      </c>
      <c r="I367" s="26" t="n">
        <v>1200</v>
      </c>
      <c r="K367" s="1" t="n">
        <v>740</v>
      </c>
      <c r="M367" s="5" t="s">
        <v>636</v>
      </c>
      <c r="N367" s="33" t="n">
        <f aca="false">DAY(M367)</f>
        <v>16</v>
      </c>
      <c r="O367" s="33" t="str">
        <f aca="false">TEXT(M367,"DDDD")</f>
        <v>martes</v>
      </c>
      <c r="P367" s="6" t="n">
        <f aca="false">MONTH(M367)</f>
        <v>9</v>
      </c>
      <c r="Q367" s="26" t="str">
        <f aca="false">TEXT(M367,"MMMM")</f>
        <v>septiembre</v>
      </c>
    </row>
    <row r="368" customFormat="false" ht="14.25" hidden="false" customHeight="false" outlineLevel="0" collapsed="false">
      <c r="A368" s="1" t="n">
        <v>5</v>
      </c>
      <c r="B368" s="1" t="s">
        <v>645</v>
      </c>
      <c r="C368" s="1" t="s">
        <v>20</v>
      </c>
      <c r="D368" s="1" t="s">
        <v>646</v>
      </c>
      <c r="E368" s="2" t="n">
        <v>437910727</v>
      </c>
      <c r="H368" s="3" t="n">
        <v>1450</v>
      </c>
      <c r="I368" s="26" t="n">
        <v>1200</v>
      </c>
      <c r="K368" s="1" t="n">
        <v>250</v>
      </c>
      <c r="M368" s="5" t="s">
        <v>636</v>
      </c>
      <c r="N368" s="33" t="n">
        <f aca="false">DAY(M368)</f>
        <v>16</v>
      </c>
      <c r="O368" s="33" t="str">
        <f aca="false">TEXT(M368,"DDDD")</f>
        <v>martes</v>
      </c>
      <c r="P368" s="6" t="n">
        <f aca="false">MONTH(M368)</f>
        <v>9</v>
      </c>
      <c r="Q368" s="26" t="str">
        <f aca="false">TEXT(M368,"MMMM")</f>
        <v>septiembre</v>
      </c>
    </row>
    <row r="369" customFormat="false" ht="14.25" hidden="false" customHeight="false" outlineLevel="0" collapsed="false">
      <c r="A369" s="1" t="n">
        <v>5</v>
      </c>
      <c r="B369" s="1" t="s">
        <v>647</v>
      </c>
      <c r="C369" s="1" t="s">
        <v>20</v>
      </c>
      <c r="D369" s="1" t="s">
        <v>648</v>
      </c>
      <c r="E369" s="2" t="n">
        <v>437910100</v>
      </c>
      <c r="H369" s="3" t="n">
        <v>1620</v>
      </c>
      <c r="I369" s="26" t="n">
        <v>1200</v>
      </c>
      <c r="K369" s="1" t="n">
        <v>420</v>
      </c>
      <c r="M369" s="5" t="s">
        <v>636</v>
      </c>
      <c r="N369" s="33" t="n">
        <f aca="false">DAY(M369)</f>
        <v>16</v>
      </c>
      <c r="O369" s="33" t="str">
        <f aca="false">TEXT(M369,"DDDD")</f>
        <v>martes</v>
      </c>
      <c r="P369" s="6" t="n">
        <f aca="false">MONTH(M369)</f>
        <v>9</v>
      </c>
      <c r="Q369" s="26" t="str">
        <f aca="false">TEXT(M369,"MMMM")</f>
        <v>septiembre</v>
      </c>
    </row>
    <row r="370" customFormat="false" ht="14.25" hidden="false" customHeight="false" outlineLevel="0" collapsed="false">
      <c r="A370" s="1" t="n">
        <v>5</v>
      </c>
      <c r="B370" s="1" t="s">
        <v>649</v>
      </c>
      <c r="C370" s="1" t="s">
        <v>38</v>
      </c>
      <c r="D370" s="1" t="s">
        <v>650</v>
      </c>
      <c r="E370" s="2" t="n">
        <v>437909464</v>
      </c>
      <c r="H370" s="3" t="n">
        <v>1950</v>
      </c>
      <c r="I370" s="26" t="n">
        <v>1200</v>
      </c>
      <c r="K370" s="1" t="n">
        <v>750</v>
      </c>
      <c r="M370" s="5" t="s">
        <v>636</v>
      </c>
      <c r="N370" s="33" t="n">
        <f aca="false">DAY(M370)</f>
        <v>16</v>
      </c>
      <c r="O370" s="33" t="str">
        <f aca="false">TEXT(M370,"DDDD")</f>
        <v>martes</v>
      </c>
      <c r="P370" s="6" t="n">
        <f aca="false">MONTH(M370)</f>
        <v>9</v>
      </c>
      <c r="Q370" s="26" t="str">
        <f aca="false">TEXT(M370,"MMMM")</f>
        <v>septiembre</v>
      </c>
    </row>
    <row r="371" customFormat="false" ht="14.25" hidden="false" customHeight="false" outlineLevel="0" collapsed="false">
      <c r="A371" s="1" t="n">
        <v>5</v>
      </c>
      <c r="B371" s="1" t="s">
        <v>651</v>
      </c>
      <c r="C371" s="1" t="s">
        <v>20</v>
      </c>
      <c r="D371" s="1" t="s">
        <v>652</v>
      </c>
      <c r="E371" s="2" t="n">
        <v>437909008</v>
      </c>
      <c r="H371" s="3" t="n">
        <v>1200</v>
      </c>
      <c r="I371" s="26" t="n">
        <v>1200</v>
      </c>
      <c r="M371" s="5" t="s">
        <v>636</v>
      </c>
      <c r="N371" s="33" t="n">
        <f aca="false">DAY(M371)</f>
        <v>16</v>
      </c>
      <c r="O371" s="33" t="str">
        <f aca="false">TEXT(M371,"DDDD")</f>
        <v>martes</v>
      </c>
      <c r="P371" s="6" t="n">
        <f aca="false">MONTH(M371)</f>
        <v>9</v>
      </c>
      <c r="Q371" s="26" t="str">
        <f aca="false">TEXT(M371,"MMMM")</f>
        <v>septiembre</v>
      </c>
    </row>
    <row r="372" customFormat="false" ht="14.25" hidden="false" customHeight="false" outlineLevel="0" collapsed="false">
      <c r="A372" s="1" t="n">
        <v>5</v>
      </c>
      <c r="B372" s="1" t="s">
        <v>653</v>
      </c>
      <c r="C372" s="1" t="s">
        <v>38</v>
      </c>
      <c r="D372" s="1" t="s">
        <v>512</v>
      </c>
      <c r="E372" s="2" t="n">
        <v>437908173</v>
      </c>
      <c r="H372" s="3" t="n">
        <v>2250</v>
      </c>
      <c r="I372" s="26" t="n">
        <v>2000</v>
      </c>
      <c r="K372" s="1" t="n">
        <v>250</v>
      </c>
      <c r="M372" s="5" t="s">
        <v>636</v>
      </c>
      <c r="N372" s="33" t="n">
        <f aca="false">DAY(M372)</f>
        <v>16</v>
      </c>
      <c r="O372" s="33" t="str">
        <f aca="false">TEXT(M372,"DDDD")</f>
        <v>martes</v>
      </c>
      <c r="P372" s="6" t="n">
        <f aca="false">MONTH(M372)</f>
        <v>9</v>
      </c>
      <c r="Q372" s="26" t="str">
        <f aca="false">TEXT(M372,"MMMM")</f>
        <v>septiembre</v>
      </c>
    </row>
    <row r="373" customFormat="false" ht="14.25" hidden="false" customHeight="false" outlineLevel="0" collapsed="false">
      <c r="A373" s="1" t="n">
        <v>5</v>
      </c>
      <c r="B373" s="1" t="s">
        <v>654</v>
      </c>
      <c r="C373" s="1" t="s">
        <v>20</v>
      </c>
      <c r="D373" s="1" t="s">
        <v>655</v>
      </c>
      <c r="E373" s="2" t="n">
        <v>437908156</v>
      </c>
      <c r="H373" s="3" t="n">
        <v>2140</v>
      </c>
      <c r="I373" s="26" t="n">
        <v>1200</v>
      </c>
      <c r="K373" s="1" t="n">
        <v>940</v>
      </c>
      <c r="M373" s="5" t="s">
        <v>636</v>
      </c>
      <c r="N373" s="33" t="n">
        <f aca="false">DAY(M373)</f>
        <v>16</v>
      </c>
      <c r="O373" s="33" t="str">
        <f aca="false">TEXT(M373,"DDDD")</f>
        <v>martes</v>
      </c>
      <c r="P373" s="6" t="n">
        <f aca="false">MONTH(M373)</f>
        <v>9</v>
      </c>
      <c r="Q373" s="26" t="str">
        <f aca="false">TEXT(M373,"MMMM")</f>
        <v>septiembre</v>
      </c>
    </row>
    <row r="374" customFormat="false" ht="14.25" hidden="false" customHeight="false" outlineLevel="0" collapsed="false">
      <c r="A374" s="1" t="n">
        <v>4</v>
      </c>
      <c r="B374" s="1" t="s">
        <v>656</v>
      </c>
      <c r="C374" s="1" t="s">
        <v>20</v>
      </c>
      <c r="D374" s="1" t="s">
        <v>657</v>
      </c>
      <c r="E374" s="2" t="n">
        <v>437908021</v>
      </c>
      <c r="H374" s="3" t="n">
        <v>1480</v>
      </c>
      <c r="I374" s="26" t="n">
        <v>1200</v>
      </c>
      <c r="K374" s="1" t="n">
        <v>280</v>
      </c>
      <c r="M374" s="5" t="s">
        <v>636</v>
      </c>
      <c r="N374" s="33" t="n">
        <f aca="false">DAY(M374)</f>
        <v>16</v>
      </c>
      <c r="O374" s="33" t="str">
        <f aca="false">TEXT(M374,"DDDD")</f>
        <v>martes</v>
      </c>
      <c r="P374" s="6" t="n">
        <f aca="false">MONTH(M374)</f>
        <v>9</v>
      </c>
      <c r="Q374" s="26" t="str">
        <f aca="false">TEXT(M374,"MMMM")</f>
        <v>septiembre</v>
      </c>
    </row>
    <row r="375" customFormat="false" ht="14.25" hidden="false" customHeight="false" outlineLevel="0" collapsed="false">
      <c r="A375" s="1" t="n">
        <v>5</v>
      </c>
      <c r="B375" s="1" t="s">
        <v>658</v>
      </c>
      <c r="C375" s="1" t="s">
        <v>20</v>
      </c>
      <c r="D375" s="1" t="s">
        <v>659</v>
      </c>
      <c r="E375" s="2" t="n">
        <v>438003874</v>
      </c>
      <c r="H375" s="3" t="n">
        <v>1620</v>
      </c>
      <c r="I375" s="26" t="n">
        <v>1200</v>
      </c>
      <c r="K375" s="1" t="n">
        <v>420</v>
      </c>
      <c r="M375" s="5" t="n">
        <v>45917</v>
      </c>
      <c r="N375" s="33" t="n">
        <f aca="false">DAY(M375)</f>
        <v>17</v>
      </c>
      <c r="O375" s="33" t="str">
        <f aca="false">TEXT(M375,"DDDD")</f>
        <v>miércoles</v>
      </c>
      <c r="P375" s="6" t="n">
        <f aca="false">MONTH(M375)</f>
        <v>9</v>
      </c>
      <c r="Q375" s="26" t="str">
        <f aca="false">TEXT(M375,"MMMM")</f>
        <v>septiembre</v>
      </c>
    </row>
    <row r="376" customFormat="false" ht="14.25" hidden="false" customHeight="false" outlineLevel="0" collapsed="false">
      <c r="A376" s="1" t="n">
        <v>6</v>
      </c>
      <c r="B376" s="1" t="s">
        <v>660</v>
      </c>
      <c r="C376" s="1" t="s">
        <v>38</v>
      </c>
      <c r="D376" s="1" t="s">
        <v>661</v>
      </c>
      <c r="E376" s="2" t="n">
        <v>437979864</v>
      </c>
      <c r="F376" s="21" t="s">
        <v>65</v>
      </c>
      <c r="G376" s="1" t="n">
        <v>438008708</v>
      </c>
      <c r="H376" s="3" t="n">
        <v>14500</v>
      </c>
      <c r="I376" s="26" t="n">
        <v>3950</v>
      </c>
      <c r="K376" s="1" t="n">
        <v>10550</v>
      </c>
      <c r="M376" s="5" t="s">
        <v>662</v>
      </c>
      <c r="N376" s="33" t="n">
        <f aca="false">DAY(M376)</f>
        <v>17</v>
      </c>
      <c r="O376" s="33" t="str">
        <f aca="false">TEXT(M376,"DDDD")</f>
        <v>miércoles</v>
      </c>
      <c r="P376" s="6" t="n">
        <f aca="false">MONTH(M376)</f>
        <v>9</v>
      </c>
      <c r="Q376" s="26" t="str">
        <f aca="false">TEXT(M376,"MMMM")</f>
        <v>septiembre</v>
      </c>
    </row>
    <row r="377" customFormat="false" ht="14.25" hidden="false" customHeight="false" outlineLevel="0" collapsed="false">
      <c r="A377" s="1" t="n">
        <v>6</v>
      </c>
      <c r="B377" s="1" t="s">
        <v>663</v>
      </c>
      <c r="C377" s="1" t="s">
        <v>20</v>
      </c>
      <c r="D377" s="1" t="s">
        <v>664</v>
      </c>
      <c r="E377" s="2" t="n">
        <v>438007725</v>
      </c>
      <c r="H377" s="3" t="n">
        <v>1200</v>
      </c>
      <c r="I377" s="26" t="n">
        <v>1200</v>
      </c>
      <c r="M377" s="5" t="s">
        <v>662</v>
      </c>
      <c r="N377" s="33" t="n">
        <f aca="false">DAY(M377)</f>
        <v>17</v>
      </c>
      <c r="O377" s="33" t="str">
        <f aca="false">TEXT(M377,"DDDD")</f>
        <v>miércoles</v>
      </c>
      <c r="P377" s="6" t="n">
        <f aca="false">MONTH(M377)</f>
        <v>9</v>
      </c>
      <c r="Q377" s="26" t="str">
        <f aca="false">TEXT(M377,"MMMM")</f>
        <v>septiembre</v>
      </c>
    </row>
    <row r="378" customFormat="false" ht="14.25" hidden="false" customHeight="false" outlineLevel="0" collapsed="false">
      <c r="A378" s="1" t="n">
        <v>5</v>
      </c>
      <c r="B378" s="1" t="s">
        <v>665</v>
      </c>
      <c r="C378" s="1" t="s">
        <v>20</v>
      </c>
      <c r="D378" s="1" t="s">
        <v>666</v>
      </c>
      <c r="E378" s="2" t="n">
        <v>438006685</v>
      </c>
      <c r="H378" s="3" t="n">
        <v>1800</v>
      </c>
      <c r="I378" s="26" t="n">
        <v>1200</v>
      </c>
      <c r="K378" s="1" t="n">
        <v>600</v>
      </c>
      <c r="M378" s="5" t="s">
        <v>662</v>
      </c>
      <c r="N378" s="33" t="n">
        <f aca="false">DAY(M378)</f>
        <v>17</v>
      </c>
      <c r="O378" s="33" t="str">
        <f aca="false">TEXT(M378,"DDDD")</f>
        <v>miércoles</v>
      </c>
      <c r="P378" s="6" t="n">
        <f aca="false">MONTH(M378)</f>
        <v>9</v>
      </c>
      <c r="Q378" s="26" t="str">
        <f aca="false">TEXT(M378,"MMMM")</f>
        <v>septiembre</v>
      </c>
    </row>
    <row r="379" customFormat="false" ht="14.25" hidden="false" customHeight="false" outlineLevel="0" collapsed="false">
      <c r="A379" s="1" t="n">
        <v>5</v>
      </c>
      <c r="B379" s="1" t="s">
        <v>667</v>
      </c>
      <c r="C379" s="1" t="s">
        <v>20</v>
      </c>
      <c r="D379" s="1" t="s">
        <v>668</v>
      </c>
      <c r="E379" s="2" t="n">
        <v>438005564</v>
      </c>
      <c r="H379" s="3" t="n">
        <v>2800</v>
      </c>
      <c r="I379" s="26" t="n">
        <v>1200</v>
      </c>
      <c r="K379" s="1" t="n">
        <v>1600</v>
      </c>
      <c r="M379" s="5" t="s">
        <v>662</v>
      </c>
      <c r="N379" s="33" t="n">
        <f aca="false">DAY(M379)</f>
        <v>17</v>
      </c>
      <c r="O379" s="33" t="str">
        <f aca="false">TEXT(M379,"DDDD")</f>
        <v>miércoles</v>
      </c>
      <c r="P379" s="6" t="n">
        <f aca="false">MONTH(M379)</f>
        <v>9</v>
      </c>
      <c r="Q379" s="26" t="str">
        <f aca="false">TEXT(M379,"MMMM")</f>
        <v>septiembre</v>
      </c>
    </row>
    <row r="380" customFormat="false" ht="14.25" hidden="false" customHeight="false" outlineLevel="0" collapsed="false">
      <c r="A380" s="1" t="n">
        <v>5</v>
      </c>
      <c r="B380" s="1" t="s">
        <v>669</v>
      </c>
      <c r="C380" s="1" t="s">
        <v>20</v>
      </c>
      <c r="D380" s="1" t="s">
        <v>574</v>
      </c>
      <c r="E380" s="2" t="n">
        <v>438004915</v>
      </c>
      <c r="H380" s="3" t="n">
        <v>2000</v>
      </c>
      <c r="I380" s="26" t="n">
        <v>1200</v>
      </c>
      <c r="K380" s="1" t="n">
        <v>800</v>
      </c>
      <c r="M380" s="5" t="s">
        <v>662</v>
      </c>
      <c r="N380" s="33" t="n">
        <f aca="false">DAY(M380)</f>
        <v>17</v>
      </c>
      <c r="O380" s="33" t="str">
        <f aca="false">TEXT(M380,"DDDD")</f>
        <v>miércoles</v>
      </c>
      <c r="P380" s="6" t="n">
        <f aca="false">MONTH(M380)</f>
        <v>9</v>
      </c>
      <c r="Q380" s="26" t="str">
        <f aca="false">TEXT(M380,"MMMM")</f>
        <v>septiembre</v>
      </c>
    </row>
    <row r="381" customFormat="false" ht="14.25" hidden="false" customHeight="false" outlineLevel="0" collapsed="false">
      <c r="A381" s="1" t="n">
        <v>5</v>
      </c>
      <c r="B381" s="1" t="s">
        <v>670</v>
      </c>
      <c r="C381" s="1" t="s">
        <v>38</v>
      </c>
      <c r="D381" s="1" t="s">
        <v>671</v>
      </c>
      <c r="E381" s="2" t="n">
        <v>438004573</v>
      </c>
      <c r="H381" s="3" t="n">
        <v>1201</v>
      </c>
      <c r="I381" s="26" t="n">
        <v>1200</v>
      </c>
      <c r="K381" s="1" t="n">
        <v>1</v>
      </c>
      <c r="M381" s="5" t="s">
        <v>662</v>
      </c>
      <c r="N381" s="33" t="n">
        <f aca="false">DAY(M381)</f>
        <v>17</v>
      </c>
      <c r="O381" s="33" t="str">
        <f aca="false">TEXT(M381,"DDDD")</f>
        <v>miércoles</v>
      </c>
      <c r="P381" s="6" t="n">
        <f aca="false">MONTH(M381)</f>
        <v>9</v>
      </c>
      <c r="Q381" s="26" t="str">
        <f aca="false">TEXT(M381,"MMMM")</f>
        <v>septiembre</v>
      </c>
    </row>
    <row r="382" customFormat="false" ht="14.25" hidden="false" customHeight="false" outlineLevel="0" collapsed="false">
      <c r="A382" s="1" t="n">
        <v>5</v>
      </c>
      <c r="B382" s="1" t="s">
        <v>672</v>
      </c>
      <c r="C382" s="1" t="s">
        <v>20</v>
      </c>
      <c r="D382" s="1" t="s">
        <v>464</v>
      </c>
      <c r="E382" s="2" t="n">
        <v>438004243</v>
      </c>
      <c r="H382" s="3" t="n">
        <v>1880</v>
      </c>
      <c r="I382" s="26" t="n">
        <v>1200</v>
      </c>
      <c r="K382" s="1" t="n">
        <v>680</v>
      </c>
      <c r="M382" s="5" t="s">
        <v>662</v>
      </c>
      <c r="N382" s="33" t="n">
        <f aca="false">DAY(M382)</f>
        <v>17</v>
      </c>
      <c r="O382" s="33" t="str">
        <f aca="false">TEXT(M382,"DDDD")</f>
        <v>miércoles</v>
      </c>
      <c r="P382" s="6" t="n">
        <f aca="false">MONTH(M382)</f>
        <v>9</v>
      </c>
      <c r="Q382" s="26" t="str">
        <f aca="false">TEXT(M382,"MMMM")</f>
        <v>septiembre</v>
      </c>
    </row>
    <row r="383" customFormat="false" ht="14.25" hidden="false" customHeight="false" outlineLevel="0" collapsed="false">
      <c r="A383" s="1" t="n">
        <v>11</v>
      </c>
      <c r="B383" s="1" t="s">
        <v>673</v>
      </c>
      <c r="C383" s="1" t="s">
        <v>20</v>
      </c>
      <c r="D383" s="1" t="s">
        <v>674</v>
      </c>
      <c r="E383" s="2" t="n">
        <v>438175398</v>
      </c>
      <c r="H383" s="3" t="n">
        <v>1200</v>
      </c>
      <c r="I383" s="26" t="n">
        <v>1200</v>
      </c>
      <c r="M383" s="5" t="s">
        <v>675</v>
      </c>
      <c r="N383" s="33" t="n">
        <f aca="false">DAY(M383)</f>
        <v>18</v>
      </c>
      <c r="O383" s="33" t="str">
        <f aca="false">TEXT(M383,"DDDD")</f>
        <v>jueves</v>
      </c>
      <c r="P383" s="6" t="n">
        <f aca="false">MONTH(M383)</f>
        <v>9</v>
      </c>
      <c r="Q383" s="26" t="str">
        <f aca="false">TEXT(M383,"MMMM")</f>
        <v>septiembre</v>
      </c>
    </row>
    <row r="384" customFormat="false" ht="14.25" hidden="false" customHeight="false" outlineLevel="0" collapsed="false">
      <c r="A384" s="1" t="n">
        <v>11</v>
      </c>
      <c r="B384" s="1" t="s">
        <v>676</v>
      </c>
      <c r="C384" s="1" t="s">
        <v>20</v>
      </c>
      <c r="D384" s="1" t="s">
        <v>677</v>
      </c>
      <c r="E384" s="2" t="n">
        <v>438168085</v>
      </c>
      <c r="F384" s="21" t="s">
        <v>678</v>
      </c>
      <c r="G384" s="1" t="n">
        <v>438168106</v>
      </c>
      <c r="H384" s="3" t="n">
        <v>4040</v>
      </c>
      <c r="I384" s="26" t="n">
        <v>2100</v>
      </c>
      <c r="K384" s="1" t="n">
        <v>1940</v>
      </c>
      <c r="M384" s="5" t="s">
        <v>675</v>
      </c>
      <c r="N384" s="33" t="n">
        <f aca="false">DAY(M384)</f>
        <v>18</v>
      </c>
      <c r="O384" s="33" t="str">
        <f aca="false">TEXT(M384,"DDDD")</f>
        <v>jueves</v>
      </c>
      <c r="P384" s="6" t="n">
        <f aca="false">MONTH(M384)</f>
        <v>9</v>
      </c>
      <c r="Q384" s="26" t="str">
        <f aca="false">TEXT(M384,"MMMM")</f>
        <v>septiembre</v>
      </c>
    </row>
    <row r="385" customFormat="false" ht="14.25" hidden="false" customHeight="false" outlineLevel="0" collapsed="false">
      <c r="A385" s="1" t="n">
        <v>10</v>
      </c>
      <c r="B385" s="1" t="s">
        <v>679</v>
      </c>
      <c r="C385" s="1" t="s">
        <v>38</v>
      </c>
      <c r="D385" s="1" t="s">
        <v>680</v>
      </c>
      <c r="E385" s="2" t="n">
        <v>438165045</v>
      </c>
      <c r="H385" s="3" t="n">
        <v>3020</v>
      </c>
      <c r="I385" s="26" t="n">
        <v>1600</v>
      </c>
      <c r="K385" s="1" t="n">
        <v>1420</v>
      </c>
      <c r="M385" s="5" t="s">
        <v>675</v>
      </c>
      <c r="N385" s="33" t="n">
        <f aca="false">DAY(M385)</f>
        <v>18</v>
      </c>
      <c r="O385" s="33" t="str">
        <f aca="false">TEXT(M385,"DDDD")</f>
        <v>jueves</v>
      </c>
      <c r="P385" s="6" t="n">
        <f aca="false">MONTH(M385)</f>
        <v>9</v>
      </c>
      <c r="Q385" s="26" t="str">
        <f aca="false">TEXT(M385,"MMMM")</f>
        <v>septiembre</v>
      </c>
    </row>
    <row r="386" customFormat="false" ht="14.25" hidden="false" customHeight="false" outlineLevel="0" collapsed="false">
      <c r="A386" s="1" t="n">
        <v>10</v>
      </c>
      <c r="B386" s="1" t="s">
        <v>681</v>
      </c>
      <c r="C386" s="1" t="s">
        <v>38</v>
      </c>
      <c r="D386" s="1" t="s">
        <v>682</v>
      </c>
      <c r="E386" s="2" t="n">
        <v>438161855</v>
      </c>
      <c r="H386" s="3" t="n">
        <v>3260</v>
      </c>
      <c r="I386" s="26" t="n">
        <v>1200</v>
      </c>
      <c r="K386" s="1" t="n">
        <v>2060</v>
      </c>
      <c r="M386" s="5" t="s">
        <v>675</v>
      </c>
      <c r="N386" s="33" t="n">
        <f aca="false">DAY(M386)</f>
        <v>18</v>
      </c>
      <c r="O386" s="33" t="str">
        <f aca="false">TEXT(M386,"DDDD")</f>
        <v>jueves</v>
      </c>
      <c r="P386" s="6" t="n">
        <f aca="false">MONTH(M386)</f>
        <v>9</v>
      </c>
      <c r="Q386" s="26" t="str">
        <f aca="false">TEXT(M386,"MMMM")</f>
        <v>septiembre</v>
      </c>
    </row>
    <row r="387" customFormat="false" ht="14.25" hidden="false" customHeight="false" outlineLevel="0" collapsed="false">
      <c r="A387" s="1" t="n">
        <v>10</v>
      </c>
      <c r="B387" s="1" t="s">
        <v>683</v>
      </c>
      <c r="C387" s="1" t="s">
        <v>38</v>
      </c>
      <c r="D387" s="1" t="s">
        <v>684</v>
      </c>
      <c r="E387" s="2" t="n">
        <v>438165045</v>
      </c>
      <c r="H387" s="3" t="n">
        <v>4720</v>
      </c>
      <c r="I387" s="26" t="n">
        <v>1600</v>
      </c>
      <c r="K387" s="1" t="n">
        <v>1420</v>
      </c>
      <c r="M387" s="5" t="s">
        <v>675</v>
      </c>
      <c r="N387" s="33" t="n">
        <f aca="false">DAY(M387)</f>
        <v>18</v>
      </c>
      <c r="O387" s="33" t="str">
        <f aca="false">TEXT(M387,"DDDD")</f>
        <v>jueves</v>
      </c>
      <c r="P387" s="6" t="n">
        <f aca="false">MONTH(M387)</f>
        <v>9</v>
      </c>
      <c r="Q387" s="26" t="str">
        <f aca="false">TEXT(M387,"MMMM")</f>
        <v>septiembre</v>
      </c>
    </row>
    <row r="388" customFormat="false" ht="14.25" hidden="false" customHeight="false" outlineLevel="0" collapsed="false">
      <c r="A388" s="1" t="n">
        <v>9</v>
      </c>
      <c r="B388" s="1" t="s">
        <v>685</v>
      </c>
      <c r="C388" s="1" t="s">
        <v>20</v>
      </c>
      <c r="D388" s="1" t="s">
        <v>686</v>
      </c>
      <c r="E388" s="2" t="n">
        <v>438156995</v>
      </c>
      <c r="H388" s="3" t="n">
        <v>1450</v>
      </c>
      <c r="I388" s="26" t="n">
        <v>1450</v>
      </c>
      <c r="M388" s="5" t="s">
        <v>675</v>
      </c>
      <c r="N388" s="33" t="n">
        <f aca="false">DAY(M388)</f>
        <v>18</v>
      </c>
      <c r="O388" s="33" t="str">
        <f aca="false">TEXT(M388,"DDDD")</f>
        <v>jueves</v>
      </c>
      <c r="P388" s="6" t="n">
        <f aca="false">MONTH(M388)</f>
        <v>9</v>
      </c>
      <c r="Q388" s="26" t="str">
        <f aca="false">TEXT(M388,"MMMM")</f>
        <v>septiembre</v>
      </c>
    </row>
    <row r="389" customFormat="false" ht="14.25" hidden="false" customHeight="false" outlineLevel="0" collapsed="false">
      <c r="A389" s="1" t="n">
        <v>9</v>
      </c>
      <c r="B389" s="1" t="s">
        <v>687</v>
      </c>
      <c r="C389" s="1" t="s">
        <v>140</v>
      </c>
      <c r="D389" s="1" t="s">
        <v>688</v>
      </c>
      <c r="E389" s="2" t="n">
        <v>438155461</v>
      </c>
      <c r="H389" s="3" t="n">
        <v>1900</v>
      </c>
      <c r="I389" s="26" t="n">
        <v>1200</v>
      </c>
      <c r="K389" s="1" t="n">
        <v>700</v>
      </c>
      <c r="M389" s="5" t="s">
        <v>675</v>
      </c>
      <c r="N389" s="33" t="n">
        <f aca="false">DAY(M389)</f>
        <v>18</v>
      </c>
      <c r="O389" s="33" t="str">
        <f aca="false">TEXT(M389,"DDDD")</f>
        <v>jueves</v>
      </c>
      <c r="P389" s="6" t="n">
        <f aca="false">MONTH(M389)</f>
        <v>9</v>
      </c>
      <c r="Q389" s="26" t="str">
        <f aca="false">TEXT(M389,"MMMM")</f>
        <v>septiembre</v>
      </c>
    </row>
    <row r="390" customFormat="false" ht="14.25" hidden="false" customHeight="false" outlineLevel="0" collapsed="false">
      <c r="A390" s="1" t="n">
        <v>9</v>
      </c>
      <c r="B390" s="1" t="s">
        <v>689</v>
      </c>
      <c r="C390" s="1" t="s">
        <v>140</v>
      </c>
      <c r="D390" s="1" t="s">
        <v>690</v>
      </c>
      <c r="E390" s="2" t="n">
        <v>438153621</v>
      </c>
      <c r="H390" s="3" t="n">
        <v>1445</v>
      </c>
      <c r="I390" s="26" t="n">
        <v>1200</v>
      </c>
      <c r="K390" s="1" t="n">
        <v>245</v>
      </c>
      <c r="M390" s="5" t="s">
        <v>675</v>
      </c>
      <c r="N390" s="33" t="n">
        <f aca="false">DAY(M390)</f>
        <v>18</v>
      </c>
      <c r="O390" s="33" t="str">
        <f aca="false">TEXT(M390,"DDDD")</f>
        <v>jueves</v>
      </c>
      <c r="P390" s="6" t="n">
        <f aca="false">MONTH(M390)</f>
        <v>9</v>
      </c>
      <c r="Q390" s="26" t="str">
        <f aca="false">TEXT(M390,"MMMM")</f>
        <v>septiembre</v>
      </c>
    </row>
    <row r="391" customFormat="false" ht="14.25" hidden="false" customHeight="false" outlineLevel="0" collapsed="false">
      <c r="A391" s="1" t="n">
        <v>8</v>
      </c>
      <c r="B391" s="1" t="s">
        <v>691</v>
      </c>
      <c r="C391" s="1" t="s">
        <v>20</v>
      </c>
      <c r="D391" s="1" t="s">
        <v>692</v>
      </c>
      <c r="E391" s="2" t="n">
        <v>438136958</v>
      </c>
      <c r="F391" s="21" t="s">
        <v>693</v>
      </c>
      <c r="G391" s="1" t="n">
        <v>438136853</v>
      </c>
      <c r="H391" s="3" t="n">
        <v>2400</v>
      </c>
      <c r="I391" s="26" t="n">
        <v>1800</v>
      </c>
      <c r="K391" s="1" t="n">
        <v>600</v>
      </c>
      <c r="M391" s="5" t="s">
        <v>675</v>
      </c>
      <c r="N391" s="33" t="n">
        <f aca="false">DAY(M391)</f>
        <v>18</v>
      </c>
      <c r="O391" s="33" t="str">
        <f aca="false">TEXT(M391,"DDDD")</f>
        <v>jueves</v>
      </c>
      <c r="P391" s="6" t="n">
        <f aca="false">MONTH(M391)</f>
        <v>9</v>
      </c>
      <c r="Q391" s="26" t="str">
        <f aca="false">TEXT(M391,"MMMM")</f>
        <v>septiembre</v>
      </c>
    </row>
    <row r="392" customFormat="false" ht="14.25" hidden="false" customHeight="false" outlineLevel="0" collapsed="false">
      <c r="A392" s="1" t="n">
        <v>7</v>
      </c>
      <c r="B392" s="1" t="s">
        <v>694</v>
      </c>
      <c r="C392" s="1" t="s">
        <v>20</v>
      </c>
      <c r="D392" s="1" t="s">
        <v>695</v>
      </c>
      <c r="E392" s="2" t="n">
        <v>438133740</v>
      </c>
      <c r="H392" s="3" t="n">
        <v>1200</v>
      </c>
      <c r="I392" s="26" t="n">
        <v>1200</v>
      </c>
      <c r="M392" s="5" t="s">
        <v>675</v>
      </c>
      <c r="N392" s="33" t="n">
        <f aca="false">DAY(M392)</f>
        <v>18</v>
      </c>
      <c r="O392" s="33" t="str">
        <f aca="false">TEXT(M392,"DDDD")</f>
        <v>jueves</v>
      </c>
      <c r="P392" s="6" t="n">
        <f aca="false">MONTH(M392)</f>
        <v>9</v>
      </c>
      <c r="Q392" s="26" t="str">
        <f aca="false">TEXT(M392,"MMMM")</f>
        <v>septiembre</v>
      </c>
    </row>
    <row r="393" customFormat="false" ht="14.25" hidden="false" customHeight="false" outlineLevel="0" collapsed="false">
      <c r="A393" s="1" t="n">
        <v>7</v>
      </c>
      <c r="B393" s="1" t="s">
        <v>696</v>
      </c>
      <c r="C393" s="1" t="s">
        <v>140</v>
      </c>
      <c r="D393" s="1" t="s">
        <v>697</v>
      </c>
      <c r="H393" s="3" t="n">
        <v>500</v>
      </c>
      <c r="M393" s="5" t="s">
        <v>675</v>
      </c>
      <c r="N393" s="33" t="n">
        <f aca="false">DAY(M393)</f>
        <v>18</v>
      </c>
      <c r="O393" s="33" t="str">
        <f aca="false">TEXT(M393,"DDDD")</f>
        <v>jueves</v>
      </c>
      <c r="P393" s="6" t="n">
        <f aca="false">MONTH(M393)</f>
        <v>9</v>
      </c>
      <c r="Q393" s="26" t="str">
        <f aca="false">TEXT(M393,"MMMM")</f>
        <v>septiembre</v>
      </c>
    </row>
    <row r="394" customFormat="false" ht="14.25" hidden="false" customHeight="false" outlineLevel="0" collapsed="false">
      <c r="A394" s="1" t="n">
        <v>7</v>
      </c>
      <c r="B394" s="1" t="s">
        <v>698</v>
      </c>
      <c r="C394" s="1" t="s">
        <v>20</v>
      </c>
      <c r="D394" s="1" t="s">
        <v>699</v>
      </c>
      <c r="E394" s="2" t="n">
        <v>438129757</v>
      </c>
      <c r="F394" s="21" t="s">
        <v>699</v>
      </c>
      <c r="G394" s="1" t="n">
        <v>438130427</v>
      </c>
      <c r="H394" s="3" t="n">
        <v>2440</v>
      </c>
      <c r="I394" s="26" t="n">
        <v>2100</v>
      </c>
      <c r="K394" s="1" t="n">
        <v>340</v>
      </c>
      <c r="M394" s="5" t="s">
        <v>675</v>
      </c>
      <c r="N394" s="33" t="n">
        <f aca="false">DAY(M394)</f>
        <v>18</v>
      </c>
      <c r="O394" s="33" t="str">
        <f aca="false">TEXT(M394,"DDDD")</f>
        <v>jueves</v>
      </c>
      <c r="P394" s="6" t="n">
        <f aca="false">MONTH(M394)</f>
        <v>9</v>
      </c>
      <c r="Q394" s="26" t="str">
        <f aca="false">TEXT(M394,"MMMM")</f>
        <v>septiembre</v>
      </c>
    </row>
    <row r="395" customFormat="false" ht="14.25" hidden="false" customHeight="false" outlineLevel="0" collapsed="false">
      <c r="A395" s="1" t="n">
        <v>7</v>
      </c>
      <c r="B395" s="1" t="s">
        <v>700</v>
      </c>
      <c r="C395" s="1" t="s">
        <v>20</v>
      </c>
      <c r="D395" s="1" t="s">
        <v>701</v>
      </c>
      <c r="E395" s="2" t="n">
        <v>438126915</v>
      </c>
      <c r="H395" s="3" t="n">
        <v>2120</v>
      </c>
      <c r="I395" s="26" t="n">
        <v>1200</v>
      </c>
      <c r="K395" s="1" t="n">
        <v>920</v>
      </c>
      <c r="M395" s="5" t="s">
        <v>675</v>
      </c>
      <c r="N395" s="33" t="n">
        <f aca="false">DAY(M395)</f>
        <v>18</v>
      </c>
      <c r="O395" s="33" t="str">
        <f aca="false">TEXT(M395,"DDDD")</f>
        <v>jueves</v>
      </c>
      <c r="P395" s="6" t="n">
        <f aca="false">MONTH(M395)</f>
        <v>9</v>
      </c>
      <c r="Q395" s="26" t="str">
        <f aca="false">TEXT(M395,"MMMM")</f>
        <v>septiembre</v>
      </c>
    </row>
    <row r="396" customFormat="false" ht="14.25" hidden="false" customHeight="false" outlineLevel="0" collapsed="false">
      <c r="A396" s="1" t="n">
        <v>7</v>
      </c>
      <c r="B396" s="1" t="s">
        <v>702</v>
      </c>
      <c r="C396" s="1" t="s">
        <v>20</v>
      </c>
      <c r="D396" s="1" t="s">
        <v>703</v>
      </c>
      <c r="E396" s="2" t="n">
        <v>438124924</v>
      </c>
      <c r="H396" s="3" t="n">
        <v>1680</v>
      </c>
      <c r="I396" s="26" t="n">
        <v>1200</v>
      </c>
      <c r="K396" s="1" t="n">
        <v>480</v>
      </c>
      <c r="M396" s="5" t="s">
        <v>675</v>
      </c>
      <c r="N396" s="33" t="n">
        <f aca="false">DAY(M396)</f>
        <v>18</v>
      </c>
      <c r="O396" s="33" t="str">
        <f aca="false">TEXT(M396,"DDDD")</f>
        <v>jueves</v>
      </c>
      <c r="P396" s="6" t="n">
        <f aca="false">MONTH(M396)</f>
        <v>9</v>
      </c>
      <c r="Q396" s="26" t="str">
        <f aca="false">TEXT(M396,"MMMM")</f>
        <v>septiembre</v>
      </c>
    </row>
    <row r="397" customFormat="false" ht="14.25" hidden="false" customHeight="false" outlineLevel="0" collapsed="false">
      <c r="A397" s="1" t="n">
        <v>6</v>
      </c>
      <c r="B397" s="1" t="s">
        <v>704</v>
      </c>
      <c r="C397" s="1" t="s">
        <v>38</v>
      </c>
      <c r="D397" s="1" t="s">
        <v>503</v>
      </c>
      <c r="E397" s="2" t="n">
        <v>438118598</v>
      </c>
      <c r="H397" s="3" t="n">
        <v>3600</v>
      </c>
      <c r="I397" s="26" t="n">
        <v>2550</v>
      </c>
      <c r="K397" s="1" t="n">
        <v>1050</v>
      </c>
      <c r="M397" s="5" t="s">
        <v>675</v>
      </c>
      <c r="N397" s="33" t="n">
        <f aca="false">DAY(M397)</f>
        <v>18</v>
      </c>
      <c r="O397" s="33" t="str">
        <f aca="false">TEXT(M397,"DDDD")</f>
        <v>jueves</v>
      </c>
      <c r="P397" s="6" t="n">
        <f aca="false">MONTH(M397)</f>
        <v>9</v>
      </c>
      <c r="Q397" s="26" t="str">
        <f aca="false">TEXT(M397,"MMMM")</f>
        <v>septiembre</v>
      </c>
    </row>
    <row r="398" customFormat="false" ht="14.25" hidden="false" customHeight="false" outlineLevel="0" collapsed="false">
      <c r="A398" s="1" t="n">
        <v>6</v>
      </c>
      <c r="B398" s="1" t="s">
        <v>705</v>
      </c>
      <c r="C398" s="1" t="s">
        <v>38</v>
      </c>
      <c r="D398" s="1" t="s">
        <v>458</v>
      </c>
      <c r="E398" s="2" t="n">
        <v>438119236</v>
      </c>
      <c r="H398" s="3" t="n">
        <v>1760</v>
      </c>
      <c r="I398" s="26" t="n">
        <v>1200</v>
      </c>
      <c r="K398" s="1" t="n">
        <v>560</v>
      </c>
      <c r="M398" s="5" t="s">
        <v>675</v>
      </c>
      <c r="N398" s="33" t="n">
        <f aca="false">DAY(M398)</f>
        <v>18</v>
      </c>
      <c r="O398" s="33" t="str">
        <f aca="false">TEXT(M398,"DDDD")</f>
        <v>jueves</v>
      </c>
      <c r="P398" s="6" t="n">
        <f aca="false">MONTH(M398)</f>
        <v>9</v>
      </c>
      <c r="Q398" s="26" t="str">
        <f aca="false">TEXT(M398,"MMMM")</f>
        <v>septiembre</v>
      </c>
    </row>
    <row r="399" customFormat="false" ht="14.25" hidden="false" customHeight="false" outlineLevel="0" collapsed="false">
      <c r="A399" s="1" t="n">
        <v>6</v>
      </c>
      <c r="B399" s="1" t="s">
        <v>706</v>
      </c>
      <c r="C399" s="1" t="s">
        <v>20</v>
      </c>
      <c r="D399" s="1" t="s">
        <v>707</v>
      </c>
      <c r="E399" s="2" t="n">
        <v>438118290</v>
      </c>
      <c r="H399" s="3" t="n">
        <v>2700</v>
      </c>
      <c r="I399" s="26" t="n">
        <v>1200</v>
      </c>
      <c r="K399" s="1" t="n">
        <v>1500</v>
      </c>
      <c r="M399" s="5" t="s">
        <v>675</v>
      </c>
      <c r="N399" s="33" t="n">
        <f aca="false">DAY(M399)</f>
        <v>18</v>
      </c>
      <c r="O399" s="33" t="str">
        <f aca="false">TEXT(M399,"DDDD")</f>
        <v>jueves</v>
      </c>
      <c r="P399" s="6" t="n">
        <f aca="false">MONTH(M399)</f>
        <v>9</v>
      </c>
      <c r="Q399" s="26" t="str">
        <f aca="false">TEXT(M399,"MMMM")</f>
        <v>septiembre</v>
      </c>
    </row>
    <row r="400" customFormat="false" ht="14.25" hidden="false" customHeight="false" outlineLevel="0" collapsed="false">
      <c r="A400" s="1" t="n">
        <v>5</v>
      </c>
      <c r="B400" s="1" t="s">
        <v>708</v>
      </c>
      <c r="C400" s="1" t="s">
        <v>20</v>
      </c>
      <c r="D400" s="1" t="s">
        <v>709</v>
      </c>
      <c r="E400" s="2" t="n">
        <v>438114657</v>
      </c>
      <c r="F400" s="21" t="s">
        <v>710</v>
      </c>
      <c r="H400" s="3" t="n">
        <v>4020</v>
      </c>
      <c r="I400" s="26" t="n">
        <v>2100</v>
      </c>
      <c r="K400" s="1" t="n">
        <v>1920</v>
      </c>
      <c r="M400" s="5" t="s">
        <v>675</v>
      </c>
      <c r="N400" s="33" t="n">
        <f aca="false">DAY(M400)</f>
        <v>18</v>
      </c>
      <c r="O400" s="33" t="str">
        <f aca="false">TEXT(M400,"DDDD")</f>
        <v>jueves</v>
      </c>
      <c r="P400" s="6" t="n">
        <f aca="false">MONTH(M400)</f>
        <v>9</v>
      </c>
      <c r="Q400" s="26" t="str">
        <f aca="false">TEXT(M400,"MMMM")</f>
        <v>septiembre</v>
      </c>
    </row>
    <row r="401" customFormat="false" ht="14.25" hidden="false" customHeight="false" outlineLevel="0" collapsed="false">
      <c r="A401" s="1" t="n">
        <v>5</v>
      </c>
      <c r="B401" s="1" t="s">
        <v>711</v>
      </c>
      <c r="C401" s="1" t="s">
        <v>20</v>
      </c>
      <c r="D401" s="1" t="s">
        <v>712</v>
      </c>
      <c r="E401" s="2" t="n">
        <v>438114071</v>
      </c>
      <c r="H401" s="3" t="n">
        <v>2680</v>
      </c>
      <c r="I401" s="26" t="n">
        <v>1200</v>
      </c>
      <c r="K401" s="1" t="n">
        <v>1480</v>
      </c>
      <c r="M401" s="5" t="s">
        <v>675</v>
      </c>
      <c r="N401" s="33" t="n">
        <f aca="false">DAY(M401)</f>
        <v>18</v>
      </c>
      <c r="O401" s="33" t="str">
        <f aca="false">TEXT(M401,"DDDD")</f>
        <v>jueves</v>
      </c>
      <c r="P401" s="6" t="n">
        <f aca="false">MONTH(M401)</f>
        <v>9</v>
      </c>
      <c r="Q401" s="26" t="str">
        <f aca="false">TEXT(M401,"MMMM")</f>
        <v>septiembre</v>
      </c>
    </row>
    <row r="402" customFormat="false" ht="14.25" hidden="false" customHeight="false" outlineLevel="0" collapsed="false">
      <c r="A402" s="1" t="n">
        <v>5</v>
      </c>
      <c r="B402" s="1" t="s">
        <v>713</v>
      </c>
      <c r="C402" s="1" t="s">
        <v>140</v>
      </c>
      <c r="D402" s="1" t="s">
        <v>714</v>
      </c>
      <c r="E402" s="2" t="n">
        <v>438113615</v>
      </c>
      <c r="H402" s="3" t="n">
        <v>1750</v>
      </c>
      <c r="I402" s="26" t="n">
        <v>1200</v>
      </c>
      <c r="K402" s="1" t="n">
        <v>550</v>
      </c>
      <c r="M402" s="5" t="s">
        <v>675</v>
      </c>
      <c r="N402" s="33" t="n">
        <f aca="false">DAY(M402)</f>
        <v>18</v>
      </c>
      <c r="O402" s="33" t="str">
        <f aca="false">TEXT(M402,"DDDD")</f>
        <v>jueves</v>
      </c>
      <c r="P402" s="6" t="n">
        <f aca="false">MONTH(M402)</f>
        <v>9</v>
      </c>
      <c r="Q402" s="26" t="str">
        <f aca="false">TEXT(M402,"MMMM")</f>
        <v>septiembre</v>
      </c>
    </row>
    <row r="403" customFormat="false" ht="14.25" hidden="false" customHeight="false" outlineLevel="0" collapsed="false">
      <c r="A403" s="1" t="n">
        <v>4</v>
      </c>
      <c r="B403" s="1" t="s">
        <v>715</v>
      </c>
      <c r="C403" s="1" t="s">
        <v>140</v>
      </c>
      <c r="D403" s="1" t="s">
        <v>714</v>
      </c>
      <c r="E403" s="2" t="n">
        <v>438113406</v>
      </c>
      <c r="H403" s="3" t="n">
        <v>1845</v>
      </c>
      <c r="I403" s="26" t="n">
        <v>1600</v>
      </c>
      <c r="K403" s="1" t="n">
        <v>245</v>
      </c>
      <c r="M403" s="5" t="s">
        <v>675</v>
      </c>
      <c r="N403" s="33" t="n">
        <f aca="false">DAY(M403)</f>
        <v>18</v>
      </c>
      <c r="O403" s="33" t="str">
        <f aca="false">TEXT(M403,"DDDD")</f>
        <v>jueves</v>
      </c>
      <c r="P403" s="6" t="n">
        <f aca="false">MONTH(M403)</f>
        <v>9</v>
      </c>
      <c r="Q403" s="26" t="str">
        <f aca="false">TEXT(M403,"MMMM")</f>
        <v>septiembre</v>
      </c>
    </row>
    <row r="404" customFormat="false" ht="14.25" hidden="false" customHeight="false" outlineLevel="0" collapsed="false">
      <c r="A404" s="1" t="n">
        <v>8</v>
      </c>
      <c r="B404" s="1" t="s">
        <v>716</v>
      </c>
      <c r="C404" s="1" t="s">
        <v>20</v>
      </c>
      <c r="D404" s="1" t="s">
        <v>717</v>
      </c>
      <c r="E404" s="2" t="n">
        <v>438251569</v>
      </c>
      <c r="H404" s="3" t="n">
        <v>2350</v>
      </c>
      <c r="I404" s="26" t="n">
        <v>2350</v>
      </c>
      <c r="M404" s="5" t="n">
        <v>45919</v>
      </c>
      <c r="N404" s="33" t="n">
        <f aca="false">DAY(M404)</f>
        <v>19</v>
      </c>
      <c r="O404" s="33" t="str">
        <f aca="false">TEXT(M404,"DDDD")</f>
        <v>viernes</v>
      </c>
      <c r="P404" s="6" t="n">
        <f aca="false">MONTH(M404)</f>
        <v>9</v>
      </c>
      <c r="Q404" s="26" t="str">
        <f aca="false">TEXT(M404,"MMMM")</f>
        <v>septiembre</v>
      </c>
      <c r="T404" s="21" t="s">
        <v>18</v>
      </c>
    </row>
    <row r="405" customFormat="false" ht="14.25" hidden="false" customHeight="false" outlineLevel="0" collapsed="false">
      <c r="A405" s="1" t="n">
        <v>8</v>
      </c>
      <c r="B405" s="1" t="s">
        <v>618</v>
      </c>
      <c r="C405" s="1" t="s">
        <v>20</v>
      </c>
      <c r="D405" s="1" t="s">
        <v>522</v>
      </c>
      <c r="E405" s="2" t="n">
        <v>438245005</v>
      </c>
      <c r="H405" s="3" t="n">
        <v>2389</v>
      </c>
      <c r="I405" s="26" t="n">
        <v>1850</v>
      </c>
      <c r="K405" s="1" t="n">
        <v>539</v>
      </c>
      <c r="M405" s="5" t="n">
        <v>45919</v>
      </c>
      <c r="N405" s="33" t="n">
        <f aca="false">DAY(M405)</f>
        <v>19</v>
      </c>
      <c r="O405" s="33" t="str">
        <f aca="false">TEXT(M405,"DDDD")</f>
        <v>viernes</v>
      </c>
      <c r="P405" s="6" t="n">
        <f aca="false">MONTH(M405)</f>
        <v>9</v>
      </c>
      <c r="Q405" s="26" t="str">
        <f aca="false">TEXT(M405,"MMMM")</f>
        <v>septiembre</v>
      </c>
      <c r="T405" s="21" t="s">
        <v>18</v>
      </c>
    </row>
    <row r="406" customFormat="false" ht="14.25" hidden="false" customHeight="false" outlineLevel="0" collapsed="false">
      <c r="A406" s="1" t="n">
        <v>7</v>
      </c>
      <c r="B406" s="1" t="s">
        <v>718</v>
      </c>
      <c r="C406" s="1" t="s">
        <v>20</v>
      </c>
      <c r="D406" s="1" t="s">
        <v>29</v>
      </c>
      <c r="E406" s="2" t="n">
        <v>438241211</v>
      </c>
      <c r="F406" s="21" t="s">
        <v>719</v>
      </c>
      <c r="G406" s="1" t="n">
        <v>438241932</v>
      </c>
      <c r="H406" s="3" t="n">
        <v>3310</v>
      </c>
      <c r="I406" s="26" t="n">
        <v>2480</v>
      </c>
      <c r="K406" s="26" t="n">
        <v>830</v>
      </c>
      <c r="L406" s="36"/>
      <c r="M406" s="5" t="n">
        <v>45919</v>
      </c>
      <c r="N406" s="33" t="n">
        <f aca="false">DAY(M406)</f>
        <v>19</v>
      </c>
      <c r="O406" s="33" t="str">
        <f aca="false">TEXT(M406,"DDDD")</f>
        <v>viernes</v>
      </c>
      <c r="P406" s="6" t="n">
        <f aca="false">MONTH(M406)</f>
        <v>9</v>
      </c>
      <c r="Q406" s="26" t="str">
        <f aca="false">TEXT(M406,"MMMM")</f>
        <v>septiembre</v>
      </c>
      <c r="T406" s="21" t="s">
        <v>18</v>
      </c>
    </row>
    <row r="407" customFormat="false" ht="14.25" hidden="false" customHeight="false" outlineLevel="0" collapsed="false">
      <c r="A407" s="1" t="n">
        <v>7</v>
      </c>
      <c r="B407" s="1" t="s">
        <v>452</v>
      </c>
      <c r="C407" s="1" t="s">
        <v>20</v>
      </c>
      <c r="D407" s="1" t="s">
        <v>720</v>
      </c>
      <c r="E407" s="2" t="n">
        <v>438231308</v>
      </c>
      <c r="F407" s="21" t="s">
        <v>721</v>
      </c>
      <c r="G407" s="1" t="n">
        <v>438236987</v>
      </c>
      <c r="H407" s="3" t="n">
        <v>5440</v>
      </c>
      <c r="I407" s="26" t="n">
        <v>2800</v>
      </c>
      <c r="K407" s="26" t="n">
        <v>2640</v>
      </c>
      <c r="L407" s="36"/>
      <c r="M407" s="5" t="n">
        <v>45919</v>
      </c>
      <c r="N407" s="33" t="n">
        <f aca="false">DAY(M407)</f>
        <v>19</v>
      </c>
      <c r="O407" s="33" t="str">
        <f aca="false">TEXT(M407,"DDDD")</f>
        <v>viernes</v>
      </c>
      <c r="P407" s="6" t="n">
        <f aca="false">MONTH(M407)</f>
        <v>9</v>
      </c>
      <c r="Q407" s="26" t="str">
        <f aca="false">TEXT(M407,"MMMM")</f>
        <v>septiembre</v>
      </c>
      <c r="T407" s="21" t="s">
        <v>18</v>
      </c>
    </row>
    <row r="408" customFormat="false" ht="14.25" hidden="false" customHeight="false" outlineLevel="0" collapsed="false">
      <c r="A408" s="1" t="n">
        <v>7</v>
      </c>
      <c r="B408" s="1" t="s">
        <v>722</v>
      </c>
      <c r="C408" s="1" t="s">
        <v>20</v>
      </c>
      <c r="D408" s="1" t="s">
        <v>723</v>
      </c>
      <c r="E408" s="2" t="n">
        <v>438233103</v>
      </c>
      <c r="H408" s="3" t="n">
        <v>2190</v>
      </c>
      <c r="I408" s="26" t="n">
        <v>1440</v>
      </c>
      <c r="K408" s="26" t="n">
        <v>750</v>
      </c>
      <c r="L408" s="36"/>
      <c r="M408" s="5" t="n">
        <v>45919</v>
      </c>
      <c r="N408" s="33" t="n">
        <f aca="false">DAY(M408)</f>
        <v>19</v>
      </c>
      <c r="O408" s="33" t="str">
        <f aca="false">TEXT(M408,"DDDD")</f>
        <v>viernes</v>
      </c>
      <c r="P408" s="6" t="n">
        <f aca="false">MONTH(M408)</f>
        <v>9</v>
      </c>
      <c r="Q408" s="26" t="str">
        <f aca="false">TEXT(M408,"MMMM")</f>
        <v>septiembre</v>
      </c>
      <c r="T408" s="21" t="s">
        <v>18</v>
      </c>
    </row>
    <row r="409" customFormat="false" ht="14.25" hidden="false" customHeight="false" outlineLevel="0" collapsed="false">
      <c r="A409" s="1" t="n">
        <v>12</v>
      </c>
      <c r="B409" s="1" t="s">
        <v>121</v>
      </c>
      <c r="C409" s="1" t="s">
        <v>140</v>
      </c>
      <c r="D409" s="1" t="s">
        <v>55</v>
      </c>
      <c r="E409" s="2" t="n">
        <v>438445242</v>
      </c>
      <c r="H409" s="3" t="n">
        <v>2880</v>
      </c>
      <c r="I409" s="26" t="n">
        <v>2580</v>
      </c>
      <c r="J409" s="1" t="n">
        <v>60</v>
      </c>
      <c r="K409" s="26" t="n">
        <v>280</v>
      </c>
      <c r="L409" s="36"/>
      <c r="M409" s="5" t="n">
        <v>45920</v>
      </c>
      <c r="N409" s="33" t="n">
        <f aca="false">DAY(M409)</f>
        <v>20</v>
      </c>
      <c r="O409" s="33" t="str">
        <f aca="false">TEXT(M409,"DDDD")</f>
        <v>sábado</v>
      </c>
      <c r="P409" s="6" t="n">
        <f aca="false">MONTH(M409)</f>
        <v>9</v>
      </c>
      <c r="Q409" s="26" t="str">
        <f aca="false">TEXT(M409,"MMMM")</f>
        <v>septiembre</v>
      </c>
      <c r="T409" s="21" t="s">
        <v>18</v>
      </c>
    </row>
    <row r="410" customFormat="false" ht="14.25" hidden="false" customHeight="false" outlineLevel="0" collapsed="false">
      <c r="A410" s="1" t="n">
        <v>12</v>
      </c>
      <c r="B410" s="1" t="s">
        <v>724</v>
      </c>
      <c r="C410" s="1" t="s">
        <v>20</v>
      </c>
      <c r="D410" s="1" t="s">
        <v>725</v>
      </c>
      <c r="E410" s="2" t="n">
        <v>438440444</v>
      </c>
      <c r="H410" s="3" t="n">
        <v>3900</v>
      </c>
      <c r="I410" s="26" t="n">
        <v>2540</v>
      </c>
      <c r="J410" s="1" t="n">
        <v>60</v>
      </c>
      <c r="K410" s="26" t="n">
        <v>1300</v>
      </c>
      <c r="L410" s="36"/>
      <c r="M410" s="5" t="n">
        <v>45920</v>
      </c>
      <c r="N410" s="33" t="n">
        <f aca="false">DAY(M410)</f>
        <v>20</v>
      </c>
      <c r="O410" s="33" t="str">
        <f aca="false">TEXT(M410,"DDDD")</f>
        <v>sábado</v>
      </c>
      <c r="P410" s="6" t="n">
        <f aca="false">MONTH(M410)</f>
        <v>9</v>
      </c>
      <c r="Q410" s="26" t="str">
        <f aca="false">TEXT(M410,"MMMM")</f>
        <v>septiembre</v>
      </c>
      <c r="T410" s="21" t="s">
        <v>18</v>
      </c>
    </row>
    <row r="411" customFormat="false" ht="14.25" hidden="false" customHeight="false" outlineLevel="0" collapsed="false">
      <c r="A411" s="1" t="n">
        <v>11</v>
      </c>
      <c r="B411" s="1" t="s">
        <v>726</v>
      </c>
      <c r="C411" s="1" t="s">
        <v>20</v>
      </c>
      <c r="D411" s="1" t="s">
        <v>727</v>
      </c>
      <c r="E411" s="2" t="n">
        <v>438434053</v>
      </c>
      <c r="F411" s="21" t="s">
        <v>728</v>
      </c>
      <c r="G411" s="1" t="n">
        <v>438431501</v>
      </c>
      <c r="H411" s="3" t="n">
        <v>6400</v>
      </c>
      <c r="I411" s="26" t="n">
        <v>3440</v>
      </c>
      <c r="J411" s="1" t="n">
        <v>120</v>
      </c>
      <c r="K411" s="26" t="n">
        <v>2840</v>
      </c>
      <c r="L411" s="36"/>
      <c r="M411" s="5" t="n">
        <v>45920</v>
      </c>
      <c r="N411" s="33" t="n">
        <f aca="false">DAY(M411)</f>
        <v>20</v>
      </c>
      <c r="O411" s="33" t="str">
        <f aca="false">TEXT(M411,"DDDD")</f>
        <v>sábado</v>
      </c>
      <c r="P411" s="6" t="n">
        <f aca="false">MONTH(M411)</f>
        <v>9</v>
      </c>
      <c r="Q411" s="26" t="str">
        <f aca="false">TEXT(M411,"MMMM")</f>
        <v>septiembre</v>
      </c>
      <c r="T411" s="21" t="s">
        <v>18</v>
      </c>
    </row>
    <row r="412" customFormat="false" ht="14.25" hidden="false" customHeight="false" outlineLevel="0" collapsed="false">
      <c r="A412" s="1" t="n">
        <v>11</v>
      </c>
      <c r="B412" s="1" t="s">
        <v>416</v>
      </c>
      <c r="C412" s="1" t="s">
        <v>38</v>
      </c>
      <c r="D412" s="1" t="s">
        <v>729</v>
      </c>
      <c r="E412" s="2" t="n">
        <v>438428834</v>
      </c>
      <c r="F412" s="21" t="s">
        <v>730</v>
      </c>
      <c r="G412" s="1" t="n">
        <v>438430911</v>
      </c>
      <c r="H412" s="3" t="n">
        <v>5040</v>
      </c>
      <c r="I412" s="26" t="n">
        <v>3440</v>
      </c>
      <c r="J412" s="1" t="n">
        <v>120</v>
      </c>
      <c r="K412" s="26" t="n">
        <v>1480</v>
      </c>
      <c r="L412" s="36"/>
      <c r="M412" s="5" t="n">
        <v>45920</v>
      </c>
      <c r="N412" s="33" t="n">
        <f aca="false">DAY(M412)</f>
        <v>20</v>
      </c>
      <c r="O412" s="33" t="str">
        <f aca="false">TEXT(M412,"DDDD")</f>
        <v>sábado</v>
      </c>
      <c r="P412" s="6" t="n">
        <f aca="false">MONTH(M412)</f>
        <v>9</v>
      </c>
      <c r="Q412" s="26" t="str">
        <f aca="false">TEXT(M412,"MMMM")</f>
        <v>septiembre</v>
      </c>
      <c r="T412" s="21" t="s">
        <v>18</v>
      </c>
    </row>
    <row r="413" customFormat="false" ht="14.25" hidden="false" customHeight="false" outlineLevel="0" collapsed="false">
      <c r="A413" s="1" t="n">
        <v>11</v>
      </c>
      <c r="B413" s="1" t="s">
        <v>731</v>
      </c>
      <c r="C413" s="1" t="s">
        <v>20</v>
      </c>
      <c r="D413" s="1" t="s">
        <v>732</v>
      </c>
      <c r="E413" s="2" t="n">
        <v>438420609</v>
      </c>
      <c r="H413" s="3" t="n">
        <v>3390</v>
      </c>
      <c r="I413" s="26" t="n">
        <v>1750</v>
      </c>
      <c r="J413" s="1" t="n">
        <v>60</v>
      </c>
      <c r="K413" s="26" t="n">
        <v>1580</v>
      </c>
      <c r="L413" s="36"/>
      <c r="M413" s="5" t="n">
        <v>45920</v>
      </c>
      <c r="N413" s="33" t="n">
        <f aca="false">DAY(M413)</f>
        <v>20</v>
      </c>
      <c r="O413" s="33" t="str">
        <f aca="false">TEXT(M413,"DDDD")</f>
        <v>sábado</v>
      </c>
      <c r="P413" s="6" t="n">
        <f aca="false">MONTH(M413)</f>
        <v>9</v>
      </c>
      <c r="Q413" s="26" t="str">
        <f aca="false">TEXT(M413,"MMMM")</f>
        <v>septiembre</v>
      </c>
      <c r="T413" s="21" t="s">
        <v>18</v>
      </c>
    </row>
    <row r="414" customFormat="false" ht="14.25" hidden="false" customHeight="false" outlineLevel="0" collapsed="false">
      <c r="A414" s="1" t="n">
        <v>11</v>
      </c>
      <c r="B414" s="1" t="s">
        <v>376</v>
      </c>
      <c r="C414" s="1" t="s">
        <v>38</v>
      </c>
      <c r="D414" s="1" t="s">
        <v>152</v>
      </c>
      <c r="E414" s="2" t="n">
        <v>438421419</v>
      </c>
      <c r="H414" s="3" t="n">
        <v>2600</v>
      </c>
      <c r="I414" s="26" t="n">
        <v>2540</v>
      </c>
      <c r="J414" s="1" t="n">
        <v>60</v>
      </c>
      <c r="M414" s="5" t="n">
        <v>45920</v>
      </c>
      <c r="N414" s="33" t="n">
        <f aca="false">DAY(M414)</f>
        <v>20</v>
      </c>
      <c r="O414" s="33" t="str">
        <f aca="false">TEXT(M414,"DDDD")</f>
        <v>sábado</v>
      </c>
      <c r="P414" s="6" t="n">
        <f aca="false">MONTH(M414)</f>
        <v>9</v>
      </c>
      <c r="Q414" s="26" t="str">
        <f aca="false">TEXT(M414,"MMMM")</f>
        <v>septiembre</v>
      </c>
    </row>
    <row r="415" customFormat="false" ht="14.25" hidden="false" customHeight="false" outlineLevel="0" collapsed="false">
      <c r="A415" s="1" t="n">
        <v>11</v>
      </c>
      <c r="B415" s="1" t="s">
        <v>733</v>
      </c>
      <c r="C415" s="1" t="s">
        <v>20</v>
      </c>
      <c r="D415" s="1" t="s">
        <v>734</v>
      </c>
      <c r="E415" s="2" t="n">
        <v>438415086</v>
      </c>
      <c r="H415" s="3" t="n">
        <v>4910</v>
      </c>
      <c r="I415" s="26" t="n">
        <v>3100</v>
      </c>
      <c r="J415" s="1" t="n">
        <v>60</v>
      </c>
      <c r="K415" s="26" t="n">
        <v>1750</v>
      </c>
      <c r="L415" s="36"/>
      <c r="M415" s="5" t="n">
        <v>45920</v>
      </c>
      <c r="N415" s="33" t="n">
        <f aca="false">DAY(M415)</f>
        <v>20</v>
      </c>
      <c r="O415" s="33" t="str">
        <f aca="false">TEXT(M415,"DDDD")</f>
        <v>sábado</v>
      </c>
      <c r="P415" s="6" t="n">
        <f aca="false">MONTH(M415)</f>
        <v>9</v>
      </c>
      <c r="Q415" s="26" t="str">
        <f aca="false">TEXT(M415,"MMMM")</f>
        <v>septiembre</v>
      </c>
      <c r="T415" s="21" t="s">
        <v>18</v>
      </c>
    </row>
    <row r="416" customFormat="false" ht="14.25" hidden="false" customHeight="false" outlineLevel="0" collapsed="false">
      <c r="A416" s="1" t="n">
        <v>10</v>
      </c>
      <c r="B416" s="1" t="s">
        <v>527</v>
      </c>
      <c r="C416" s="1" t="s">
        <v>38</v>
      </c>
      <c r="D416" s="1" t="s">
        <v>735</v>
      </c>
      <c r="E416" s="2" t="n">
        <v>438413346</v>
      </c>
      <c r="H416" s="3" t="n">
        <v>1710</v>
      </c>
      <c r="I416" s="26" t="n">
        <v>1450</v>
      </c>
      <c r="J416" s="1" t="n">
        <v>60</v>
      </c>
      <c r="K416" s="26" t="n">
        <v>200</v>
      </c>
      <c r="L416" s="36"/>
      <c r="M416" s="5" t="n">
        <v>45920</v>
      </c>
      <c r="N416" s="33" t="n">
        <f aca="false">DAY(M416)</f>
        <v>20</v>
      </c>
      <c r="O416" s="33" t="str">
        <f aca="false">TEXT(M416,"DDDD")</f>
        <v>sábado</v>
      </c>
      <c r="P416" s="6" t="n">
        <f aca="false">MONTH(M416)</f>
        <v>9</v>
      </c>
      <c r="Q416" s="26" t="str">
        <f aca="false">TEXT(M416,"MMMM")</f>
        <v>septiembre</v>
      </c>
      <c r="T416" s="21" t="s">
        <v>18</v>
      </c>
    </row>
    <row r="417" customFormat="false" ht="14.25" hidden="false" customHeight="false" outlineLevel="0" collapsed="false">
      <c r="A417" s="26" t="n">
        <v>10</v>
      </c>
      <c r="B417" s="26" t="s">
        <v>736</v>
      </c>
      <c r="C417" s="43" t="s">
        <v>38</v>
      </c>
      <c r="D417" s="43" t="s">
        <v>737</v>
      </c>
      <c r="E417" s="44" t="n">
        <v>438404684</v>
      </c>
      <c r="F417" s="26" t="s">
        <v>738</v>
      </c>
      <c r="G417" s="26" t="n">
        <v>438405322</v>
      </c>
      <c r="H417" s="26" t="n">
        <v>7410</v>
      </c>
      <c r="I417" s="26" t="n">
        <v>6150</v>
      </c>
      <c r="J417" s="26" t="n">
        <v>120</v>
      </c>
      <c r="K417" s="26" t="n">
        <v>1140</v>
      </c>
      <c r="L417" s="36"/>
      <c r="M417" s="42" t="n">
        <v>45920</v>
      </c>
      <c r="N417" s="33" t="n">
        <f aca="false">DAY(M417)</f>
        <v>20</v>
      </c>
      <c r="O417" s="33" t="str">
        <f aca="false">TEXT(M417,"DDDD")</f>
        <v>sábado</v>
      </c>
      <c r="P417" s="35" t="n">
        <f aca="false">MONTH(M417)</f>
        <v>9</v>
      </c>
      <c r="Q417" s="26" t="str">
        <f aca="false">TEXT(M417,"MMMM")</f>
        <v>septiembre</v>
      </c>
      <c r="R417" s="26"/>
      <c r="S417" s="26"/>
      <c r="T417" s="26"/>
    </row>
    <row r="418" customFormat="false" ht="14.25" hidden="false" customHeight="false" outlineLevel="0" collapsed="false">
      <c r="A418" s="1" t="n">
        <v>10</v>
      </c>
      <c r="B418" s="1" t="s">
        <v>385</v>
      </c>
      <c r="C418" s="1" t="s">
        <v>38</v>
      </c>
      <c r="D418" s="1" t="s">
        <v>427</v>
      </c>
      <c r="E418" s="2" t="n">
        <v>438396264</v>
      </c>
      <c r="F418" s="21" t="s">
        <v>117</v>
      </c>
      <c r="G418" s="1" t="n">
        <v>438396427</v>
      </c>
      <c r="H418" s="3" t="n">
        <v>3350</v>
      </c>
      <c r="I418" s="26" t="n">
        <v>2650</v>
      </c>
      <c r="J418" s="1" t="n">
        <v>120</v>
      </c>
      <c r="K418" s="26" t="n">
        <v>580</v>
      </c>
      <c r="L418" s="36"/>
      <c r="M418" s="5" t="n">
        <v>45920</v>
      </c>
      <c r="N418" s="33" t="n">
        <f aca="false">DAY(M418)</f>
        <v>20</v>
      </c>
      <c r="O418" s="33" t="str">
        <f aca="false">TEXT(M418,"DDDD")</f>
        <v>sábado</v>
      </c>
      <c r="P418" s="6" t="n">
        <f aca="false">MONTH(M418)</f>
        <v>9</v>
      </c>
      <c r="Q418" s="26" t="str">
        <f aca="false">TEXT(M418,"MMMM")</f>
        <v>septiembre</v>
      </c>
    </row>
    <row r="419" customFormat="false" ht="14.25" hidden="false" customHeight="false" outlineLevel="0" collapsed="false">
      <c r="A419" s="1" t="n">
        <v>9</v>
      </c>
      <c r="B419" s="1" t="s">
        <v>448</v>
      </c>
      <c r="C419" s="1" t="s">
        <v>20</v>
      </c>
      <c r="D419" s="1" t="s">
        <v>739</v>
      </c>
      <c r="E419" s="2" t="n">
        <v>438395114</v>
      </c>
      <c r="H419" s="3" t="n">
        <v>2260</v>
      </c>
      <c r="I419" s="26" t="n">
        <v>1950</v>
      </c>
      <c r="J419" s="1" t="n">
        <v>60</v>
      </c>
      <c r="K419" s="26" t="n">
        <v>250</v>
      </c>
      <c r="L419" s="36"/>
      <c r="M419" s="5" t="n">
        <v>45920</v>
      </c>
      <c r="N419" s="33" t="n">
        <f aca="false">DAY(M419)</f>
        <v>20</v>
      </c>
      <c r="O419" s="33" t="str">
        <f aca="false">TEXT(M419,"DDDD")</f>
        <v>sábado</v>
      </c>
      <c r="P419" s="6" t="n">
        <f aca="false">MONTH(M419)</f>
        <v>9</v>
      </c>
      <c r="Q419" s="26" t="str">
        <f aca="false">TEXT(M419,"MMMM")</f>
        <v>septiembre</v>
      </c>
    </row>
    <row r="420" customFormat="false" ht="14.25" hidden="false" customHeight="false" outlineLevel="0" collapsed="false">
      <c r="A420" s="1" t="n">
        <v>9</v>
      </c>
      <c r="B420" s="1" t="s">
        <v>264</v>
      </c>
      <c r="C420" s="1" t="s">
        <v>20</v>
      </c>
      <c r="D420" s="1" t="s">
        <v>740</v>
      </c>
      <c r="E420" s="2" t="n">
        <v>438391715</v>
      </c>
      <c r="H420" s="3" t="n">
        <v>2110</v>
      </c>
      <c r="I420" s="26" t="n">
        <v>1550</v>
      </c>
      <c r="J420" s="1" t="n">
        <v>60</v>
      </c>
      <c r="K420" s="26" t="n">
        <v>500</v>
      </c>
      <c r="L420" s="36"/>
      <c r="M420" s="5" t="n">
        <v>45920</v>
      </c>
      <c r="N420" s="33" t="n">
        <f aca="false">DAY(M420)</f>
        <v>20</v>
      </c>
      <c r="O420" s="33" t="str">
        <f aca="false">TEXT(M420,"DDDD")</f>
        <v>sábado</v>
      </c>
      <c r="P420" s="6" t="n">
        <f aca="false">MONTH(M420)</f>
        <v>9</v>
      </c>
      <c r="Q420" s="26" t="str">
        <f aca="false">TEXT(M420,"MMMM")</f>
        <v>septiembre</v>
      </c>
    </row>
    <row r="421" customFormat="false" ht="14.25" hidden="false" customHeight="false" outlineLevel="0" collapsed="false">
      <c r="A421" s="1" t="n">
        <v>12</v>
      </c>
      <c r="B421" s="1" t="s">
        <v>580</v>
      </c>
      <c r="C421" s="1" t="s">
        <v>20</v>
      </c>
      <c r="D421" s="1" t="s">
        <v>741</v>
      </c>
      <c r="E421" s="2" t="n">
        <v>438894428</v>
      </c>
      <c r="F421" s="21" t="s">
        <v>742</v>
      </c>
      <c r="G421" s="1" t="n">
        <v>438895229</v>
      </c>
      <c r="H421" s="3" t="n">
        <v>3700</v>
      </c>
      <c r="I421" s="26" t="n">
        <v>2100</v>
      </c>
      <c r="J421" s="1" t="n">
        <v>120</v>
      </c>
      <c r="K421" s="26" t="n">
        <v>1480</v>
      </c>
      <c r="L421" s="36"/>
      <c r="M421" s="5" t="n">
        <v>45924</v>
      </c>
      <c r="N421" s="33" t="n">
        <f aca="false">DAY(M421)</f>
        <v>24</v>
      </c>
      <c r="O421" s="33" t="str">
        <f aca="false">TEXT(M421,"DDDD")</f>
        <v>miércoles</v>
      </c>
      <c r="P421" s="6" t="n">
        <f aca="false">MONTH(M421)</f>
        <v>9</v>
      </c>
      <c r="Q421" s="26" t="str">
        <f aca="false">TEXT(M421,"MMMM")</f>
        <v>septiembre</v>
      </c>
    </row>
    <row r="422" customFormat="false" ht="14.25" hidden="false" customHeight="false" outlineLevel="0" collapsed="false">
      <c r="A422" s="1" t="n">
        <v>12</v>
      </c>
      <c r="B422" s="1" t="s">
        <v>743</v>
      </c>
      <c r="C422" s="1" t="s">
        <v>38</v>
      </c>
      <c r="D422" s="1" t="s">
        <v>744</v>
      </c>
      <c r="E422" s="2" t="n">
        <v>438891157</v>
      </c>
      <c r="H422" s="3" t="n">
        <v>1560</v>
      </c>
      <c r="I422" s="26" t="n">
        <v>1200</v>
      </c>
      <c r="J422" s="1" t="n">
        <v>60</v>
      </c>
      <c r="K422" s="26" t="n">
        <v>300</v>
      </c>
      <c r="L422" s="36"/>
      <c r="M422" s="5" t="n">
        <v>45924</v>
      </c>
      <c r="N422" s="33" t="n">
        <f aca="false">DAY(M422)</f>
        <v>24</v>
      </c>
      <c r="O422" s="33" t="str">
        <f aca="false">TEXT(M422,"DDDD")</f>
        <v>miércoles</v>
      </c>
      <c r="P422" s="6" t="n">
        <f aca="false">MONTH(M422)</f>
        <v>9</v>
      </c>
      <c r="Q422" s="26" t="str">
        <f aca="false">TEXT(M422,"MMMM")</f>
        <v>septiembre</v>
      </c>
    </row>
    <row r="423" customFormat="false" ht="14.25" hidden="false" customHeight="false" outlineLevel="0" collapsed="false">
      <c r="A423" s="1" t="n">
        <v>12</v>
      </c>
      <c r="B423" s="1" t="s">
        <v>745</v>
      </c>
      <c r="C423" s="1" t="s">
        <v>20</v>
      </c>
      <c r="D423" s="1" t="s">
        <v>514</v>
      </c>
      <c r="E423" s="2" t="n">
        <v>438887888</v>
      </c>
      <c r="F423" s="21" t="s">
        <v>479</v>
      </c>
      <c r="G423" s="1" t="n">
        <v>438888028</v>
      </c>
      <c r="H423" s="3" t="n">
        <v>2820</v>
      </c>
      <c r="I423" s="26" t="n">
        <v>2100</v>
      </c>
      <c r="J423" s="1" t="n">
        <v>120</v>
      </c>
      <c r="K423" s="26" t="n">
        <v>600</v>
      </c>
      <c r="L423" s="36"/>
      <c r="M423" s="5" t="n">
        <v>45924</v>
      </c>
      <c r="N423" s="33" t="n">
        <f aca="false">DAY(M423)</f>
        <v>24</v>
      </c>
      <c r="O423" s="33" t="str">
        <f aca="false">TEXT(M423,"DDDD")</f>
        <v>miércoles</v>
      </c>
      <c r="P423" s="6" t="n">
        <f aca="false">MONTH(M423)</f>
        <v>9</v>
      </c>
      <c r="Q423" s="26" t="str">
        <f aca="false">TEXT(M423,"MMMM")</f>
        <v>septiembre</v>
      </c>
    </row>
    <row r="424" customFormat="false" ht="14.25" hidden="false" customHeight="false" outlineLevel="0" collapsed="false">
      <c r="A424" s="1" t="n">
        <v>11</v>
      </c>
      <c r="B424" s="1" t="s">
        <v>746</v>
      </c>
      <c r="C424" s="1" t="s">
        <v>38</v>
      </c>
      <c r="D424" s="1" t="s">
        <v>747</v>
      </c>
      <c r="E424" s="2" t="n">
        <v>438864768</v>
      </c>
      <c r="F424" s="21" t="s">
        <v>747</v>
      </c>
      <c r="G424" s="1" t="n">
        <v>438868503</v>
      </c>
      <c r="H424" s="3" t="n">
        <v>5270</v>
      </c>
      <c r="I424" s="26" t="n">
        <v>3550</v>
      </c>
      <c r="J424" s="1" t="n">
        <v>120</v>
      </c>
      <c r="K424" s="26" t="n">
        <v>1600</v>
      </c>
      <c r="L424" s="36"/>
      <c r="M424" s="5" t="n">
        <v>45924</v>
      </c>
      <c r="N424" s="33" t="n">
        <f aca="false">DAY(M424)</f>
        <v>24</v>
      </c>
      <c r="O424" s="33" t="str">
        <f aca="false">TEXT(M424,"DDDD")</f>
        <v>miércoles</v>
      </c>
      <c r="P424" s="6" t="n">
        <f aca="false">MONTH(M424)</f>
        <v>9</v>
      </c>
      <c r="Q424" s="26" t="str">
        <f aca="false">TEXT(M424,"MMMM")</f>
        <v>septiembre</v>
      </c>
    </row>
    <row r="425" customFormat="false" ht="14.25" hidden="false" customHeight="false" outlineLevel="0" collapsed="false">
      <c r="A425" s="1" t="n">
        <v>11</v>
      </c>
      <c r="B425" s="1" t="s">
        <v>319</v>
      </c>
      <c r="C425" s="1" t="s">
        <v>20</v>
      </c>
      <c r="D425" s="1" t="s">
        <v>421</v>
      </c>
      <c r="E425" s="2" t="n">
        <v>438858756</v>
      </c>
      <c r="H425" s="3" t="n">
        <v>1310</v>
      </c>
      <c r="I425" s="26" t="n">
        <v>1250</v>
      </c>
      <c r="J425" s="1" t="n">
        <v>60</v>
      </c>
      <c r="M425" s="5" t="n">
        <v>45924</v>
      </c>
      <c r="N425" s="33" t="n">
        <f aca="false">DAY(M425)</f>
        <v>24</v>
      </c>
      <c r="O425" s="33" t="str">
        <f aca="false">TEXT(M425,"DDDD")</f>
        <v>miércoles</v>
      </c>
      <c r="P425" s="6" t="n">
        <f aca="false">MONTH(M425)</f>
        <v>9</v>
      </c>
      <c r="Q425" s="26" t="str">
        <f aca="false">TEXT(M425,"MMMM")</f>
        <v>septiembre</v>
      </c>
    </row>
    <row r="426" customFormat="false" ht="14.25" hidden="false" customHeight="false" outlineLevel="0" collapsed="false">
      <c r="A426" s="1" t="n">
        <v>10</v>
      </c>
      <c r="B426" s="1" t="s">
        <v>748</v>
      </c>
      <c r="C426" s="1" t="s">
        <v>20</v>
      </c>
      <c r="D426" s="1" t="s">
        <v>749</v>
      </c>
      <c r="E426" s="2" t="n">
        <v>438853216</v>
      </c>
      <c r="H426" s="3" t="n">
        <v>2010</v>
      </c>
      <c r="I426" s="26" t="n">
        <v>1200</v>
      </c>
      <c r="J426" s="1" t="n">
        <v>60</v>
      </c>
      <c r="K426" s="26" t="n">
        <v>750</v>
      </c>
      <c r="L426" s="36"/>
      <c r="M426" s="5" t="n">
        <v>45924</v>
      </c>
      <c r="N426" s="33" t="n">
        <f aca="false">DAY(M426)</f>
        <v>24</v>
      </c>
      <c r="O426" s="33" t="str">
        <f aca="false">TEXT(M426,"DDDD")</f>
        <v>miércoles</v>
      </c>
      <c r="P426" s="6" t="n">
        <f aca="false">MONTH(M426)</f>
        <v>9</v>
      </c>
      <c r="Q426" s="26" t="str">
        <f aca="false">TEXT(M426,"MMMM")</f>
        <v>septiembre</v>
      </c>
    </row>
    <row r="427" customFormat="false" ht="14.25" hidden="false" customHeight="false" outlineLevel="0" collapsed="false">
      <c r="A427" s="1" t="n">
        <v>10</v>
      </c>
      <c r="B427" s="1" t="s">
        <v>750</v>
      </c>
      <c r="C427" s="1" t="s">
        <v>20</v>
      </c>
      <c r="D427" s="1" t="s">
        <v>751</v>
      </c>
      <c r="E427" s="2" t="n">
        <v>438851756</v>
      </c>
      <c r="H427" s="3" t="n">
        <v>2640</v>
      </c>
      <c r="I427" s="26" t="n">
        <v>1200</v>
      </c>
      <c r="J427" s="1" t="n">
        <v>60</v>
      </c>
      <c r="K427" s="26" t="n">
        <v>1380</v>
      </c>
      <c r="L427" s="36"/>
      <c r="M427" s="5" t="n">
        <v>45924</v>
      </c>
      <c r="N427" s="33" t="n">
        <f aca="false">DAY(M427)</f>
        <v>24</v>
      </c>
      <c r="O427" s="33" t="str">
        <f aca="false">TEXT(M427,"DDDD")</f>
        <v>miércoles</v>
      </c>
      <c r="P427" s="6" t="n">
        <f aca="false">MONTH(M427)</f>
        <v>9</v>
      </c>
      <c r="Q427" s="26" t="str">
        <f aca="false">TEXT(M427,"MMMM")</f>
        <v>septiembre</v>
      </c>
    </row>
    <row r="428" customFormat="false" ht="14.25" hidden="false" customHeight="false" outlineLevel="0" collapsed="false">
      <c r="A428" s="1" t="n">
        <v>10</v>
      </c>
      <c r="B428" s="1" t="s">
        <v>752</v>
      </c>
      <c r="C428" s="1" t="s">
        <v>38</v>
      </c>
      <c r="D428" s="1" t="s">
        <v>500</v>
      </c>
      <c r="E428" s="2" t="n">
        <v>438847731</v>
      </c>
      <c r="H428" s="3" t="n">
        <v>2380</v>
      </c>
      <c r="I428" s="26" t="n">
        <v>1200</v>
      </c>
      <c r="J428" s="1" t="n">
        <v>60</v>
      </c>
      <c r="K428" s="26" t="n">
        <v>1120</v>
      </c>
      <c r="L428" s="36"/>
      <c r="M428" s="5" t="n">
        <v>45924</v>
      </c>
      <c r="N428" s="33" t="n">
        <f aca="false">DAY(M428)</f>
        <v>24</v>
      </c>
      <c r="O428" s="33" t="str">
        <f aca="false">TEXT(M428,"DDDD")</f>
        <v>miércoles</v>
      </c>
      <c r="P428" s="6" t="n">
        <f aca="false">MONTH(M428)</f>
        <v>9</v>
      </c>
      <c r="Q428" s="26" t="str">
        <f aca="false">TEXT(M428,"MMMM")</f>
        <v>septiembre</v>
      </c>
    </row>
    <row r="429" customFormat="false" ht="14.25" hidden="false" customHeight="false" outlineLevel="0" collapsed="false">
      <c r="A429" s="1" t="n">
        <v>10</v>
      </c>
      <c r="B429" s="1" t="s">
        <v>753</v>
      </c>
      <c r="C429" s="1" t="s">
        <v>20</v>
      </c>
      <c r="D429" s="1" t="s">
        <v>754</v>
      </c>
      <c r="E429" s="2" t="n">
        <v>438844603</v>
      </c>
      <c r="H429" s="3" t="n">
        <v>1260</v>
      </c>
      <c r="I429" s="26" t="n">
        <v>1200</v>
      </c>
      <c r="J429" s="1" t="n">
        <v>60</v>
      </c>
      <c r="M429" s="5" t="n">
        <v>45924</v>
      </c>
      <c r="N429" s="33" t="n">
        <f aca="false">DAY(M429)</f>
        <v>24</v>
      </c>
      <c r="O429" s="33" t="str">
        <f aca="false">TEXT(M429,"DDDD")</f>
        <v>miércoles</v>
      </c>
      <c r="P429" s="6" t="n">
        <f aca="false">MONTH(M429)</f>
        <v>9</v>
      </c>
      <c r="Q429" s="26" t="str">
        <f aca="false">TEXT(M429,"MMMM")</f>
        <v>septiembre</v>
      </c>
    </row>
    <row r="430" customFormat="false" ht="14.25" hidden="false" customHeight="false" outlineLevel="0" collapsed="false">
      <c r="A430" s="1" t="n">
        <v>9</v>
      </c>
      <c r="B430" s="1" t="s">
        <v>428</v>
      </c>
      <c r="C430" s="1" t="s">
        <v>20</v>
      </c>
      <c r="D430" s="1" t="s">
        <v>755</v>
      </c>
      <c r="E430" s="2" t="n">
        <v>438842612</v>
      </c>
      <c r="F430" s="21" t="s">
        <v>755</v>
      </c>
      <c r="G430" s="1" t="n">
        <v>438842720</v>
      </c>
      <c r="H430" s="3" t="n">
        <v>3160</v>
      </c>
      <c r="I430" s="26" t="n">
        <v>1800</v>
      </c>
      <c r="J430" s="1" t="n">
        <v>120</v>
      </c>
      <c r="K430" s="26" t="n">
        <v>1240</v>
      </c>
      <c r="L430" s="36"/>
      <c r="M430" s="5" t="n">
        <v>45924</v>
      </c>
      <c r="N430" s="33" t="n">
        <f aca="false">DAY(M430)</f>
        <v>24</v>
      </c>
      <c r="O430" s="33" t="str">
        <f aca="false">TEXT(M430,"DDDD")</f>
        <v>miércoles</v>
      </c>
      <c r="P430" s="6" t="n">
        <f aca="false">MONTH(M430)</f>
        <v>9</v>
      </c>
      <c r="Q430" s="26" t="str">
        <f aca="false">TEXT(M430,"MMMM")</f>
        <v>septiembre</v>
      </c>
    </row>
    <row r="431" customFormat="false" ht="14.25" hidden="false" customHeight="false" outlineLevel="0" collapsed="false">
      <c r="A431" s="1" t="n">
        <v>9</v>
      </c>
      <c r="B431" s="1" t="s">
        <v>756</v>
      </c>
      <c r="C431" s="1" t="s">
        <v>38</v>
      </c>
      <c r="D431" s="1" t="s">
        <v>152</v>
      </c>
      <c r="E431" s="2" t="n">
        <v>438842385</v>
      </c>
      <c r="H431" s="3" t="n">
        <v>1260</v>
      </c>
      <c r="I431" s="26" t="n">
        <v>1200</v>
      </c>
      <c r="J431" s="1" t="n">
        <v>60</v>
      </c>
      <c r="M431" s="5" t="n">
        <v>45924</v>
      </c>
      <c r="N431" s="33" t="n">
        <f aca="false">DAY(M431)</f>
        <v>24</v>
      </c>
      <c r="O431" s="33" t="str">
        <f aca="false">TEXT(M431,"DDDD")</f>
        <v>miércoles</v>
      </c>
      <c r="P431" s="6" t="n">
        <f aca="false">MONTH(M431)</f>
        <v>9</v>
      </c>
      <c r="Q431" s="26" t="str">
        <f aca="false">TEXT(M431,"MMMM")</f>
        <v>septiembre</v>
      </c>
    </row>
    <row r="432" customFormat="false" ht="14.25" hidden="false" customHeight="false" outlineLevel="0" collapsed="false">
      <c r="A432" s="1" t="n">
        <v>9</v>
      </c>
      <c r="B432" s="1" t="s">
        <v>477</v>
      </c>
      <c r="C432" s="1" t="s">
        <v>20</v>
      </c>
      <c r="D432" s="1" t="s">
        <v>757</v>
      </c>
      <c r="E432" s="2" t="n">
        <v>438840477</v>
      </c>
      <c r="H432" s="3" t="n">
        <v>2800</v>
      </c>
      <c r="I432" s="26" t="n">
        <v>1200</v>
      </c>
      <c r="J432" s="1" t="n">
        <v>60</v>
      </c>
      <c r="K432" s="26" t="n">
        <v>1540</v>
      </c>
      <c r="L432" s="36"/>
      <c r="M432" s="5" t="n">
        <v>45924</v>
      </c>
      <c r="N432" s="33" t="n">
        <f aca="false">DAY(M432)</f>
        <v>24</v>
      </c>
      <c r="O432" s="33" t="str">
        <f aca="false">TEXT(M432,"DDDD")</f>
        <v>miércoles</v>
      </c>
      <c r="P432" s="6" t="n">
        <f aca="false">MONTH(M432)</f>
        <v>9</v>
      </c>
      <c r="Q432" s="26" t="str">
        <f aca="false">TEXT(M432,"MMMM")</f>
        <v>septiembre</v>
      </c>
    </row>
    <row r="433" customFormat="false" ht="14.25" hidden="false" customHeight="false" outlineLevel="0" collapsed="false">
      <c r="A433" s="1" t="n">
        <v>9</v>
      </c>
      <c r="B433" s="1" t="s">
        <v>758</v>
      </c>
      <c r="C433" s="1" t="s">
        <v>20</v>
      </c>
      <c r="D433" s="1" t="s">
        <v>404</v>
      </c>
      <c r="E433" s="2" t="n">
        <v>438838527</v>
      </c>
      <c r="H433" s="3" t="n">
        <v>2500</v>
      </c>
      <c r="I433" s="26" t="n">
        <v>1200</v>
      </c>
      <c r="J433" s="1" t="n">
        <v>60</v>
      </c>
      <c r="K433" s="1" t="n">
        <v>1240</v>
      </c>
      <c r="M433" s="5" t="n">
        <v>45924</v>
      </c>
      <c r="N433" s="33" t="n">
        <f aca="false">DAY(M433)</f>
        <v>24</v>
      </c>
      <c r="O433" s="33" t="str">
        <f aca="false">TEXT(M433,"DDDD")</f>
        <v>miércoles</v>
      </c>
      <c r="P433" s="6" t="n">
        <f aca="false">MONTH(M433)</f>
        <v>9</v>
      </c>
      <c r="Q433" s="26" t="str">
        <f aca="false">TEXT(M433,"MMMM")</f>
        <v>septiembre</v>
      </c>
    </row>
    <row r="434" customFormat="false" ht="14.25" hidden="false" customHeight="false" outlineLevel="0" collapsed="false">
      <c r="A434" s="1" t="n">
        <v>11</v>
      </c>
      <c r="B434" s="1" t="s">
        <v>439</v>
      </c>
      <c r="C434" s="1" t="s">
        <v>140</v>
      </c>
      <c r="D434" s="1" t="s">
        <v>697</v>
      </c>
      <c r="M434" s="5" t="n">
        <v>45926</v>
      </c>
      <c r="N434" s="33" t="n">
        <f aca="false">DAY(M434)</f>
        <v>26</v>
      </c>
      <c r="O434" s="33" t="str">
        <f aca="false">TEXT(M434,"DDDD")</f>
        <v>viernes</v>
      </c>
      <c r="P434" s="6" t="n">
        <f aca="false">MONTH(M434)</f>
        <v>9</v>
      </c>
      <c r="Q434" s="26" t="str">
        <f aca="false">TEXT(M434,"MMMM")</f>
        <v>septiembre</v>
      </c>
    </row>
    <row r="435" customFormat="false" ht="14.25" hidden="false" customHeight="false" outlineLevel="0" collapsed="false">
      <c r="A435" s="1" t="n">
        <v>10</v>
      </c>
      <c r="B435" s="1" t="s">
        <v>759</v>
      </c>
      <c r="C435" s="1" t="s">
        <v>140</v>
      </c>
      <c r="D435" s="1" t="s">
        <v>760</v>
      </c>
      <c r="E435" s="2" t="n">
        <v>439051802</v>
      </c>
      <c r="H435" s="3" t="n">
        <v>2000</v>
      </c>
      <c r="I435" s="26" t="n">
        <v>1200</v>
      </c>
      <c r="J435" s="1" t="n">
        <v>60</v>
      </c>
      <c r="K435" s="1" t="n">
        <v>245</v>
      </c>
      <c r="M435" s="5" t="n">
        <v>45926</v>
      </c>
      <c r="N435" s="33" t="n">
        <f aca="false">DAY(M435)</f>
        <v>26</v>
      </c>
      <c r="O435" s="33" t="str">
        <f aca="false">TEXT(M435,"DDDD")</f>
        <v>viernes</v>
      </c>
      <c r="P435" s="6" t="n">
        <f aca="false">MONTH(M435)</f>
        <v>9</v>
      </c>
      <c r="Q435" s="26" t="str">
        <f aca="false">TEXT(M435,"MMMM")</f>
        <v>septiembre</v>
      </c>
    </row>
    <row r="436" customFormat="false" ht="14.25" hidden="false" customHeight="false" outlineLevel="0" collapsed="false">
      <c r="A436" s="1" t="n">
        <v>9</v>
      </c>
      <c r="B436" s="1" t="s">
        <v>761</v>
      </c>
      <c r="C436" s="1" t="s">
        <v>20</v>
      </c>
      <c r="D436" s="1" t="s">
        <v>762</v>
      </c>
      <c r="E436" s="2" t="n">
        <v>439048431</v>
      </c>
      <c r="H436" s="3" t="n">
        <v>2740</v>
      </c>
      <c r="I436" s="26" t="n">
        <v>1200</v>
      </c>
      <c r="J436" s="1" t="n">
        <v>60</v>
      </c>
      <c r="K436" s="1" t="n">
        <v>1480</v>
      </c>
      <c r="M436" s="5" t="n">
        <v>45926</v>
      </c>
      <c r="N436" s="33" t="n">
        <f aca="false">DAY(M436)</f>
        <v>26</v>
      </c>
      <c r="O436" s="33" t="str">
        <f aca="false">TEXT(M436,"DDDD")</f>
        <v>viernes</v>
      </c>
      <c r="P436" s="6" t="n">
        <f aca="false">MONTH(M436)</f>
        <v>9</v>
      </c>
      <c r="Q436" s="26" t="str">
        <f aca="false">TEXT(M436,"MMMM")</f>
        <v>septiembre</v>
      </c>
    </row>
    <row r="437" customFormat="false" ht="14.25" hidden="false" customHeight="false" outlineLevel="0" collapsed="false">
      <c r="A437" s="1" t="n">
        <v>9</v>
      </c>
      <c r="B437" s="1" t="s">
        <v>763</v>
      </c>
      <c r="C437" s="1" t="s">
        <v>38</v>
      </c>
      <c r="D437" s="1" t="s">
        <v>183</v>
      </c>
      <c r="E437" s="2" t="n">
        <v>439043156</v>
      </c>
      <c r="H437" s="3" t="n">
        <v>1560</v>
      </c>
      <c r="I437" s="26" t="n">
        <v>1500</v>
      </c>
      <c r="J437" s="1" t="n">
        <v>60</v>
      </c>
      <c r="K437" s="1" t="n">
        <v>0</v>
      </c>
      <c r="M437" s="5" t="n">
        <v>45926</v>
      </c>
      <c r="N437" s="33" t="n">
        <f aca="false">DAY(M437)</f>
        <v>26</v>
      </c>
      <c r="O437" s="33" t="str">
        <f aca="false">TEXT(M437,"DDDD")</f>
        <v>viernes</v>
      </c>
      <c r="P437" s="6" t="n">
        <f aca="false">MONTH(M437)</f>
        <v>9</v>
      </c>
      <c r="Q437" s="26" t="str">
        <f aca="false">TEXT(M437,"MMMM")</f>
        <v>septiembre</v>
      </c>
    </row>
    <row r="438" customFormat="false" ht="14.25" hidden="false" customHeight="false" outlineLevel="0" collapsed="false">
      <c r="A438" s="1" t="n">
        <v>8</v>
      </c>
      <c r="B438" s="1" t="s">
        <v>716</v>
      </c>
      <c r="C438" s="1" t="s">
        <v>20</v>
      </c>
      <c r="D438" s="1" t="s">
        <v>764</v>
      </c>
      <c r="E438" s="2" t="n">
        <v>439037665</v>
      </c>
      <c r="H438" s="3" t="n">
        <v>2280</v>
      </c>
      <c r="I438" s="26" t="n">
        <v>1200</v>
      </c>
      <c r="J438" s="1" t="n">
        <v>60</v>
      </c>
      <c r="K438" s="1" t="n">
        <v>1020</v>
      </c>
      <c r="M438" s="5" t="n">
        <v>45926</v>
      </c>
      <c r="N438" s="33" t="n">
        <f aca="false">DAY(M438)</f>
        <v>26</v>
      </c>
      <c r="O438" s="33" t="str">
        <f aca="false">TEXT(M438,"DDDD")</f>
        <v>viernes</v>
      </c>
      <c r="P438" s="6" t="n">
        <f aca="false">MONTH(M438)</f>
        <v>9</v>
      </c>
      <c r="Q438" s="26" t="str">
        <f aca="false">TEXT(M438,"MMMM")</f>
        <v>septiembre</v>
      </c>
    </row>
    <row r="439" customFormat="false" ht="14.25" hidden="false" customHeight="false" outlineLevel="0" collapsed="false">
      <c r="A439" s="1" t="n">
        <v>8</v>
      </c>
      <c r="B439" s="1" t="s">
        <v>765</v>
      </c>
      <c r="C439" s="1" t="s">
        <v>140</v>
      </c>
      <c r="D439" s="1" t="s">
        <v>760</v>
      </c>
      <c r="E439" s="2" t="n">
        <v>439033397</v>
      </c>
      <c r="H439" s="3" t="n">
        <v>1260</v>
      </c>
      <c r="I439" s="26" t="n">
        <v>1200</v>
      </c>
      <c r="J439" s="1" t="n">
        <v>60</v>
      </c>
      <c r="M439" s="5" t="n">
        <v>45926</v>
      </c>
      <c r="N439" s="33" t="n">
        <f aca="false">DAY(M439)</f>
        <v>26</v>
      </c>
      <c r="O439" s="33" t="str">
        <f aca="false">TEXT(M439,"DDDD")</f>
        <v>viernes</v>
      </c>
      <c r="P439" s="6" t="n">
        <f aca="false">MONTH(M439)</f>
        <v>9</v>
      </c>
      <c r="Q439" s="26" t="str">
        <f aca="false">TEXT(M439,"MMMM")</f>
        <v>septiembre</v>
      </c>
    </row>
    <row r="440" customFormat="false" ht="14.25" hidden="false" customHeight="false" outlineLevel="0" collapsed="false">
      <c r="A440" s="1" t="n">
        <v>11</v>
      </c>
      <c r="B440" s="1" t="s">
        <v>766</v>
      </c>
      <c r="C440" s="1" t="s">
        <v>38</v>
      </c>
      <c r="D440" s="1" t="s">
        <v>500</v>
      </c>
      <c r="E440" s="2" t="n">
        <v>439327916</v>
      </c>
      <c r="F440" s="21" t="s">
        <v>500</v>
      </c>
      <c r="G440" s="1" t="n">
        <v>439328798</v>
      </c>
      <c r="H440" s="3" t="n">
        <v>8840</v>
      </c>
      <c r="I440" s="26" t="n">
        <v>6300</v>
      </c>
      <c r="J440" s="1" t="n">
        <v>120</v>
      </c>
      <c r="K440" s="1" t="n">
        <v>2420</v>
      </c>
      <c r="M440" s="5" t="s">
        <v>767</v>
      </c>
      <c r="N440" s="33" t="n">
        <f aca="false">DAY(M440)</f>
        <v>28</v>
      </c>
      <c r="O440" s="33" t="str">
        <f aca="false">TEXT(M440,"DDDD")</f>
        <v>domingo</v>
      </c>
      <c r="P440" s="6" t="n">
        <f aca="false">MONTH(M440)</f>
        <v>9</v>
      </c>
      <c r="Q440" s="26" t="str">
        <f aca="false">TEXT(M440,"MMMM")</f>
        <v>septiembre</v>
      </c>
    </row>
    <row r="441" customFormat="false" ht="14.25" hidden="false" customHeight="false" outlineLevel="0" collapsed="false">
      <c r="A441" s="1" t="n">
        <v>11</v>
      </c>
      <c r="B441" s="1" t="s">
        <v>768</v>
      </c>
      <c r="C441" s="1" t="s">
        <v>38</v>
      </c>
      <c r="D441" s="1" t="s">
        <v>769</v>
      </c>
      <c r="E441" s="2" t="n">
        <v>439322543</v>
      </c>
      <c r="F441" s="21" t="s">
        <v>769</v>
      </c>
      <c r="G441" s="1" t="n">
        <v>439322821</v>
      </c>
      <c r="H441" s="3" t="n">
        <v>3870</v>
      </c>
      <c r="I441" s="26" t="n">
        <v>2150</v>
      </c>
      <c r="J441" s="1" t="n">
        <v>120</v>
      </c>
      <c r="K441" s="1" t="n">
        <v>1600</v>
      </c>
      <c r="M441" s="5" t="s">
        <v>767</v>
      </c>
      <c r="N441" s="33" t="n">
        <f aca="false">DAY(M441)</f>
        <v>28</v>
      </c>
      <c r="O441" s="33" t="str">
        <f aca="false">TEXT(M441,"DDDD")</f>
        <v>domingo</v>
      </c>
      <c r="P441" s="6" t="n">
        <f aca="false">MONTH(M441)</f>
        <v>9</v>
      </c>
      <c r="Q441" s="26" t="str">
        <f aca="false">TEXT(M441,"MMMM")</f>
        <v>septiembre</v>
      </c>
    </row>
    <row r="442" customFormat="false" ht="14.25" hidden="false" customHeight="false" outlineLevel="0" collapsed="false">
      <c r="A442" s="1" t="n">
        <v>10</v>
      </c>
      <c r="B442" s="1" t="s">
        <v>770</v>
      </c>
      <c r="C442" s="1" t="s">
        <v>20</v>
      </c>
      <c r="D442" s="1" t="s">
        <v>198</v>
      </c>
      <c r="E442" s="2" t="n">
        <v>439320152</v>
      </c>
      <c r="H442" s="3" t="n">
        <v>2680</v>
      </c>
      <c r="I442" s="26" t="n">
        <v>1200</v>
      </c>
      <c r="J442" s="1" t="n">
        <v>60</v>
      </c>
      <c r="K442" s="1" t="n">
        <v>1420</v>
      </c>
      <c r="M442" s="5" t="s">
        <v>767</v>
      </c>
      <c r="N442" s="33" t="n">
        <f aca="false">DAY(M442)</f>
        <v>28</v>
      </c>
      <c r="O442" s="33" t="str">
        <f aca="false">TEXT(M442,"DDDD")</f>
        <v>domingo</v>
      </c>
      <c r="P442" s="6" t="n">
        <f aca="false">MONTH(M442)</f>
        <v>9</v>
      </c>
      <c r="Q442" s="26" t="str">
        <f aca="false">TEXT(M442,"MMMM")</f>
        <v>septiembre</v>
      </c>
    </row>
    <row r="443" customFormat="false" ht="14.25" hidden="false" customHeight="false" outlineLevel="0" collapsed="false">
      <c r="A443" s="1" t="n">
        <v>10</v>
      </c>
      <c r="B443" s="1" t="s">
        <v>771</v>
      </c>
      <c r="C443" s="1" t="s">
        <v>38</v>
      </c>
      <c r="D443" s="1" t="s">
        <v>772</v>
      </c>
      <c r="E443" s="2" t="n">
        <v>439315419</v>
      </c>
      <c r="H443" s="3" t="n">
        <v>2660</v>
      </c>
      <c r="I443" s="26" t="n">
        <v>2100</v>
      </c>
      <c r="J443" s="1" t="n">
        <v>60</v>
      </c>
      <c r="K443" s="1" t="n">
        <v>500</v>
      </c>
      <c r="M443" s="5" t="s">
        <v>767</v>
      </c>
      <c r="N443" s="33" t="n">
        <f aca="false">DAY(M443)</f>
        <v>28</v>
      </c>
      <c r="O443" s="33" t="str">
        <f aca="false">TEXT(M443,"DDDD")</f>
        <v>domingo</v>
      </c>
      <c r="P443" s="6" t="n">
        <f aca="false">MONTH(M443)</f>
        <v>9</v>
      </c>
      <c r="Q443" s="26" t="str">
        <f aca="false">TEXT(M443,"MMMM")</f>
        <v>septiembre</v>
      </c>
    </row>
    <row r="444" customFormat="false" ht="14.25" hidden="false" customHeight="false" outlineLevel="0" collapsed="false">
      <c r="A444" s="1" t="n">
        <v>9</v>
      </c>
      <c r="B444" s="1" t="s">
        <v>773</v>
      </c>
      <c r="C444" s="1" t="s">
        <v>20</v>
      </c>
      <c r="D444" s="1" t="s">
        <v>774</v>
      </c>
      <c r="E444" s="2" t="n">
        <v>439313922</v>
      </c>
      <c r="H444" s="3" t="n">
        <v>2820</v>
      </c>
      <c r="I444" s="26" t="n">
        <v>1200</v>
      </c>
      <c r="J444" s="1" t="n">
        <v>60</v>
      </c>
      <c r="K444" s="1" t="n">
        <v>1560</v>
      </c>
      <c r="M444" s="5" t="s">
        <v>767</v>
      </c>
      <c r="N444" s="33" t="n">
        <f aca="false">DAY(M444)</f>
        <v>28</v>
      </c>
      <c r="O444" s="33" t="str">
        <f aca="false">TEXT(M444,"DDDD")</f>
        <v>domingo</v>
      </c>
      <c r="P444" s="6" t="n">
        <f aca="false">MONTH(M444)</f>
        <v>9</v>
      </c>
      <c r="Q444" s="26" t="str">
        <f aca="false">TEXT(M444,"MMMM")</f>
        <v>septiembre</v>
      </c>
    </row>
    <row r="445" customFormat="false" ht="14.25" hidden="false" customHeight="false" outlineLevel="0" collapsed="false">
      <c r="A445" s="1" t="n">
        <v>9</v>
      </c>
      <c r="B445" s="1" t="s">
        <v>775</v>
      </c>
      <c r="C445" s="1" t="s">
        <v>20</v>
      </c>
      <c r="D445" s="1" t="s">
        <v>776</v>
      </c>
      <c r="E445" s="2" t="n">
        <v>439312768</v>
      </c>
      <c r="H445" s="3" t="n">
        <v>1260</v>
      </c>
      <c r="I445" s="26" t="n">
        <v>1200</v>
      </c>
      <c r="J445" s="1" t="n">
        <v>60</v>
      </c>
      <c r="M445" s="5" t="s">
        <v>767</v>
      </c>
      <c r="N445" s="33" t="n">
        <f aca="false">DAY(M445)</f>
        <v>28</v>
      </c>
      <c r="O445" s="33" t="str">
        <f aca="false">TEXT(M445,"DDDD")</f>
        <v>domingo</v>
      </c>
      <c r="P445" s="6" t="n">
        <f aca="false">MONTH(M445)</f>
        <v>9</v>
      </c>
      <c r="Q445" s="26" t="str">
        <f aca="false">TEXT(M445,"MMMM")</f>
        <v>septiembre</v>
      </c>
    </row>
    <row r="446" customFormat="false" ht="14.25" hidden="false" customHeight="false" outlineLevel="0" collapsed="false">
      <c r="A446" s="1" t="n">
        <v>9</v>
      </c>
      <c r="B446" s="1" t="s">
        <v>777</v>
      </c>
      <c r="C446" s="1" t="s">
        <v>20</v>
      </c>
      <c r="D446" s="1" t="s">
        <v>778</v>
      </c>
      <c r="E446" s="2" t="n">
        <v>439309573</v>
      </c>
      <c r="H446" s="3" t="n">
        <v>2260</v>
      </c>
      <c r="I446" s="26" t="n">
        <v>1200</v>
      </c>
      <c r="J446" s="1" t="n">
        <v>60</v>
      </c>
      <c r="K446" s="1" t="n">
        <v>1000</v>
      </c>
      <c r="M446" s="5" t="s">
        <v>767</v>
      </c>
      <c r="N446" s="33" t="n">
        <f aca="false">DAY(M446)</f>
        <v>28</v>
      </c>
      <c r="O446" s="33" t="str">
        <f aca="false">TEXT(M446,"DDDD")</f>
        <v>domingo</v>
      </c>
      <c r="P446" s="6" t="n">
        <f aca="false">MONTH(M446)</f>
        <v>9</v>
      </c>
      <c r="Q446" s="26" t="str">
        <f aca="false">TEXT(M446,"MMMM")</f>
        <v>septiembre</v>
      </c>
    </row>
    <row r="447" customFormat="false" ht="14.25" hidden="false" customHeight="false" outlineLevel="0" collapsed="false">
      <c r="A447" s="1" t="n">
        <v>9</v>
      </c>
      <c r="B447" s="1" t="s">
        <v>779</v>
      </c>
      <c r="C447" s="1" t="s">
        <v>20</v>
      </c>
      <c r="D447" s="1" t="s">
        <v>131</v>
      </c>
      <c r="E447" s="2" t="n">
        <v>439305142</v>
      </c>
      <c r="H447" s="3" t="n">
        <v>2760</v>
      </c>
      <c r="I447" s="26" t="n">
        <v>1200</v>
      </c>
      <c r="J447" s="1" t="n">
        <v>60</v>
      </c>
      <c r="K447" s="1" t="n">
        <v>1500</v>
      </c>
      <c r="M447" s="5" t="s">
        <v>767</v>
      </c>
      <c r="N447" s="33" t="n">
        <f aca="false">DAY(M447)</f>
        <v>28</v>
      </c>
      <c r="O447" s="33" t="str">
        <f aca="false">TEXT(M447,"DDDD")</f>
        <v>domingo</v>
      </c>
      <c r="P447" s="6" t="n">
        <f aca="false">MONTH(M447)</f>
        <v>9</v>
      </c>
      <c r="Q447" s="26" t="str">
        <f aca="false">TEXT(M447,"MMMM")</f>
        <v>septiembre</v>
      </c>
    </row>
    <row r="448" customFormat="false" ht="14.25" hidden="false" customHeight="false" outlineLevel="0" collapsed="false">
      <c r="A448" s="1" t="n">
        <v>8</v>
      </c>
      <c r="B448" s="1" t="s">
        <v>780</v>
      </c>
      <c r="C448" s="1" t="s">
        <v>20</v>
      </c>
      <c r="D448" s="1" t="s">
        <v>781</v>
      </c>
      <c r="E448" s="2" t="n">
        <v>439299539</v>
      </c>
      <c r="H448" s="3" t="n">
        <v>2780</v>
      </c>
      <c r="I448" s="26" t="n">
        <v>1200</v>
      </c>
      <c r="J448" s="1" t="n">
        <v>60</v>
      </c>
      <c r="K448" s="1" t="n">
        <v>1520</v>
      </c>
      <c r="M448" s="5" t="s">
        <v>767</v>
      </c>
      <c r="N448" s="33" t="n">
        <f aca="false">DAY(M448)</f>
        <v>28</v>
      </c>
      <c r="O448" s="33" t="str">
        <f aca="false">TEXT(M448,"DDDD")</f>
        <v>domingo</v>
      </c>
      <c r="P448" s="6" t="n">
        <f aca="false">MONTH(M448)</f>
        <v>9</v>
      </c>
      <c r="Q448" s="26" t="str">
        <f aca="false">TEXT(M448,"MMMM")</f>
        <v>septiembre</v>
      </c>
    </row>
    <row r="449" customFormat="false" ht="14.25" hidden="false" customHeight="false" outlineLevel="0" collapsed="false">
      <c r="A449" s="1" t="n">
        <v>7</v>
      </c>
      <c r="B449" s="1" t="s">
        <v>782</v>
      </c>
      <c r="C449" s="1" t="s">
        <v>38</v>
      </c>
      <c r="D449" s="1" t="s">
        <v>783</v>
      </c>
      <c r="E449" s="2" t="n">
        <v>439282195</v>
      </c>
      <c r="F449" s="21" t="s">
        <v>783</v>
      </c>
      <c r="G449" s="1" t="n">
        <v>439282195</v>
      </c>
      <c r="H449" s="3" t="n">
        <v>5920</v>
      </c>
      <c r="I449" s="26" t="n">
        <v>5050</v>
      </c>
      <c r="J449" s="1" t="n">
        <v>120</v>
      </c>
      <c r="K449" s="1" t="n">
        <v>750</v>
      </c>
      <c r="M449" s="5" t="s">
        <v>767</v>
      </c>
      <c r="N449" s="33" t="n">
        <f aca="false">DAY(M449)</f>
        <v>28</v>
      </c>
      <c r="O449" s="33" t="str">
        <f aca="false">TEXT(M449,"DDDD")</f>
        <v>domingo</v>
      </c>
      <c r="P449" s="6" t="n">
        <f aca="false">MONTH(M449)</f>
        <v>9</v>
      </c>
      <c r="Q449" s="26" t="str">
        <f aca="false">TEXT(M449,"MMMM")</f>
        <v>septiembre</v>
      </c>
    </row>
    <row r="450" customFormat="false" ht="14.25" hidden="false" customHeight="false" outlineLevel="0" collapsed="false">
      <c r="A450" s="1" t="n">
        <v>7</v>
      </c>
      <c r="B450" s="1" t="s">
        <v>702</v>
      </c>
      <c r="C450" s="1" t="s">
        <v>20</v>
      </c>
      <c r="D450" s="1" t="s">
        <v>784</v>
      </c>
      <c r="E450" s="2" t="n">
        <v>439392788</v>
      </c>
      <c r="H450" s="3" t="n">
        <v>1800</v>
      </c>
      <c r="I450" s="26" t="n">
        <v>1200</v>
      </c>
      <c r="K450" s="1" t="n">
        <v>600</v>
      </c>
      <c r="M450" s="5" t="s">
        <v>785</v>
      </c>
      <c r="N450" s="33" t="n">
        <f aca="false">DAY(M450)</f>
        <v>29</v>
      </c>
      <c r="O450" s="33" t="str">
        <f aca="false">TEXT(M450,"DDDD")</f>
        <v>lunes</v>
      </c>
      <c r="P450" s="6" t="n">
        <f aca="false">MONTH(M450)</f>
        <v>9</v>
      </c>
      <c r="Q450" s="26" t="str">
        <f aca="false">TEXT(M450,"MMMM")</f>
        <v>septiembre</v>
      </c>
    </row>
    <row r="451" customFormat="false" ht="14.25" hidden="false" customHeight="false" outlineLevel="0" collapsed="false">
      <c r="A451" s="1" t="n">
        <v>7</v>
      </c>
      <c r="B451" s="1" t="s">
        <v>786</v>
      </c>
      <c r="C451" s="1" t="s">
        <v>20</v>
      </c>
      <c r="D451" s="1" t="s">
        <v>787</v>
      </c>
      <c r="E451" s="2" t="n">
        <v>439392687</v>
      </c>
      <c r="F451" s="21" t="s">
        <v>262</v>
      </c>
      <c r="G451" s="1" t="n">
        <v>439392526</v>
      </c>
      <c r="H451" s="3" t="n">
        <v>3500</v>
      </c>
      <c r="I451" s="26" t="n">
        <v>2100</v>
      </c>
      <c r="K451" s="1" t="n">
        <v>1400</v>
      </c>
      <c r="M451" s="5" t="s">
        <v>785</v>
      </c>
      <c r="N451" s="33" t="n">
        <f aca="false">DAY(M451)</f>
        <v>29</v>
      </c>
      <c r="O451" s="33" t="str">
        <f aca="false">TEXT(M451,"DDDD")</f>
        <v>lunes</v>
      </c>
      <c r="P451" s="6" t="n">
        <f aca="false">MONTH(M451)</f>
        <v>9</v>
      </c>
      <c r="Q451" s="26" t="str">
        <f aca="false">TEXT(M451,"MMMM")</f>
        <v>septiembre</v>
      </c>
      <c r="R451" s="21" t="s">
        <v>83</v>
      </c>
      <c r="S451" s="1" t="n">
        <v>30332</v>
      </c>
    </row>
    <row r="452" customFormat="false" ht="14.25" hidden="false" customHeight="false" outlineLevel="0" collapsed="false">
      <c r="A452" s="1" t="n">
        <v>6</v>
      </c>
      <c r="B452" s="1" t="s">
        <v>788</v>
      </c>
      <c r="C452" s="1" t="s">
        <v>140</v>
      </c>
      <c r="D452" s="1" t="s">
        <v>789</v>
      </c>
      <c r="E452" s="2" t="n">
        <v>439391375</v>
      </c>
      <c r="H452" s="3" t="n">
        <v>1200</v>
      </c>
      <c r="I452" s="26" t="n">
        <v>1200</v>
      </c>
      <c r="M452" s="5" t="s">
        <v>785</v>
      </c>
      <c r="N452" s="33" t="n">
        <f aca="false">DAY(M452)</f>
        <v>29</v>
      </c>
      <c r="O452" s="33" t="str">
        <f aca="false">TEXT(M452,"DDDD")</f>
        <v>lunes</v>
      </c>
      <c r="P452" s="6" t="n">
        <f aca="false">MONTH(M452)</f>
        <v>9</v>
      </c>
      <c r="Q452" s="26" t="str">
        <f aca="false">TEXT(M452,"MMMM")</f>
        <v>septiembre</v>
      </c>
    </row>
    <row r="453" customFormat="false" ht="14.25" hidden="false" customHeight="false" outlineLevel="0" collapsed="false">
      <c r="A453" s="1" t="n">
        <v>6</v>
      </c>
      <c r="B453" s="1" t="s">
        <v>790</v>
      </c>
      <c r="C453" s="1" t="s">
        <v>20</v>
      </c>
      <c r="D453" s="1" t="s">
        <v>791</v>
      </c>
      <c r="E453" s="2" t="n">
        <v>439388156</v>
      </c>
      <c r="H453" s="3" t="n">
        <v>2420</v>
      </c>
      <c r="I453" s="26" t="n">
        <v>1200</v>
      </c>
      <c r="K453" s="1" t="n">
        <v>1220</v>
      </c>
      <c r="M453" s="5" t="s">
        <v>785</v>
      </c>
      <c r="N453" s="33" t="n">
        <f aca="false">DAY(M453)</f>
        <v>29</v>
      </c>
      <c r="O453" s="33" t="str">
        <f aca="false">TEXT(M453,"DDDD")</f>
        <v>lunes</v>
      </c>
      <c r="P453" s="6" t="n">
        <f aca="false">MONTH(M453)</f>
        <v>9</v>
      </c>
      <c r="Q453" s="26" t="str">
        <f aca="false">TEXT(M453,"MMMM")</f>
        <v>septiembre</v>
      </c>
    </row>
    <row r="454" customFormat="false" ht="14.25" hidden="false" customHeight="false" outlineLevel="0" collapsed="false">
      <c r="A454" s="1" t="n">
        <v>6</v>
      </c>
      <c r="B454" s="1" t="s">
        <v>792</v>
      </c>
      <c r="C454" s="1" t="s">
        <v>20</v>
      </c>
      <c r="D454" s="1" t="s">
        <v>791</v>
      </c>
      <c r="E454" s="2" t="n">
        <v>439387815</v>
      </c>
      <c r="H454" s="3" t="n">
        <v>1420</v>
      </c>
      <c r="I454" s="26" t="n">
        <v>1200</v>
      </c>
      <c r="K454" s="1" t="n">
        <v>220</v>
      </c>
      <c r="M454" s="5" t="s">
        <v>785</v>
      </c>
      <c r="N454" s="33" t="n">
        <f aca="false">DAY(M454)</f>
        <v>29</v>
      </c>
      <c r="O454" s="33" t="str">
        <f aca="false">TEXT(M454,"DDDD")</f>
        <v>lunes</v>
      </c>
      <c r="P454" s="6" t="n">
        <f aca="false">MONTH(M454)</f>
        <v>9</v>
      </c>
      <c r="Q454" s="26" t="str">
        <f aca="false">TEXT(M454,"MMMM")</f>
        <v>septiembre</v>
      </c>
    </row>
    <row r="455" customFormat="false" ht="14.25" hidden="false" customHeight="false" outlineLevel="0" collapsed="false">
      <c r="A455" s="1" t="n">
        <v>5</v>
      </c>
      <c r="B455" s="1" t="s">
        <v>665</v>
      </c>
      <c r="C455" s="1" t="s">
        <v>38</v>
      </c>
      <c r="D455" s="1" t="s">
        <v>366</v>
      </c>
      <c r="E455" s="2" t="n">
        <v>439387471</v>
      </c>
      <c r="H455" s="3" t="n">
        <v>1800</v>
      </c>
      <c r="I455" s="26" t="n">
        <v>1200</v>
      </c>
      <c r="K455" s="1" t="n">
        <v>600</v>
      </c>
      <c r="M455" s="5" t="s">
        <v>785</v>
      </c>
      <c r="N455" s="33" t="n">
        <f aca="false">DAY(M455)</f>
        <v>29</v>
      </c>
      <c r="O455" s="33" t="str">
        <f aca="false">TEXT(M455,"DDDD")</f>
        <v>lunes</v>
      </c>
      <c r="P455" s="6" t="n">
        <f aca="false">MONTH(M455)</f>
        <v>9</v>
      </c>
      <c r="Q455" s="26" t="str">
        <f aca="false">TEXT(M455,"MMMM")</f>
        <v>septiembre</v>
      </c>
    </row>
    <row r="456" customFormat="false" ht="14.25" hidden="false" customHeight="false" outlineLevel="0" collapsed="false">
      <c r="A456" s="1" t="n">
        <v>5</v>
      </c>
      <c r="B456" s="1" t="s">
        <v>793</v>
      </c>
      <c r="C456" s="1" t="s">
        <v>140</v>
      </c>
      <c r="D456" s="1" t="s">
        <v>588</v>
      </c>
      <c r="E456" s="2" t="n">
        <v>439386261</v>
      </c>
      <c r="H456" s="3" t="n">
        <v>1655</v>
      </c>
      <c r="I456" s="26" t="n">
        <v>1200</v>
      </c>
      <c r="K456" s="1" t="n">
        <v>455</v>
      </c>
      <c r="M456" s="5" t="s">
        <v>785</v>
      </c>
      <c r="N456" s="33" t="n">
        <f aca="false">DAY(M456)</f>
        <v>29</v>
      </c>
      <c r="O456" s="33" t="str">
        <f aca="false">TEXT(M456,"DDDD")</f>
        <v>lunes</v>
      </c>
      <c r="P456" s="6" t="n">
        <f aca="false">MONTH(M456)</f>
        <v>9</v>
      </c>
      <c r="Q456" s="26" t="str">
        <f aca="false">TEXT(M456,"MMMM")</f>
        <v>septiembre</v>
      </c>
    </row>
    <row r="457" customFormat="false" ht="14.25" hidden="false" customHeight="false" outlineLevel="0" collapsed="false">
      <c r="A457" s="1" t="n">
        <v>5</v>
      </c>
      <c r="B457" s="1" t="s">
        <v>794</v>
      </c>
      <c r="C457" s="1" t="s">
        <v>38</v>
      </c>
      <c r="D457" s="1" t="s">
        <v>795</v>
      </c>
      <c r="E457" s="2" t="n">
        <v>439385580</v>
      </c>
      <c r="H457" s="3" t="n">
        <v>1200</v>
      </c>
      <c r="I457" s="26" t="n">
        <v>1200</v>
      </c>
      <c r="M457" s="5" t="s">
        <v>785</v>
      </c>
      <c r="N457" s="33" t="n">
        <f aca="false">DAY(M457)</f>
        <v>29</v>
      </c>
      <c r="O457" s="33" t="str">
        <f aca="false">TEXT(M457,"DDDD")</f>
        <v>lunes</v>
      </c>
      <c r="P457" s="6" t="n">
        <f aca="false">MONTH(M457)</f>
        <v>9</v>
      </c>
      <c r="Q457" s="26" t="str">
        <f aca="false">TEXT(M457,"MMMM")</f>
        <v>septiembre</v>
      </c>
      <c r="R457" s="21" t="s">
        <v>83</v>
      </c>
      <c r="S457" s="1" t="n">
        <v>12253</v>
      </c>
    </row>
    <row r="458" customFormat="false" ht="14.25" hidden="false" customHeight="false" outlineLevel="0" collapsed="false">
      <c r="A458" s="1" t="n">
        <v>5</v>
      </c>
      <c r="B458" s="1" t="s">
        <v>796</v>
      </c>
      <c r="C458" s="1" t="s">
        <v>20</v>
      </c>
      <c r="D458" s="1" t="s">
        <v>797</v>
      </c>
      <c r="E458" s="2" t="n">
        <v>439385189</v>
      </c>
      <c r="H458" s="3" t="n">
        <v>2160</v>
      </c>
      <c r="I458" s="26" t="n">
        <v>1200</v>
      </c>
      <c r="K458" s="1" t="n">
        <v>960</v>
      </c>
      <c r="M458" s="5" t="s">
        <v>785</v>
      </c>
      <c r="N458" s="33" t="n">
        <f aca="false">DAY(M458)</f>
        <v>29</v>
      </c>
      <c r="O458" s="33" t="str">
        <f aca="false">TEXT(M458,"DDDD")</f>
        <v>lunes</v>
      </c>
      <c r="P458" s="6" t="n">
        <f aca="false">MONTH(M458)</f>
        <v>9</v>
      </c>
      <c r="Q458" s="26" t="str">
        <f aca="false">TEXT(M458,"MMMM")</f>
        <v>septiembre</v>
      </c>
    </row>
    <row r="459" customFormat="false" ht="14.25" hidden="false" customHeight="false" outlineLevel="0" collapsed="false">
      <c r="A459" s="1" t="n">
        <v>5</v>
      </c>
      <c r="B459" s="1" t="s">
        <v>713</v>
      </c>
      <c r="C459" s="1" t="s">
        <v>38</v>
      </c>
      <c r="D459" s="1" t="s">
        <v>798</v>
      </c>
      <c r="E459" s="2" t="n">
        <v>439385065</v>
      </c>
      <c r="H459" s="3" t="n">
        <v>1700</v>
      </c>
      <c r="I459" s="26" t="n">
        <v>1200</v>
      </c>
      <c r="K459" s="1" t="n">
        <v>500</v>
      </c>
      <c r="M459" s="5" t="s">
        <v>785</v>
      </c>
      <c r="N459" s="33" t="n">
        <f aca="false">DAY(M459)</f>
        <v>29</v>
      </c>
      <c r="O459" s="33" t="str">
        <f aca="false">TEXT(M459,"DDDD")</f>
        <v>lunes</v>
      </c>
      <c r="P459" s="6" t="n">
        <f aca="false">MONTH(M459)</f>
        <v>9</v>
      </c>
      <c r="Q459" s="26" t="str">
        <f aca="false">TEXT(M459,"MMMM")</f>
        <v>septiembre</v>
      </c>
    </row>
    <row r="460" customFormat="false" ht="14.25" hidden="false" customHeight="false" outlineLevel="0" collapsed="false">
      <c r="A460" s="1" t="n">
        <v>5</v>
      </c>
      <c r="B460" s="1" t="s">
        <v>799</v>
      </c>
      <c r="C460" s="1" t="s">
        <v>20</v>
      </c>
      <c r="D460" s="1" t="s">
        <v>800</v>
      </c>
      <c r="E460" s="2" t="n">
        <v>439384966</v>
      </c>
      <c r="H460" s="3" t="n">
        <v>2280</v>
      </c>
      <c r="I460" s="26" t="n">
        <v>1200</v>
      </c>
      <c r="K460" s="1" t="n">
        <v>1080</v>
      </c>
      <c r="M460" s="5" t="s">
        <v>785</v>
      </c>
      <c r="N460" s="33" t="n">
        <f aca="false">DAY(M460)</f>
        <v>29</v>
      </c>
      <c r="O460" s="33" t="str">
        <f aca="false">TEXT(M460,"DDDD")</f>
        <v>lunes</v>
      </c>
      <c r="P460" s="6" t="n">
        <f aca="false">MONTH(M460)</f>
        <v>9</v>
      </c>
      <c r="Q460" s="26" t="str">
        <f aca="false">TEXT(M460,"MMMM")</f>
        <v>septiembre</v>
      </c>
    </row>
    <row r="461" customFormat="false" ht="14.25" hidden="false" customHeight="false" outlineLevel="0" collapsed="false">
      <c r="A461" s="1" t="n">
        <v>6</v>
      </c>
      <c r="B461" s="1" t="s">
        <v>801</v>
      </c>
      <c r="C461" s="1" t="s">
        <v>20</v>
      </c>
      <c r="D461" s="1" t="s">
        <v>802</v>
      </c>
      <c r="E461" s="2" t="n">
        <v>439575839</v>
      </c>
      <c r="F461" s="21" t="s">
        <v>803</v>
      </c>
      <c r="G461" s="1" t="n">
        <v>439576057</v>
      </c>
      <c r="H461" s="3" t="n">
        <v>3700</v>
      </c>
      <c r="I461" s="26" t="n">
        <v>2100</v>
      </c>
      <c r="K461" s="1" t="n">
        <v>1600</v>
      </c>
      <c r="M461" s="5" t="s">
        <v>804</v>
      </c>
      <c r="N461" s="33" t="n">
        <f aca="false">DAY(M461)</f>
        <v>1</v>
      </c>
      <c r="O461" s="33" t="str">
        <f aca="false">TEXT(M461,"DDDD")</f>
        <v>miércoles</v>
      </c>
      <c r="P461" s="6" t="n">
        <f aca="false">MONTH(M461)</f>
        <v>10</v>
      </c>
      <c r="Q461" s="26" t="str">
        <f aca="false">TEXT(M461,"MMMM")</f>
        <v>octubre</v>
      </c>
    </row>
    <row r="462" customFormat="false" ht="14.25" hidden="false" customHeight="false" outlineLevel="0" collapsed="false">
      <c r="A462" s="1" t="n">
        <v>6</v>
      </c>
      <c r="B462" s="1" t="s">
        <v>643</v>
      </c>
      <c r="C462" s="1" t="s">
        <v>20</v>
      </c>
      <c r="D462" s="1" t="s">
        <v>805</v>
      </c>
      <c r="E462" s="2" t="n">
        <v>439575026</v>
      </c>
      <c r="H462" s="3" t="n">
        <v>1920</v>
      </c>
      <c r="I462" s="26" t="n">
        <v>1200</v>
      </c>
      <c r="K462" s="1" t="n">
        <v>720</v>
      </c>
      <c r="M462" s="5" t="s">
        <v>804</v>
      </c>
      <c r="N462" s="33" t="n">
        <f aca="false">DAY(M462)</f>
        <v>1</v>
      </c>
      <c r="O462" s="33" t="str">
        <f aca="false">TEXT(M462,"DDDD")</f>
        <v>miércoles</v>
      </c>
      <c r="P462" s="6" t="n">
        <f aca="false">MONTH(M462)</f>
        <v>10</v>
      </c>
      <c r="Q462" s="26" t="str">
        <f aca="false">TEXT(M462,"MMMM")</f>
        <v>octubre</v>
      </c>
    </row>
    <row r="463" customFormat="false" ht="14.25" hidden="false" customHeight="false" outlineLevel="0" collapsed="false">
      <c r="A463" s="1" t="n">
        <v>5</v>
      </c>
      <c r="B463" s="1" t="s">
        <v>665</v>
      </c>
      <c r="C463" s="1" t="s">
        <v>20</v>
      </c>
      <c r="D463" s="1" t="s">
        <v>666</v>
      </c>
      <c r="E463" s="2" t="n">
        <v>439573635</v>
      </c>
      <c r="H463" s="3" t="n">
        <v>1700</v>
      </c>
      <c r="I463" s="26" t="n">
        <v>1200</v>
      </c>
      <c r="K463" s="1" t="n">
        <v>500</v>
      </c>
      <c r="M463" s="5" t="s">
        <v>804</v>
      </c>
      <c r="N463" s="33" t="n">
        <f aca="false">DAY(M463)</f>
        <v>1</v>
      </c>
      <c r="O463" s="33" t="str">
        <f aca="false">TEXT(M463,"DDDD")</f>
        <v>miércoles</v>
      </c>
      <c r="P463" s="6" t="n">
        <f aca="false">MONTH(M463)</f>
        <v>10</v>
      </c>
      <c r="Q463" s="26" t="str">
        <f aca="false">TEXT(M463,"MMMM")</f>
        <v>octubre</v>
      </c>
    </row>
    <row r="464" customFormat="false" ht="14.25" hidden="false" customHeight="false" outlineLevel="0" collapsed="false">
      <c r="A464" s="1" t="n">
        <v>5</v>
      </c>
      <c r="B464" s="1" t="s">
        <v>806</v>
      </c>
      <c r="C464" s="1" t="s">
        <v>38</v>
      </c>
      <c r="D464" s="1" t="s">
        <v>807</v>
      </c>
      <c r="E464" s="2" t="n">
        <v>439572993</v>
      </c>
      <c r="H464" s="3" t="n">
        <v>2150</v>
      </c>
      <c r="I464" s="26" t="n">
        <v>1350</v>
      </c>
      <c r="K464" s="1" t="n">
        <v>800</v>
      </c>
      <c r="M464" s="5" t="s">
        <v>804</v>
      </c>
      <c r="N464" s="33" t="n">
        <f aca="false">DAY(M464)</f>
        <v>1</v>
      </c>
      <c r="O464" s="33" t="str">
        <f aca="false">TEXT(M464,"DDDD")</f>
        <v>miércoles</v>
      </c>
      <c r="P464" s="6" t="n">
        <f aca="false">MONTH(M464)</f>
        <v>10</v>
      </c>
      <c r="Q464" s="26" t="str">
        <f aca="false">TEXT(M464,"MMMM")</f>
        <v>octubre</v>
      </c>
    </row>
    <row r="465" customFormat="false" ht="14.25" hidden="false" customHeight="false" outlineLevel="0" collapsed="false">
      <c r="A465" s="1" t="n">
        <v>5</v>
      </c>
      <c r="B465" s="1" t="s">
        <v>808</v>
      </c>
      <c r="C465" s="1" t="s">
        <v>20</v>
      </c>
      <c r="D465" s="1" t="s">
        <v>400</v>
      </c>
      <c r="E465" s="2" t="n">
        <v>439571219</v>
      </c>
      <c r="H465" s="3" t="n">
        <v>1700</v>
      </c>
      <c r="I465" s="26" t="n">
        <v>1200</v>
      </c>
      <c r="K465" s="1" t="n">
        <v>500</v>
      </c>
      <c r="M465" s="5" t="s">
        <v>804</v>
      </c>
      <c r="N465" s="33" t="n">
        <f aca="false">DAY(M465)</f>
        <v>1</v>
      </c>
      <c r="O465" s="33" t="str">
        <f aca="false">TEXT(M465,"DDDD")</f>
        <v>miércoles</v>
      </c>
      <c r="P465" s="6" t="n">
        <f aca="false">MONTH(M465)</f>
        <v>10</v>
      </c>
      <c r="Q465" s="26" t="str">
        <f aca="false">TEXT(M465,"MMMM")</f>
        <v>octubre</v>
      </c>
    </row>
    <row r="466" customFormat="false" ht="14.25" hidden="false" customHeight="false" outlineLevel="0" collapsed="false">
      <c r="A466" s="1" t="n">
        <v>5</v>
      </c>
      <c r="B466" s="1" t="s">
        <v>809</v>
      </c>
      <c r="C466" s="1" t="s">
        <v>20</v>
      </c>
      <c r="D466" s="1" t="s">
        <v>400</v>
      </c>
      <c r="E466" s="2" t="n">
        <v>439570719</v>
      </c>
      <c r="H466" s="3" t="n">
        <v>1560</v>
      </c>
      <c r="I466" s="26" t="n">
        <v>1200</v>
      </c>
      <c r="K466" s="1" t="n">
        <v>360</v>
      </c>
      <c r="M466" s="5" t="s">
        <v>804</v>
      </c>
      <c r="N466" s="33" t="n">
        <f aca="false">DAY(M466)</f>
        <v>1</v>
      </c>
      <c r="O466" s="33" t="str">
        <f aca="false">TEXT(M466,"DDDD")</f>
        <v>miércoles</v>
      </c>
      <c r="P466" s="6" t="n">
        <f aca="false">MONTH(M466)</f>
        <v>10</v>
      </c>
      <c r="Q466" s="26" t="str">
        <f aca="false">TEXT(M466,"MMMM")</f>
        <v>octubre</v>
      </c>
    </row>
    <row r="467" customFormat="false" ht="14.25" hidden="false" customHeight="false" outlineLevel="0" collapsed="false">
      <c r="A467" s="1" t="n">
        <v>12</v>
      </c>
      <c r="B467" s="1" t="s">
        <v>810</v>
      </c>
      <c r="C467" s="1" t="s">
        <v>20</v>
      </c>
      <c r="D467" s="1" t="s">
        <v>811</v>
      </c>
      <c r="E467" s="2" t="n">
        <v>440174774</v>
      </c>
      <c r="H467" s="3" t="n">
        <v>2880</v>
      </c>
      <c r="I467" s="26" t="n">
        <v>1440</v>
      </c>
      <c r="K467" s="1" t="n">
        <v>1440</v>
      </c>
      <c r="M467" s="17" t="s">
        <v>812</v>
      </c>
      <c r="N467" s="33" t="n">
        <f aca="false">DAY(M467)</f>
        <v>5</v>
      </c>
      <c r="O467" s="33" t="str">
        <f aca="false">TEXT(M467,"DDDD")</f>
        <v>domingo</v>
      </c>
      <c r="P467" s="6" t="n">
        <f aca="false">MONTH(M467)</f>
        <v>10</v>
      </c>
      <c r="Q467" s="26" t="str">
        <f aca="false">TEXT(M467,"MMMM")</f>
        <v>octubre</v>
      </c>
    </row>
    <row r="468" customFormat="false" ht="14.25" hidden="false" customHeight="false" outlineLevel="0" collapsed="false">
      <c r="A468" s="1" t="n">
        <v>12</v>
      </c>
      <c r="B468" s="1" t="s">
        <v>413</v>
      </c>
      <c r="C468" s="1" t="s">
        <v>20</v>
      </c>
      <c r="D468" s="1" t="s">
        <v>813</v>
      </c>
      <c r="E468" s="2" t="n">
        <v>440170940</v>
      </c>
      <c r="H468" s="3" t="n">
        <v>3230</v>
      </c>
      <c r="I468" s="26" t="n">
        <v>1750</v>
      </c>
      <c r="K468" s="1" t="n">
        <v>1480</v>
      </c>
      <c r="M468" s="17" t="s">
        <v>812</v>
      </c>
      <c r="N468" s="33" t="n">
        <f aca="false">DAY(M468)</f>
        <v>5</v>
      </c>
      <c r="O468" s="33" t="str">
        <f aca="false">TEXT(M468,"DDDD")</f>
        <v>domingo</v>
      </c>
      <c r="P468" s="6" t="n">
        <f aca="false">MONTH(M468)</f>
        <v>10</v>
      </c>
      <c r="Q468" s="26" t="str">
        <f aca="false">TEXT(M468,"MMMM")</f>
        <v>octubre</v>
      </c>
    </row>
    <row r="469" customFormat="false" ht="14.25" hidden="false" customHeight="false" outlineLevel="0" collapsed="false">
      <c r="A469" s="1" t="n">
        <v>12</v>
      </c>
      <c r="B469" s="1" t="s">
        <v>286</v>
      </c>
      <c r="C469" s="1" t="s">
        <v>20</v>
      </c>
      <c r="D469" s="1" t="s">
        <v>814</v>
      </c>
      <c r="E469" s="2" t="n">
        <v>440156494</v>
      </c>
      <c r="F469" s="21" t="s">
        <v>815</v>
      </c>
      <c r="G469" s="1" t="n">
        <v>440161206</v>
      </c>
      <c r="H469" s="3" t="n">
        <v>5880</v>
      </c>
      <c r="I469" s="26" t="n">
        <v>2800</v>
      </c>
      <c r="K469" s="1" t="n">
        <v>3080</v>
      </c>
      <c r="M469" s="17" t="s">
        <v>812</v>
      </c>
      <c r="N469" s="33" t="n">
        <f aca="false">DAY(M469)</f>
        <v>5</v>
      </c>
      <c r="O469" s="33" t="str">
        <f aca="false">TEXT(M469,"DDDD")</f>
        <v>domingo</v>
      </c>
      <c r="P469" s="6" t="n">
        <f aca="false">MONTH(M469)</f>
        <v>10</v>
      </c>
      <c r="Q469" s="26" t="str">
        <f aca="false">TEXT(M469,"MMMM")</f>
        <v>octubre</v>
      </c>
      <c r="R469" s="21" t="s">
        <v>816</v>
      </c>
      <c r="S469" s="1" t="n">
        <v>18083</v>
      </c>
    </row>
    <row r="470" customFormat="false" ht="14.25" hidden="false" customHeight="false" outlineLevel="0" collapsed="false">
      <c r="A470" s="1" t="n">
        <v>11</v>
      </c>
      <c r="B470" s="1" t="s">
        <v>817</v>
      </c>
      <c r="C470" s="1" t="s">
        <v>20</v>
      </c>
      <c r="D470" s="1" t="s">
        <v>818</v>
      </c>
      <c r="E470" s="2" t="n">
        <v>440151143</v>
      </c>
      <c r="H470" s="3" t="n">
        <v>2830</v>
      </c>
      <c r="I470" s="26" t="n">
        <v>1450</v>
      </c>
      <c r="K470" s="1" t="n">
        <v>1380</v>
      </c>
      <c r="M470" s="17" t="s">
        <v>812</v>
      </c>
      <c r="N470" s="33" t="n">
        <f aca="false">DAY(M470)</f>
        <v>5</v>
      </c>
      <c r="O470" s="33" t="str">
        <f aca="false">TEXT(M470,"DDDD")</f>
        <v>domingo</v>
      </c>
      <c r="P470" s="6" t="n">
        <f aca="false">MONTH(M470)</f>
        <v>10</v>
      </c>
      <c r="Q470" s="26" t="str">
        <f aca="false">TEXT(M470,"MMMM")</f>
        <v>octubre</v>
      </c>
    </row>
    <row r="471" customFormat="false" ht="14.25" hidden="false" customHeight="false" outlineLevel="0" collapsed="false">
      <c r="A471" s="1" t="n">
        <v>11</v>
      </c>
      <c r="B471" s="1" t="s">
        <v>288</v>
      </c>
      <c r="C471" s="1" t="s">
        <v>20</v>
      </c>
      <c r="D471" s="1" t="s">
        <v>819</v>
      </c>
      <c r="E471" s="2" t="n">
        <v>440146752</v>
      </c>
      <c r="H471" s="3" t="n">
        <v>2210</v>
      </c>
      <c r="I471" s="26" t="n">
        <v>1250</v>
      </c>
      <c r="K471" s="1" t="n">
        <v>960</v>
      </c>
      <c r="M471" s="17" t="s">
        <v>812</v>
      </c>
      <c r="N471" s="33" t="n">
        <f aca="false">DAY(M471)</f>
        <v>5</v>
      </c>
      <c r="O471" s="33" t="str">
        <f aca="false">TEXT(M471,"DDDD")</f>
        <v>domingo</v>
      </c>
      <c r="P471" s="6" t="n">
        <f aca="false">MONTH(M471)</f>
        <v>10</v>
      </c>
      <c r="Q471" s="26" t="str">
        <f aca="false">TEXT(M471,"MMMM")</f>
        <v>octubre</v>
      </c>
    </row>
    <row r="472" customFormat="false" ht="14.25" hidden="false" customHeight="false" outlineLevel="0" collapsed="false">
      <c r="A472" s="1" t="n">
        <v>11</v>
      </c>
      <c r="B472" s="1" t="s">
        <v>820</v>
      </c>
      <c r="C472" s="1" t="s">
        <v>20</v>
      </c>
      <c r="D472" s="1" t="s">
        <v>821</v>
      </c>
      <c r="E472" s="2" t="n">
        <v>440138179</v>
      </c>
      <c r="F472" s="21" t="s">
        <v>822</v>
      </c>
      <c r="G472" s="1" t="n">
        <v>440137726</v>
      </c>
      <c r="H472" s="3" t="n">
        <v>3880</v>
      </c>
      <c r="I472" s="26" t="n">
        <v>2900</v>
      </c>
      <c r="K472" s="1" t="n">
        <v>980</v>
      </c>
      <c r="M472" s="17" t="s">
        <v>812</v>
      </c>
      <c r="N472" s="33" t="n">
        <f aca="false">DAY(M472)</f>
        <v>5</v>
      </c>
      <c r="O472" s="33" t="str">
        <f aca="false">TEXT(M472,"DDDD")</f>
        <v>domingo</v>
      </c>
      <c r="P472" s="6" t="n">
        <f aca="false">MONTH(M472)</f>
        <v>10</v>
      </c>
      <c r="Q472" s="26" t="str">
        <f aca="false">TEXT(M472,"MMMM")</f>
        <v>octubre</v>
      </c>
    </row>
    <row r="473" customFormat="false" ht="14.25" hidden="false" customHeight="false" outlineLevel="0" collapsed="false">
      <c r="A473" s="1" t="n">
        <v>10</v>
      </c>
      <c r="B473" s="1" t="s">
        <v>823</v>
      </c>
      <c r="C473" s="1" t="s">
        <v>140</v>
      </c>
      <c r="D473" s="1" t="s">
        <v>202</v>
      </c>
      <c r="E473" s="2" t="n">
        <v>440119991</v>
      </c>
      <c r="H473" s="3" t="n">
        <v>1445</v>
      </c>
      <c r="I473" s="26" t="n">
        <v>1200</v>
      </c>
      <c r="K473" s="1" t="n">
        <v>245</v>
      </c>
      <c r="M473" s="17" t="s">
        <v>812</v>
      </c>
      <c r="N473" s="33" t="n">
        <f aca="false">DAY(M473)</f>
        <v>5</v>
      </c>
      <c r="O473" s="33" t="str">
        <f aca="false">TEXT(M473,"DDDD")</f>
        <v>domingo</v>
      </c>
      <c r="P473" s="6" t="n">
        <f aca="false">MONTH(M473)</f>
        <v>10</v>
      </c>
      <c r="Q473" s="26" t="str">
        <f aca="false">TEXT(M473,"MMMM")</f>
        <v>octubre</v>
      </c>
    </row>
    <row r="474" customFormat="false" ht="14.25" hidden="false" customHeight="false" outlineLevel="0" collapsed="false">
      <c r="A474" s="1" t="n">
        <v>10</v>
      </c>
      <c r="B474" s="1" t="s">
        <v>472</v>
      </c>
      <c r="C474" s="1" t="s">
        <v>20</v>
      </c>
      <c r="D474" s="1" t="s">
        <v>755</v>
      </c>
      <c r="E474" s="2" t="n">
        <v>440115903</v>
      </c>
      <c r="F474" s="21" t="s">
        <v>755</v>
      </c>
      <c r="G474" s="1" t="n">
        <v>440116871</v>
      </c>
      <c r="H474" s="3" t="n">
        <v>4800</v>
      </c>
      <c r="I474" s="26" t="n">
        <v>2100</v>
      </c>
      <c r="K474" s="1" t="n">
        <v>2700</v>
      </c>
      <c r="M474" s="17" t="s">
        <v>812</v>
      </c>
      <c r="N474" s="33" t="n">
        <f aca="false">DAY(M474)</f>
        <v>5</v>
      </c>
      <c r="O474" s="33" t="str">
        <f aca="false">TEXT(M474,"DDDD")</f>
        <v>domingo</v>
      </c>
      <c r="P474" s="6" t="n">
        <f aca="false">MONTH(M474)</f>
        <v>10</v>
      </c>
      <c r="Q474" s="26" t="str">
        <f aca="false">TEXT(M474,"MMMM")</f>
        <v>octubre</v>
      </c>
    </row>
    <row r="475" customFormat="false" ht="14.25" hidden="false" customHeight="false" outlineLevel="0" collapsed="false">
      <c r="A475" s="1" t="n">
        <v>10</v>
      </c>
      <c r="B475" s="1" t="s">
        <v>824</v>
      </c>
      <c r="C475" s="1" t="s">
        <v>20</v>
      </c>
      <c r="D475" s="1" t="s">
        <v>825</v>
      </c>
      <c r="E475" s="2" t="n">
        <v>440114730</v>
      </c>
      <c r="H475" s="3" t="n">
        <v>2600</v>
      </c>
      <c r="I475" s="26" t="n">
        <v>1200</v>
      </c>
      <c r="K475" s="1" t="n">
        <v>1400</v>
      </c>
      <c r="M475" s="17" t="s">
        <v>812</v>
      </c>
      <c r="N475" s="33" t="n">
        <f aca="false">DAY(M475)</f>
        <v>5</v>
      </c>
      <c r="O475" s="33" t="str">
        <f aca="false">TEXT(M475,"DDDD")</f>
        <v>domingo</v>
      </c>
      <c r="P475" s="6" t="n">
        <f aca="false">MONTH(M475)</f>
        <v>10</v>
      </c>
      <c r="Q475" s="26" t="str">
        <f aca="false">TEXT(M475,"MMMM")</f>
        <v>octubre</v>
      </c>
    </row>
    <row r="476" customFormat="false" ht="14.25" hidden="false" customHeight="false" outlineLevel="0" collapsed="false">
      <c r="A476" s="1" t="n">
        <v>10</v>
      </c>
      <c r="B476" s="1" t="s">
        <v>826</v>
      </c>
      <c r="C476" s="1" t="s">
        <v>20</v>
      </c>
      <c r="D476" s="1" t="s">
        <v>732</v>
      </c>
      <c r="E476" s="2" t="n">
        <v>440111757</v>
      </c>
      <c r="H476" s="3" t="n">
        <v>1200</v>
      </c>
      <c r="I476" s="26" t="n">
        <v>1200</v>
      </c>
      <c r="M476" s="17" t="s">
        <v>812</v>
      </c>
      <c r="N476" s="33" t="n">
        <f aca="false">DAY(M476)</f>
        <v>5</v>
      </c>
      <c r="O476" s="33" t="str">
        <f aca="false">TEXT(M476,"DDDD")</f>
        <v>domingo</v>
      </c>
      <c r="P476" s="6" t="n">
        <f aca="false">MONTH(M476)</f>
        <v>10</v>
      </c>
      <c r="Q476" s="26" t="str">
        <f aca="false">TEXT(M476,"MMMM")</f>
        <v>octubre</v>
      </c>
    </row>
    <row r="477" customFormat="false" ht="14.25" hidden="false" customHeight="false" outlineLevel="0" collapsed="false">
      <c r="A477" s="1" t="n">
        <v>9</v>
      </c>
      <c r="B477" s="1" t="s">
        <v>827</v>
      </c>
      <c r="C477" s="1" t="s">
        <v>140</v>
      </c>
      <c r="D477" s="1" t="s">
        <v>55</v>
      </c>
      <c r="E477" s="2" t="n">
        <v>440108184</v>
      </c>
      <c r="H477" s="3" t="n">
        <v>3105</v>
      </c>
      <c r="I477" s="26" t="n">
        <v>2150</v>
      </c>
      <c r="K477" s="1" t="n">
        <v>955</v>
      </c>
      <c r="M477" s="17" t="s">
        <v>812</v>
      </c>
      <c r="N477" s="33" t="n">
        <f aca="false">DAY(M477)</f>
        <v>5</v>
      </c>
      <c r="O477" s="33" t="str">
        <f aca="false">TEXT(M477,"DDDD")</f>
        <v>domingo</v>
      </c>
      <c r="P477" s="6" t="n">
        <f aca="false">MONTH(M477)</f>
        <v>10</v>
      </c>
      <c r="Q477" s="26" t="str">
        <f aca="false">TEXT(M477,"MMMM")</f>
        <v>octubre</v>
      </c>
    </row>
    <row r="478" customFormat="false" ht="14.25" hidden="false" customHeight="false" outlineLevel="0" collapsed="false">
      <c r="A478" s="1" t="n">
        <v>9</v>
      </c>
      <c r="B478" s="1" t="s">
        <v>828</v>
      </c>
      <c r="C478" s="1" t="s">
        <v>38</v>
      </c>
      <c r="D478" s="1" t="s">
        <v>427</v>
      </c>
      <c r="E478" s="2" t="n">
        <v>440098623</v>
      </c>
      <c r="H478" s="3" t="n">
        <v>2020</v>
      </c>
      <c r="I478" s="26" t="n">
        <v>1200</v>
      </c>
      <c r="K478" s="1" t="n">
        <v>820</v>
      </c>
      <c r="M478" s="17" t="s">
        <v>812</v>
      </c>
      <c r="N478" s="33" t="n">
        <f aca="false">DAY(M478)</f>
        <v>5</v>
      </c>
      <c r="O478" s="33" t="str">
        <f aca="false">TEXT(M478,"DDDD")</f>
        <v>domingo</v>
      </c>
      <c r="P478" s="6" t="n">
        <f aca="false">MONTH(M478)</f>
        <v>10</v>
      </c>
      <c r="Q478" s="26" t="str">
        <f aca="false">TEXT(M478,"MMMM")</f>
        <v>octubre</v>
      </c>
      <c r="R478" s="21" t="s">
        <v>427</v>
      </c>
      <c r="S478" s="1" t="n">
        <v>12350</v>
      </c>
    </row>
    <row r="479" customFormat="false" ht="14.25" hidden="false" customHeight="false" outlineLevel="0" collapsed="false">
      <c r="A479" s="1" t="n">
        <v>8</v>
      </c>
      <c r="B479" s="1" t="s">
        <v>829</v>
      </c>
      <c r="C479" s="1" t="s">
        <v>20</v>
      </c>
      <c r="D479" s="1" t="s">
        <v>830</v>
      </c>
      <c r="E479" s="2" t="n">
        <v>440084038</v>
      </c>
      <c r="F479" s="21" t="s">
        <v>830</v>
      </c>
      <c r="G479" s="1" t="n">
        <v>440084122</v>
      </c>
      <c r="H479" s="3" t="n">
        <v>4230</v>
      </c>
      <c r="I479" s="26" t="n">
        <v>2150</v>
      </c>
      <c r="K479" s="1" t="n">
        <v>2080</v>
      </c>
      <c r="M479" s="17" t="s">
        <v>812</v>
      </c>
      <c r="N479" s="33" t="n">
        <f aca="false">DAY(M479)</f>
        <v>5</v>
      </c>
      <c r="O479" s="33" t="str">
        <f aca="false">TEXT(M479,"DDDD")</f>
        <v>domingo</v>
      </c>
      <c r="P479" s="6" t="n">
        <f aca="false">MONTH(M479)</f>
        <v>10</v>
      </c>
      <c r="Q479" s="26" t="str">
        <f aca="false">TEXT(M479,"MMMM")</f>
        <v>octubre</v>
      </c>
    </row>
    <row r="480" customFormat="false" ht="14.25" hidden="false" customHeight="false" outlineLevel="0" collapsed="false">
      <c r="A480" s="1" t="n">
        <v>6</v>
      </c>
      <c r="B480" s="1" t="s">
        <v>831</v>
      </c>
      <c r="C480" s="1" t="s">
        <v>38</v>
      </c>
      <c r="D480" s="1" t="s">
        <v>832</v>
      </c>
      <c r="E480" s="2" t="n">
        <v>440058663</v>
      </c>
      <c r="H480" s="3" t="n">
        <v>3830</v>
      </c>
      <c r="I480" s="26" t="n">
        <v>2450</v>
      </c>
      <c r="K480" s="1" t="n">
        <v>1380</v>
      </c>
      <c r="M480" s="17" t="s">
        <v>812</v>
      </c>
      <c r="N480" s="33" t="n">
        <f aca="false">DAY(M480)</f>
        <v>5</v>
      </c>
      <c r="O480" s="33" t="str">
        <f aca="false">TEXT(M480,"DDDD")</f>
        <v>domingo</v>
      </c>
      <c r="P480" s="6" t="n">
        <f aca="false">MONTH(M480)</f>
        <v>10</v>
      </c>
      <c r="Q480" s="26" t="str">
        <f aca="false">TEXT(M480,"MMMM")</f>
        <v>octubre</v>
      </c>
    </row>
    <row r="481" customFormat="false" ht="14.25" hidden="false" customHeight="false" outlineLevel="0" collapsed="false">
      <c r="A481" s="1" t="n">
        <v>6</v>
      </c>
      <c r="B481" s="1" t="s">
        <v>833</v>
      </c>
      <c r="C481" s="1" t="s">
        <v>38</v>
      </c>
      <c r="D481" s="1" t="s">
        <v>396</v>
      </c>
      <c r="E481" s="2" t="n">
        <v>440057272</v>
      </c>
      <c r="H481" s="3" t="n">
        <v>3001</v>
      </c>
      <c r="I481" s="26" t="n">
        <v>3000</v>
      </c>
      <c r="K481" s="1" t="n">
        <v>1</v>
      </c>
      <c r="M481" s="17" t="s">
        <v>812</v>
      </c>
      <c r="N481" s="33" t="n">
        <f aca="false">DAY(M481)</f>
        <v>5</v>
      </c>
      <c r="O481" s="33" t="str">
        <f aca="false">TEXT(M481,"DDDD")</f>
        <v>domingo</v>
      </c>
      <c r="P481" s="6" t="n">
        <f aca="false">MONTH(M481)</f>
        <v>10</v>
      </c>
      <c r="Q481" s="26" t="str">
        <f aca="false">TEXT(M481,"MMMM")</f>
        <v>octubre</v>
      </c>
    </row>
    <row r="482" customFormat="false" ht="14.25" hidden="false" customHeight="false" outlineLevel="0" collapsed="false">
      <c r="A482" s="1" t="n">
        <v>6</v>
      </c>
      <c r="B482" s="1" t="s">
        <v>629</v>
      </c>
      <c r="C482" s="1" t="s">
        <v>20</v>
      </c>
      <c r="D482" s="1" t="s">
        <v>834</v>
      </c>
      <c r="E482" s="2" t="n">
        <v>440055863</v>
      </c>
      <c r="H482" s="3" t="n">
        <v>1750</v>
      </c>
      <c r="I482" s="26" t="n">
        <v>1250</v>
      </c>
      <c r="K482" s="1" t="n">
        <v>500</v>
      </c>
      <c r="M482" s="17" t="s">
        <v>812</v>
      </c>
      <c r="N482" s="33" t="n">
        <f aca="false">DAY(M482)</f>
        <v>5</v>
      </c>
      <c r="O482" s="33" t="str">
        <f aca="false">TEXT(M482,"DDDD")</f>
        <v>domingo</v>
      </c>
      <c r="P482" s="6" t="n">
        <f aca="false">MONTH(M482)</f>
        <v>10</v>
      </c>
      <c r="Q482" s="26" t="str">
        <f aca="false">TEXT(M482,"MMMM")</f>
        <v>octubre</v>
      </c>
    </row>
    <row r="483" customFormat="false" ht="14.25" hidden="false" customHeight="false" outlineLevel="0" collapsed="false">
      <c r="A483" s="1" t="n">
        <v>5</v>
      </c>
      <c r="B483" s="1" t="s">
        <v>835</v>
      </c>
      <c r="C483" s="1" t="s">
        <v>20</v>
      </c>
      <c r="D483" s="1" t="s">
        <v>836</v>
      </c>
      <c r="E483" s="2" t="n">
        <v>440054900</v>
      </c>
      <c r="H483" s="3" t="n">
        <v>1720</v>
      </c>
      <c r="I483" s="26" t="n">
        <v>1200</v>
      </c>
      <c r="K483" s="1" t="n">
        <v>520</v>
      </c>
      <c r="M483" s="17" t="s">
        <v>812</v>
      </c>
      <c r="N483" s="33" t="n">
        <f aca="false">DAY(M483)</f>
        <v>5</v>
      </c>
      <c r="O483" s="33" t="str">
        <f aca="false">TEXT(M483,"DDDD")</f>
        <v>domingo</v>
      </c>
      <c r="P483" s="6" t="n">
        <f aca="false">MONTH(M483)</f>
        <v>10</v>
      </c>
      <c r="Q483" s="26" t="str">
        <f aca="false">TEXT(M483,"MMMM")</f>
        <v>octubre</v>
      </c>
    </row>
    <row r="484" customFormat="false" ht="14.25" hidden="false" customHeight="false" outlineLevel="0" collapsed="false">
      <c r="A484" s="1" t="n">
        <v>4</v>
      </c>
      <c r="B484" s="1" t="s">
        <v>837</v>
      </c>
      <c r="C484" s="1" t="s">
        <v>38</v>
      </c>
      <c r="D484" s="1" t="s">
        <v>838</v>
      </c>
      <c r="E484" s="2" t="n">
        <v>440052250</v>
      </c>
      <c r="H484" s="3" t="n">
        <v>3000</v>
      </c>
      <c r="I484" s="26" t="n">
        <v>2000</v>
      </c>
      <c r="K484" s="1" t="n">
        <v>1000</v>
      </c>
      <c r="M484" s="17" t="s">
        <v>812</v>
      </c>
      <c r="N484" s="33" t="n">
        <f aca="false">DAY(M484)</f>
        <v>5</v>
      </c>
      <c r="O484" s="33" t="str">
        <f aca="false">TEXT(M484,"DDDD")</f>
        <v>domingo</v>
      </c>
      <c r="P484" s="6" t="n">
        <f aca="false">MONTH(M484)</f>
        <v>10</v>
      </c>
      <c r="Q484" s="26" t="str">
        <f aca="false">TEXT(M484,"MMMM")</f>
        <v>octubre</v>
      </c>
    </row>
    <row r="485" customFormat="false" ht="14.25" hidden="false" customHeight="false" outlineLevel="0" collapsed="false">
      <c r="A485" s="1" t="n">
        <v>3</v>
      </c>
      <c r="B485" s="1" t="s">
        <v>839</v>
      </c>
      <c r="C485" s="1" t="s">
        <v>20</v>
      </c>
      <c r="D485" s="1" t="s">
        <v>531</v>
      </c>
      <c r="E485" s="2" t="n">
        <v>440052042</v>
      </c>
      <c r="H485" s="3" t="n">
        <v>2150</v>
      </c>
      <c r="I485" s="26" t="n">
        <v>2150</v>
      </c>
      <c r="M485" s="17" t="s">
        <v>812</v>
      </c>
      <c r="N485" s="33" t="n">
        <f aca="false">DAY(M485)</f>
        <v>5</v>
      </c>
      <c r="O485" s="33" t="str">
        <f aca="false">TEXT(M485,"DDDD")</f>
        <v>domingo</v>
      </c>
      <c r="P485" s="6" t="n">
        <f aca="false">MONTH(M485)</f>
        <v>10</v>
      </c>
      <c r="Q485" s="26" t="str">
        <f aca="false">TEXT(M485,"MMMM")</f>
        <v>octubre</v>
      </c>
    </row>
    <row r="486" customFormat="false" ht="14.25" hidden="false" customHeight="false" outlineLevel="0" collapsed="false">
      <c r="A486" s="1" t="n">
        <v>3</v>
      </c>
      <c r="B486" s="1" t="s">
        <v>840</v>
      </c>
      <c r="C486" s="1" t="s">
        <v>38</v>
      </c>
      <c r="D486" s="1" t="s">
        <v>841</v>
      </c>
      <c r="E486" s="2" t="n">
        <v>440051688</v>
      </c>
      <c r="H486" s="3" t="n">
        <v>2790</v>
      </c>
      <c r="I486" s="26" t="n">
        <v>1850</v>
      </c>
      <c r="K486" s="1" t="n">
        <v>940</v>
      </c>
      <c r="M486" s="17" t="s">
        <v>812</v>
      </c>
      <c r="N486" s="33" t="n">
        <f aca="false">DAY(M486)</f>
        <v>5</v>
      </c>
      <c r="O486" s="33" t="str">
        <f aca="false">TEXT(M486,"DDDD")</f>
        <v>domingo</v>
      </c>
      <c r="P486" s="6" t="n">
        <f aca="false">MONTH(M486)</f>
        <v>10</v>
      </c>
      <c r="Q486" s="26" t="str">
        <f aca="false">TEXT(M486,"MMMM")</f>
        <v>octubre</v>
      </c>
      <c r="R486" s="21" t="s">
        <v>841</v>
      </c>
      <c r="S486" s="1" t="n">
        <v>16720</v>
      </c>
    </row>
    <row r="487" customFormat="false" ht="14.25" hidden="false" customHeight="false" outlineLevel="0" collapsed="false">
      <c r="A487" s="1" t="n">
        <v>12</v>
      </c>
      <c r="B487" s="1" t="s">
        <v>842</v>
      </c>
      <c r="C487" s="1" t="s">
        <v>20</v>
      </c>
      <c r="D487" s="1" t="s">
        <v>843</v>
      </c>
      <c r="E487" s="2" t="n">
        <v>440263004</v>
      </c>
      <c r="F487" s="21" t="s">
        <v>844</v>
      </c>
      <c r="G487" s="1" t="n">
        <v>440263068</v>
      </c>
      <c r="H487" s="3" t="n">
        <v>4510</v>
      </c>
      <c r="I487" s="26" t="n">
        <v>2300</v>
      </c>
      <c r="J487" s="1" t="n">
        <v>120</v>
      </c>
      <c r="K487" s="1" t="n">
        <v>2090</v>
      </c>
      <c r="M487" s="5" t="s">
        <v>845</v>
      </c>
      <c r="N487" s="33" t="n">
        <f aca="false">DAY(M487)</f>
        <v>6</v>
      </c>
      <c r="O487" s="33" t="str">
        <f aca="false">TEXT(M487,"DDDD")</f>
        <v>lunes</v>
      </c>
      <c r="P487" s="6" t="n">
        <f aca="false">MONTH(M487)</f>
        <v>10</v>
      </c>
      <c r="Q487" s="26" t="str">
        <f aca="false">TEXT(M487,"MMMM")</f>
        <v>octubre</v>
      </c>
      <c r="R487" s="21" t="s">
        <v>843</v>
      </c>
      <c r="S487" s="1" t="n">
        <v>11672</v>
      </c>
    </row>
    <row r="488" customFormat="false" ht="14.25" hidden="false" customHeight="false" outlineLevel="0" collapsed="false">
      <c r="A488" s="1" t="n">
        <v>11</v>
      </c>
      <c r="B488" s="1" t="s">
        <v>846</v>
      </c>
      <c r="C488" s="1" t="s">
        <v>38</v>
      </c>
      <c r="D488" s="1" t="s">
        <v>847</v>
      </c>
      <c r="E488" s="2" t="n">
        <v>440257949</v>
      </c>
      <c r="H488" s="3" t="n">
        <v>1880</v>
      </c>
      <c r="I488" s="26" t="n">
        <v>1200</v>
      </c>
      <c r="J488" s="1" t="n">
        <v>60</v>
      </c>
      <c r="K488" s="1" t="n">
        <v>620</v>
      </c>
      <c r="M488" s="5" t="s">
        <v>845</v>
      </c>
      <c r="N488" s="33" t="n">
        <f aca="false">DAY(M488)</f>
        <v>6</v>
      </c>
      <c r="O488" s="33" t="str">
        <f aca="false">TEXT(M488,"DDDD")</f>
        <v>lunes</v>
      </c>
      <c r="P488" s="6" t="n">
        <f aca="false">MONTH(M488)</f>
        <v>10</v>
      </c>
      <c r="Q488" s="26" t="str">
        <f aca="false">TEXT(M488,"MMMM")</f>
        <v>octubre</v>
      </c>
    </row>
    <row r="489" customFormat="false" ht="14.25" hidden="false" customHeight="false" outlineLevel="0" collapsed="false">
      <c r="A489" s="1" t="n">
        <v>11</v>
      </c>
      <c r="B489" s="1" t="s">
        <v>848</v>
      </c>
      <c r="C489" s="1" t="s">
        <v>20</v>
      </c>
      <c r="D489" s="1" t="s">
        <v>508</v>
      </c>
      <c r="E489" s="2" t="n">
        <v>440250670</v>
      </c>
      <c r="F489" s="21" t="s">
        <v>849</v>
      </c>
      <c r="G489" s="1" t="n">
        <v>440250947</v>
      </c>
      <c r="H489" s="3" t="n">
        <v>5320</v>
      </c>
      <c r="I489" s="26" t="n">
        <v>2100</v>
      </c>
      <c r="J489" s="1" t="n">
        <v>120</v>
      </c>
      <c r="K489" s="1" t="n">
        <v>3100</v>
      </c>
      <c r="M489" s="5" t="s">
        <v>845</v>
      </c>
      <c r="N489" s="33" t="n">
        <f aca="false">DAY(M489)</f>
        <v>6</v>
      </c>
      <c r="O489" s="33" t="str">
        <f aca="false">TEXT(M489,"DDDD")</f>
        <v>lunes</v>
      </c>
      <c r="P489" s="6" t="n">
        <f aca="false">MONTH(M489)</f>
        <v>10</v>
      </c>
      <c r="Q489" s="26" t="str">
        <f aca="false">TEXT(M489,"MMMM")</f>
        <v>octubre</v>
      </c>
    </row>
    <row r="490" customFormat="false" ht="14.25" hidden="false" customHeight="false" outlineLevel="0" collapsed="false">
      <c r="A490" s="1" t="n">
        <v>11</v>
      </c>
      <c r="B490" s="1" t="s">
        <v>247</v>
      </c>
      <c r="C490" s="1" t="s">
        <v>20</v>
      </c>
      <c r="D490" s="1" t="s">
        <v>850</v>
      </c>
      <c r="E490" s="2" t="n">
        <v>440244385</v>
      </c>
      <c r="H490" s="3" t="n">
        <v>2380</v>
      </c>
      <c r="I490" s="26" t="n">
        <v>1200</v>
      </c>
      <c r="J490" s="1" t="n">
        <v>60</v>
      </c>
      <c r="K490" s="1" t="n">
        <v>1120</v>
      </c>
      <c r="M490" s="5" t="s">
        <v>845</v>
      </c>
      <c r="N490" s="33" t="n">
        <f aca="false">DAY(M490)</f>
        <v>6</v>
      </c>
      <c r="O490" s="33" t="str">
        <f aca="false">TEXT(M490,"DDDD")</f>
        <v>lunes</v>
      </c>
      <c r="P490" s="6" t="n">
        <f aca="false">MONTH(M490)</f>
        <v>10</v>
      </c>
      <c r="Q490" s="26" t="str">
        <f aca="false">TEXT(M490,"MMMM")</f>
        <v>octubre</v>
      </c>
    </row>
    <row r="491" customFormat="false" ht="14.25" hidden="false" customHeight="false" outlineLevel="0" collapsed="false">
      <c r="A491" s="1" t="n">
        <v>10</v>
      </c>
      <c r="B491" s="1" t="s">
        <v>851</v>
      </c>
      <c r="C491" s="1" t="s">
        <v>20</v>
      </c>
      <c r="D491" s="1" t="s">
        <v>852</v>
      </c>
      <c r="E491" s="2" t="n">
        <v>440239231</v>
      </c>
      <c r="H491" s="3" t="n">
        <v>1960</v>
      </c>
      <c r="I491" s="26" t="n">
        <v>1200</v>
      </c>
      <c r="J491" s="1" t="n">
        <v>60</v>
      </c>
      <c r="K491" s="1" t="n">
        <v>700</v>
      </c>
      <c r="M491" s="5" t="s">
        <v>845</v>
      </c>
      <c r="N491" s="33" t="n">
        <f aca="false">DAY(M491)</f>
        <v>6</v>
      </c>
      <c r="O491" s="33" t="str">
        <f aca="false">TEXT(M491,"DDDD")</f>
        <v>lunes</v>
      </c>
      <c r="P491" s="6" t="n">
        <f aca="false">MONTH(M491)</f>
        <v>10</v>
      </c>
      <c r="Q491" s="26" t="str">
        <f aca="false">TEXT(M491,"MMMM")</f>
        <v>octubre</v>
      </c>
    </row>
    <row r="492" customFormat="false" ht="14.25" hidden="false" customHeight="false" outlineLevel="0" collapsed="false">
      <c r="A492" s="1" t="n">
        <v>10</v>
      </c>
      <c r="B492" s="1" t="s">
        <v>853</v>
      </c>
      <c r="C492" s="1" t="s">
        <v>20</v>
      </c>
      <c r="D492" s="1" t="s">
        <v>852</v>
      </c>
      <c r="E492" s="2" t="n">
        <v>440235711</v>
      </c>
      <c r="H492" s="3" t="n">
        <v>1260</v>
      </c>
      <c r="I492" s="26" t="n">
        <v>1200</v>
      </c>
      <c r="J492" s="1" t="n">
        <v>60</v>
      </c>
      <c r="M492" s="5" t="s">
        <v>845</v>
      </c>
      <c r="N492" s="33" t="n">
        <f aca="false">DAY(M492)</f>
        <v>6</v>
      </c>
      <c r="O492" s="33" t="str">
        <f aca="false">TEXT(M492,"DDDD")</f>
        <v>lunes</v>
      </c>
      <c r="P492" s="6" t="n">
        <f aca="false">MONTH(M492)</f>
        <v>10</v>
      </c>
      <c r="Q492" s="26" t="str">
        <f aca="false">TEXT(M492,"MMMM")</f>
        <v>octubre</v>
      </c>
    </row>
    <row r="493" customFormat="false" ht="14.25" hidden="false" customHeight="false" outlineLevel="0" collapsed="false">
      <c r="A493" s="1" t="n">
        <v>10</v>
      </c>
      <c r="B493" s="1" t="s">
        <v>854</v>
      </c>
      <c r="C493" s="1" t="s">
        <v>20</v>
      </c>
      <c r="D493" s="1" t="s">
        <v>852</v>
      </c>
      <c r="E493" s="2" t="n">
        <v>440232333</v>
      </c>
      <c r="H493" s="3" t="n">
        <v>2040</v>
      </c>
      <c r="I493" s="26" t="n">
        <v>1200</v>
      </c>
      <c r="J493" s="1" t="n">
        <v>60</v>
      </c>
      <c r="K493" s="1" t="n">
        <v>780</v>
      </c>
      <c r="M493" s="5" t="s">
        <v>845</v>
      </c>
      <c r="N493" s="33" t="n">
        <f aca="false">DAY(M493)</f>
        <v>6</v>
      </c>
      <c r="O493" s="33" t="str">
        <f aca="false">TEXT(M493,"DDDD")</f>
        <v>lunes</v>
      </c>
      <c r="P493" s="6" t="n">
        <f aca="false">MONTH(M493)</f>
        <v>10</v>
      </c>
      <c r="Q493" s="26" t="str">
        <f aca="false">TEXT(M493,"MMMM")</f>
        <v>octubre</v>
      </c>
    </row>
    <row r="494" customFormat="false" ht="14.25" hidden="false" customHeight="false" outlineLevel="0" collapsed="false">
      <c r="A494" s="1" t="n">
        <v>9</v>
      </c>
      <c r="B494" s="1" t="s">
        <v>99</v>
      </c>
      <c r="C494" s="1" t="s">
        <v>38</v>
      </c>
      <c r="D494" s="1" t="s">
        <v>855</v>
      </c>
      <c r="E494" s="2" t="n">
        <v>440229364</v>
      </c>
      <c r="H494" s="3" t="n">
        <v>2760</v>
      </c>
      <c r="I494" s="26" t="n">
        <v>1200</v>
      </c>
      <c r="J494" s="1" t="n">
        <v>60</v>
      </c>
      <c r="K494" s="1" t="n">
        <v>1500</v>
      </c>
      <c r="M494" s="5" t="s">
        <v>845</v>
      </c>
      <c r="N494" s="33" t="n">
        <f aca="false">DAY(M494)</f>
        <v>6</v>
      </c>
      <c r="O494" s="33" t="str">
        <f aca="false">TEXT(M494,"DDDD")</f>
        <v>lunes</v>
      </c>
      <c r="P494" s="6" t="n">
        <f aca="false">MONTH(M494)</f>
        <v>10</v>
      </c>
      <c r="Q494" s="26" t="str">
        <f aca="false">TEXT(M494,"MMMM")</f>
        <v>octubre</v>
      </c>
    </row>
    <row r="495" customFormat="false" ht="14.25" hidden="false" customHeight="false" outlineLevel="0" collapsed="false">
      <c r="A495" s="1" t="n">
        <v>9</v>
      </c>
      <c r="B495" s="1" t="s">
        <v>446</v>
      </c>
      <c r="C495" s="1" t="s">
        <v>140</v>
      </c>
      <c r="D495" s="1" t="s">
        <v>588</v>
      </c>
      <c r="E495" s="2" t="n">
        <v>440227646</v>
      </c>
      <c r="H495" s="3" t="n">
        <v>1610</v>
      </c>
      <c r="I495" s="26" t="n">
        <v>1200</v>
      </c>
      <c r="J495" s="1" t="n">
        <v>60</v>
      </c>
      <c r="K495" s="1" t="n">
        <v>350</v>
      </c>
      <c r="M495" s="5" t="s">
        <v>845</v>
      </c>
      <c r="N495" s="33" t="n">
        <f aca="false">DAY(M495)</f>
        <v>6</v>
      </c>
      <c r="O495" s="33" t="str">
        <f aca="false">TEXT(M495,"DDDD")</f>
        <v>lunes</v>
      </c>
      <c r="P495" s="6" t="n">
        <f aca="false">MONTH(M495)</f>
        <v>10</v>
      </c>
      <c r="Q495" s="26" t="str">
        <f aca="false">TEXT(M495,"MMMM")</f>
        <v>octubre</v>
      </c>
    </row>
    <row r="496" customFormat="false" ht="14.25" hidden="false" customHeight="false" outlineLevel="0" collapsed="false">
      <c r="A496" s="1" t="n">
        <v>9</v>
      </c>
      <c r="B496" s="1" t="s">
        <v>856</v>
      </c>
      <c r="C496" s="1" t="s">
        <v>20</v>
      </c>
      <c r="D496" s="1" t="s">
        <v>857</v>
      </c>
      <c r="E496" s="2" t="n">
        <v>440226239</v>
      </c>
      <c r="H496" s="3" t="n">
        <v>1860</v>
      </c>
      <c r="I496" s="26" t="n">
        <v>1200</v>
      </c>
      <c r="J496" s="1" t="n">
        <v>60</v>
      </c>
      <c r="K496" s="1" t="n">
        <v>600</v>
      </c>
      <c r="M496" s="5" t="s">
        <v>845</v>
      </c>
      <c r="N496" s="33" t="n">
        <f aca="false">DAY(M496)</f>
        <v>6</v>
      </c>
      <c r="O496" s="33" t="str">
        <f aca="false">TEXT(M496,"DDDD")</f>
        <v>lunes</v>
      </c>
      <c r="P496" s="6" t="n">
        <f aca="false">MONTH(M496)</f>
        <v>10</v>
      </c>
      <c r="Q496" s="26" t="str">
        <f aca="false">TEXT(M496,"MMMM")</f>
        <v>octubre</v>
      </c>
    </row>
    <row r="497" customFormat="false" ht="14.25" hidden="false" customHeight="false" outlineLevel="0" collapsed="false">
      <c r="A497" s="1" t="n">
        <v>7</v>
      </c>
      <c r="B497" s="1" t="s">
        <v>858</v>
      </c>
      <c r="C497" s="1" t="s">
        <v>20</v>
      </c>
      <c r="D497" s="1" t="s">
        <v>387</v>
      </c>
      <c r="E497" s="2" t="n">
        <v>440199739</v>
      </c>
      <c r="H497" s="3" t="n">
        <v>2760</v>
      </c>
      <c r="I497" s="26" t="n">
        <v>1200</v>
      </c>
      <c r="J497" s="1" t="n">
        <v>60</v>
      </c>
      <c r="K497" s="1" t="n">
        <v>1500</v>
      </c>
      <c r="M497" s="5" t="s">
        <v>845</v>
      </c>
      <c r="N497" s="33" t="n">
        <f aca="false">DAY(M497)</f>
        <v>6</v>
      </c>
      <c r="O497" s="33" t="str">
        <f aca="false">TEXT(M497,"DDDD")</f>
        <v>lunes</v>
      </c>
      <c r="P497" s="6" t="n">
        <f aca="false">MONTH(M497)</f>
        <v>10</v>
      </c>
      <c r="Q497" s="26" t="str">
        <f aca="false">TEXT(M497,"MMMM")</f>
        <v>octubre</v>
      </c>
    </row>
    <row r="498" customFormat="false" ht="14.25" hidden="false" customHeight="false" outlineLevel="0" collapsed="false">
      <c r="A498" s="1" t="n">
        <v>7</v>
      </c>
      <c r="B498" s="1" t="s">
        <v>859</v>
      </c>
      <c r="C498" s="1" t="s">
        <v>20</v>
      </c>
      <c r="D498" s="1" t="s">
        <v>860</v>
      </c>
      <c r="E498" s="2" t="n">
        <v>440196113</v>
      </c>
      <c r="H498" s="3" t="n">
        <v>3300</v>
      </c>
      <c r="I498" s="26" t="n">
        <v>1200</v>
      </c>
      <c r="K498" s="1" t="n">
        <v>2100</v>
      </c>
      <c r="M498" s="5" t="s">
        <v>845</v>
      </c>
      <c r="N498" s="33" t="n">
        <f aca="false">DAY(M498)</f>
        <v>6</v>
      </c>
      <c r="O498" s="33" t="str">
        <f aca="false">TEXT(M498,"DDDD")</f>
        <v>lunes</v>
      </c>
      <c r="P498" s="6" t="n">
        <f aca="false">MONTH(M498)</f>
        <v>10</v>
      </c>
      <c r="Q498" s="26" t="str">
        <f aca="false">TEXT(M498,"MMMM")</f>
        <v>octubre</v>
      </c>
    </row>
    <row r="499" customFormat="false" ht="14.25" hidden="false" customHeight="false" outlineLevel="0" collapsed="false">
      <c r="A499" s="1" t="n">
        <v>6</v>
      </c>
      <c r="B499" s="1" t="s">
        <v>861</v>
      </c>
      <c r="C499" s="1" t="s">
        <v>140</v>
      </c>
      <c r="D499" s="1" t="s">
        <v>202</v>
      </c>
      <c r="E499" s="2" t="n">
        <v>440194678</v>
      </c>
      <c r="H499" s="3" t="n">
        <v>1550</v>
      </c>
      <c r="I499" s="26" t="n">
        <v>1200</v>
      </c>
      <c r="K499" s="1" t="n">
        <v>350</v>
      </c>
      <c r="M499" s="5" t="s">
        <v>845</v>
      </c>
      <c r="N499" s="33" t="n">
        <f aca="false">DAY(M499)</f>
        <v>6</v>
      </c>
      <c r="O499" s="33" t="str">
        <f aca="false">TEXT(M499,"DDDD")</f>
        <v>lunes</v>
      </c>
      <c r="P499" s="6" t="n">
        <f aca="false">MONTH(M499)</f>
        <v>10</v>
      </c>
      <c r="Q499" s="26" t="str">
        <f aca="false">TEXT(M499,"MMMM")</f>
        <v>octubre</v>
      </c>
    </row>
    <row r="500" customFormat="false" ht="14.25" hidden="false" customHeight="false" outlineLevel="0" collapsed="false">
      <c r="A500" s="1" t="n">
        <v>2</v>
      </c>
      <c r="B500" s="1" t="s">
        <v>542</v>
      </c>
      <c r="C500" s="1" t="s">
        <v>20</v>
      </c>
      <c r="D500" s="1" t="s">
        <v>862</v>
      </c>
      <c r="E500" s="2" t="n">
        <v>440284502</v>
      </c>
      <c r="H500" s="3" t="n">
        <v>2930</v>
      </c>
      <c r="I500" s="26" t="n">
        <v>1550</v>
      </c>
      <c r="J500" s="1" t="n">
        <v>60</v>
      </c>
      <c r="K500" s="1" t="n">
        <v>1320</v>
      </c>
      <c r="M500" s="5" t="s">
        <v>863</v>
      </c>
      <c r="N500" s="33" t="n">
        <f aca="false">DAY(M500)</f>
        <v>7</v>
      </c>
      <c r="O500" s="33" t="str">
        <f aca="false">TEXT(M500,"DDDD")</f>
        <v>martes</v>
      </c>
      <c r="P500" s="6" t="n">
        <f aca="false">MONTH(M500)</f>
        <v>10</v>
      </c>
      <c r="Q500" s="26" t="str">
        <f aca="false">TEXT(M500,"MMMM")</f>
        <v>octubre</v>
      </c>
    </row>
    <row r="501" customFormat="false" ht="14.25" hidden="false" customHeight="false" outlineLevel="0" collapsed="false">
      <c r="A501" s="1" t="n">
        <v>1</v>
      </c>
      <c r="B501" s="1" t="s">
        <v>864</v>
      </c>
      <c r="C501" s="1" t="s">
        <v>20</v>
      </c>
      <c r="D501" s="1" t="s">
        <v>103</v>
      </c>
      <c r="E501" s="2" t="n">
        <v>440284249</v>
      </c>
      <c r="H501" s="3" t="n">
        <v>1260</v>
      </c>
      <c r="I501" s="26" t="n">
        <v>1200</v>
      </c>
      <c r="J501" s="1" t="n">
        <v>60</v>
      </c>
      <c r="M501" s="5" t="s">
        <v>863</v>
      </c>
      <c r="N501" s="33" t="n">
        <f aca="false">DAY(M501)</f>
        <v>7</v>
      </c>
      <c r="O501" s="33" t="str">
        <f aca="false">TEXT(M501,"DDDD")</f>
        <v>martes</v>
      </c>
      <c r="P501" s="6" t="n">
        <f aca="false">MONTH(M501)</f>
        <v>10</v>
      </c>
      <c r="Q501" s="26" t="str">
        <f aca="false">TEXT(M501,"MMMM")</f>
        <v>octubre</v>
      </c>
    </row>
    <row r="502" customFormat="false" ht="14.25" hidden="false" customHeight="false" outlineLevel="0" collapsed="false">
      <c r="A502" s="1" t="n">
        <v>1</v>
      </c>
      <c r="B502" s="1" t="s">
        <v>865</v>
      </c>
      <c r="C502" s="1" t="s">
        <v>20</v>
      </c>
      <c r="D502" s="1" t="s">
        <v>600</v>
      </c>
      <c r="E502" s="2" t="n">
        <v>440283986</v>
      </c>
      <c r="H502" s="3" t="n">
        <v>1260</v>
      </c>
      <c r="I502" s="26" t="n">
        <v>1200</v>
      </c>
      <c r="J502" s="1" t="n">
        <v>60</v>
      </c>
      <c r="M502" s="5" t="s">
        <v>863</v>
      </c>
      <c r="N502" s="33" t="n">
        <f aca="false">DAY(M502)</f>
        <v>7</v>
      </c>
      <c r="O502" s="33" t="str">
        <f aca="false">TEXT(M502,"DDDD")</f>
        <v>martes</v>
      </c>
      <c r="P502" s="6" t="n">
        <f aca="false">MONTH(M502)</f>
        <v>10</v>
      </c>
      <c r="Q502" s="26" t="str">
        <f aca="false">TEXT(M502,"MMMM")</f>
        <v>octubre</v>
      </c>
    </row>
    <row r="503" customFormat="false" ht="14.25" hidden="false" customHeight="false" outlineLevel="0" collapsed="false">
      <c r="A503" s="1" t="n">
        <v>1</v>
      </c>
      <c r="B503" s="1" t="s">
        <v>866</v>
      </c>
      <c r="C503" s="1" t="s">
        <v>20</v>
      </c>
      <c r="D503" s="1" t="s">
        <v>198</v>
      </c>
      <c r="E503" s="2" t="n">
        <v>440283156</v>
      </c>
      <c r="F503" s="21" t="s">
        <v>867</v>
      </c>
      <c r="G503" s="1" t="n">
        <v>440283124</v>
      </c>
      <c r="H503" s="3" t="n">
        <v>5000</v>
      </c>
      <c r="I503" s="26" t="n">
        <v>2100</v>
      </c>
      <c r="J503" s="1" t="n">
        <v>120</v>
      </c>
      <c r="K503" s="1" t="n">
        <v>2780</v>
      </c>
      <c r="M503" s="5" t="s">
        <v>863</v>
      </c>
      <c r="N503" s="33" t="n">
        <f aca="false">DAY(M503)</f>
        <v>7</v>
      </c>
      <c r="O503" s="33" t="str">
        <f aca="false">TEXT(M503,"DDDD")</f>
        <v>martes</v>
      </c>
      <c r="P503" s="6" t="n">
        <f aca="false">MONTH(M503)</f>
        <v>10</v>
      </c>
      <c r="Q503" s="26" t="str">
        <f aca="false">TEXT(M503,"MMMM")</f>
        <v>octubre</v>
      </c>
    </row>
    <row r="504" customFormat="false" ht="14.25" hidden="false" customHeight="false" outlineLevel="0" collapsed="false">
      <c r="A504" s="1" t="n">
        <v>12</v>
      </c>
      <c r="B504" s="1" t="s">
        <v>333</v>
      </c>
      <c r="C504" s="1" t="s">
        <v>20</v>
      </c>
      <c r="D504" s="1" t="s">
        <v>76</v>
      </c>
      <c r="E504" s="2" t="n">
        <v>440598416</v>
      </c>
      <c r="H504" s="3" t="n">
        <v>2800</v>
      </c>
      <c r="I504" s="26" t="n">
        <v>1200</v>
      </c>
      <c r="J504" s="1" t="n">
        <v>60</v>
      </c>
      <c r="K504" s="1" t="n">
        <v>1540</v>
      </c>
      <c r="M504" s="5" t="s">
        <v>868</v>
      </c>
      <c r="N504" s="33" t="n">
        <f aca="false">DAY(M504)</f>
        <v>9</v>
      </c>
      <c r="O504" s="33" t="str">
        <f aca="false">TEXT(M504,"DDDD")</f>
        <v>jueves</v>
      </c>
      <c r="P504" s="6" t="n">
        <f aca="false">MONTH(M504)</f>
        <v>10</v>
      </c>
      <c r="Q504" s="26" t="str">
        <f aca="false">TEXT(M504,"MMMM")</f>
        <v>octubre</v>
      </c>
      <c r="R504" s="21" t="s">
        <v>76</v>
      </c>
      <c r="S504" s="1" t="n">
        <v>25708</v>
      </c>
    </row>
    <row r="505" customFormat="false" ht="14.25" hidden="false" customHeight="false" outlineLevel="0" collapsed="false">
      <c r="A505" s="1" t="n">
        <v>12</v>
      </c>
      <c r="B505" s="1" t="s">
        <v>337</v>
      </c>
      <c r="C505" s="1" t="s">
        <v>38</v>
      </c>
      <c r="D505" s="1" t="s">
        <v>274</v>
      </c>
      <c r="E505" s="2" t="n">
        <v>440585056</v>
      </c>
      <c r="H505" s="3" t="n">
        <v>1260</v>
      </c>
      <c r="I505" s="26" t="n">
        <v>1200</v>
      </c>
      <c r="J505" s="1" t="n">
        <v>60</v>
      </c>
      <c r="M505" s="5" t="s">
        <v>868</v>
      </c>
      <c r="N505" s="33" t="n">
        <f aca="false">DAY(M505)</f>
        <v>9</v>
      </c>
      <c r="O505" s="33" t="str">
        <f aca="false">TEXT(M505,"DDDD")</f>
        <v>jueves</v>
      </c>
      <c r="P505" s="6" t="n">
        <f aca="false">MONTH(M505)</f>
        <v>10</v>
      </c>
      <c r="Q505" s="26" t="str">
        <f aca="false">TEXT(M505,"MMMM")</f>
        <v>octubre</v>
      </c>
    </row>
    <row r="506" customFormat="false" ht="14.25" hidden="false" customHeight="false" outlineLevel="0" collapsed="false">
      <c r="A506" s="1" t="n">
        <v>12</v>
      </c>
      <c r="B506" s="1" t="s">
        <v>309</v>
      </c>
      <c r="C506" s="1" t="s">
        <v>20</v>
      </c>
      <c r="D506" s="1" t="s">
        <v>520</v>
      </c>
      <c r="E506" s="2" t="n">
        <v>440581365</v>
      </c>
      <c r="H506" s="3" t="n">
        <v>1860</v>
      </c>
      <c r="I506" s="26" t="n">
        <v>1200</v>
      </c>
      <c r="J506" s="1" t="n">
        <v>60</v>
      </c>
      <c r="K506" s="1" t="n">
        <v>600</v>
      </c>
      <c r="M506" s="5" t="s">
        <v>868</v>
      </c>
      <c r="N506" s="33" t="n">
        <f aca="false">DAY(M506)</f>
        <v>9</v>
      </c>
      <c r="O506" s="33" t="str">
        <f aca="false">TEXT(M506,"DDDD")</f>
        <v>jueves</v>
      </c>
      <c r="P506" s="6" t="n">
        <f aca="false">MONTH(M506)</f>
        <v>10</v>
      </c>
      <c r="Q506" s="26" t="str">
        <f aca="false">TEXT(M506,"MMMM")</f>
        <v>octubre</v>
      </c>
    </row>
    <row r="507" customFormat="false" ht="14.25" hidden="false" customHeight="false" outlineLevel="0" collapsed="false">
      <c r="A507" s="1" t="n">
        <v>11</v>
      </c>
      <c r="B507" s="1" t="s">
        <v>869</v>
      </c>
      <c r="C507" s="1" t="s">
        <v>20</v>
      </c>
      <c r="D507" s="1" t="s">
        <v>870</v>
      </c>
      <c r="E507" s="2" t="n">
        <v>440573242</v>
      </c>
      <c r="H507" s="3" t="n">
        <v>2860</v>
      </c>
      <c r="I507" s="26" t="n">
        <v>1200</v>
      </c>
      <c r="J507" s="1" t="n">
        <v>60</v>
      </c>
      <c r="K507" s="1" t="n">
        <v>1600</v>
      </c>
      <c r="M507" s="5" t="s">
        <v>868</v>
      </c>
      <c r="N507" s="33" t="n">
        <f aca="false">DAY(M507)</f>
        <v>9</v>
      </c>
      <c r="O507" s="33" t="str">
        <f aca="false">TEXT(M507,"DDDD")</f>
        <v>jueves</v>
      </c>
      <c r="P507" s="6" t="n">
        <f aca="false">MONTH(M507)</f>
        <v>10</v>
      </c>
      <c r="Q507" s="26" t="str">
        <f aca="false">TEXT(M507,"MMMM")</f>
        <v>octubre</v>
      </c>
    </row>
    <row r="508" customFormat="false" ht="14.25" hidden="false" customHeight="false" outlineLevel="0" collapsed="false">
      <c r="A508" s="1" t="n">
        <v>11</v>
      </c>
      <c r="B508" s="1" t="s">
        <v>871</v>
      </c>
      <c r="C508" s="1" t="s">
        <v>20</v>
      </c>
      <c r="D508" s="1" t="s">
        <v>721</v>
      </c>
      <c r="E508" s="2" t="n">
        <v>440560077</v>
      </c>
      <c r="F508" s="21" t="s">
        <v>721</v>
      </c>
      <c r="G508" s="1" t="n">
        <v>440560031</v>
      </c>
      <c r="H508" s="3" t="n">
        <v>3350</v>
      </c>
      <c r="I508" s="26" t="n">
        <v>1800</v>
      </c>
      <c r="J508" s="1" t="n">
        <v>120</v>
      </c>
      <c r="K508" s="1" t="n">
        <v>1430</v>
      </c>
      <c r="M508" s="5" t="s">
        <v>868</v>
      </c>
      <c r="N508" s="33" t="n">
        <f aca="false">DAY(M508)</f>
        <v>9</v>
      </c>
      <c r="O508" s="33" t="str">
        <f aca="false">TEXT(M508,"DDDD")</f>
        <v>jueves</v>
      </c>
      <c r="P508" s="6" t="n">
        <f aca="false">MONTH(M508)</f>
        <v>10</v>
      </c>
      <c r="Q508" s="26" t="str">
        <f aca="false">TEXT(M508,"MMMM")</f>
        <v>octubre</v>
      </c>
    </row>
    <row r="509" customFormat="false" ht="14.25" hidden="false" customHeight="false" outlineLevel="0" collapsed="false">
      <c r="A509" s="1" t="n">
        <v>11</v>
      </c>
      <c r="B509" s="1" t="s">
        <v>247</v>
      </c>
      <c r="C509" s="1" t="s">
        <v>20</v>
      </c>
      <c r="D509" s="1" t="s">
        <v>872</v>
      </c>
      <c r="E509" s="2" t="n">
        <v>440549985</v>
      </c>
      <c r="F509" s="21" t="s">
        <v>873</v>
      </c>
      <c r="G509" s="1" t="n">
        <v>440550540</v>
      </c>
      <c r="H509" s="3" t="n">
        <v>3610</v>
      </c>
      <c r="I509" s="26" t="n">
        <v>2150</v>
      </c>
      <c r="J509" s="1" t="n">
        <v>120</v>
      </c>
      <c r="K509" s="1" t="n">
        <v>1340</v>
      </c>
      <c r="M509" s="5" t="s">
        <v>868</v>
      </c>
      <c r="N509" s="33" t="n">
        <f aca="false">DAY(M509)</f>
        <v>9</v>
      </c>
      <c r="O509" s="33" t="str">
        <f aca="false">TEXT(M509,"DDDD")</f>
        <v>jueves</v>
      </c>
      <c r="P509" s="6" t="n">
        <f aca="false">MONTH(M509)</f>
        <v>10</v>
      </c>
      <c r="Q509" s="26" t="str">
        <f aca="false">TEXT(M509,"MMMM")</f>
        <v>octubre</v>
      </c>
    </row>
    <row r="510" customFormat="false" ht="14.25" hidden="false" customHeight="false" outlineLevel="0" collapsed="false">
      <c r="A510" s="1" t="n">
        <v>10</v>
      </c>
      <c r="B510" s="1" t="s">
        <v>472</v>
      </c>
      <c r="C510" s="1" t="s">
        <v>140</v>
      </c>
      <c r="D510" s="1" t="s">
        <v>202</v>
      </c>
      <c r="E510" s="2" t="n">
        <v>440542172</v>
      </c>
      <c r="H510" s="3" t="n">
        <v>1910</v>
      </c>
      <c r="I510" s="26" t="n">
        <v>1850</v>
      </c>
      <c r="J510" s="1" t="n">
        <v>60</v>
      </c>
      <c r="M510" s="5" t="s">
        <v>868</v>
      </c>
      <c r="N510" s="33" t="n">
        <f aca="false">DAY(M510)</f>
        <v>9</v>
      </c>
      <c r="O510" s="33" t="str">
        <f aca="false">TEXT(M510,"DDDD")</f>
        <v>jueves</v>
      </c>
      <c r="P510" s="6" t="n">
        <f aca="false">MONTH(M510)</f>
        <v>10</v>
      </c>
      <c r="Q510" s="26" t="str">
        <f aca="false">TEXT(M510,"MMMM")</f>
        <v>octubre</v>
      </c>
    </row>
    <row r="511" customFormat="false" ht="14.25" hidden="false" customHeight="false" outlineLevel="0" collapsed="false">
      <c r="A511" s="1" t="n">
        <v>10</v>
      </c>
      <c r="B511" s="1" t="s">
        <v>874</v>
      </c>
      <c r="C511" s="1" t="s">
        <v>38</v>
      </c>
      <c r="D511" s="1" t="s">
        <v>875</v>
      </c>
      <c r="E511" s="2" t="n">
        <v>440540882</v>
      </c>
      <c r="H511" s="3" t="n">
        <v>2000</v>
      </c>
      <c r="I511" s="26" t="n">
        <v>1200</v>
      </c>
      <c r="J511" s="1" t="n">
        <v>60</v>
      </c>
      <c r="K511" s="1" t="n">
        <v>740</v>
      </c>
      <c r="M511" s="5" t="s">
        <v>868</v>
      </c>
      <c r="N511" s="33" t="n">
        <f aca="false">DAY(M511)</f>
        <v>9</v>
      </c>
      <c r="O511" s="33" t="str">
        <f aca="false">TEXT(M511,"DDDD")</f>
        <v>jueves</v>
      </c>
      <c r="P511" s="6" t="n">
        <f aca="false">MONTH(M511)</f>
        <v>10</v>
      </c>
      <c r="Q511" s="26" t="str">
        <f aca="false">TEXT(M511,"MMMM")</f>
        <v>octubre</v>
      </c>
    </row>
    <row r="512" customFormat="false" ht="14.25" hidden="false" customHeight="false" outlineLevel="0" collapsed="false">
      <c r="A512" s="1" t="n">
        <v>9</v>
      </c>
      <c r="B512" s="1" t="s">
        <v>876</v>
      </c>
      <c r="C512" s="1" t="s">
        <v>38</v>
      </c>
      <c r="D512" s="1" t="s">
        <v>877</v>
      </c>
      <c r="E512" s="2" t="n">
        <v>440533786</v>
      </c>
      <c r="F512" s="21" t="s">
        <v>878</v>
      </c>
      <c r="G512" s="1" t="n">
        <v>440535227</v>
      </c>
      <c r="H512" s="3" t="n">
        <v>3180</v>
      </c>
      <c r="I512" s="26" t="n">
        <v>2100</v>
      </c>
      <c r="J512" s="1" t="n">
        <v>120</v>
      </c>
      <c r="K512" s="1" t="n">
        <v>960</v>
      </c>
      <c r="M512" s="5" t="s">
        <v>868</v>
      </c>
      <c r="N512" s="33" t="n">
        <f aca="false">DAY(M512)</f>
        <v>9</v>
      </c>
      <c r="O512" s="33" t="str">
        <f aca="false">TEXT(M512,"DDDD")</f>
        <v>jueves</v>
      </c>
      <c r="P512" s="6" t="n">
        <f aca="false">MONTH(M512)</f>
        <v>10</v>
      </c>
      <c r="Q512" s="26" t="str">
        <f aca="false">TEXT(M512,"MMMM")</f>
        <v>octubre</v>
      </c>
    </row>
    <row r="513" customFormat="false" ht="14.25" hidden="false" customHeight="false" outlineLevel="0" collapsed="false">
      <c r="A513" s="1" t="n">
        <v>9</v>
      </c>
      <c r="B513" s="1" t="s">
        <v>879</v>
      </c>
      <c r="C513" s="1" t="s">
        <v>140</v>
      </c>
      <c r="D513" s="1" t="s">
        <v>49</v>
      </c>
      <c r="E513" s="2" t="n">
        <v>44053155</v>
      </c>
      <c r="H513" s="3" t="n">
        <v>1460</v>
      </c>
      <c r="I513" s="26" t="n">
        <v>1400</v>
      </c>
      <c r="J513" s="1" t="n">
        <v>60</v>
      </c>
      <c r="M513" s="5" t="s">
        <v>868</v>
      </c>
      <c r="N513" s="33" t="n">
        <f aca="false">DAY(M513)</f>
        <v>9</v>
      </c>
      <c r="O513" s="33" t="str">
        <f aca="false">TEXT(M513,"DDDD")</f>
        <v>jueves</v>
      </c>
      <c r="P513" s="6" t="n">
        <f aca="false">MONTH(M513)</f>
        <v>10</v>
      </c>
      <c r="Q513" s="26" t="str">
        <f aca="false">TEXT(M513,"MMMM")</f>
        <v>octubre</v>
      </c>
    </row>
    <row r="514" customFormat="false" ht="14.25" hidden="false" customHeight="false" outlineLevel="0" collapsed="false">
      <c r="A514" s="1" t="n">
        <v>12</v>
      </c>
      <c r="B514" s="1" t="s">
        <v>880</v>
      </c>
      <c r="C514" s="1" t="s">
        <v>20</v>
      </c>
      <c r="D514" s="1" t="s">
        <v>234</v>
      </c>
      <c r="E514" s="2" t="n">
        <v>440710515</v>
      </c>
      <c r="F514" s="21" t="s">
        <v>881</v>
      </c>
      <c r="G514" s="1" t="n">
        <v>440711844</v>
      </c>
      <c r="H514" s="3" t="n">
        <v>4120</v>
      </c>
      <c r="I514" s="26" t="n">
        <v>2300</v>
      </c>
      <c r="J514" s="1" t="n">
        <v>120</v>
      </c>
      <c r="K514" s="1" t="n">
        <v>1700</v>
      </c>
      <c r="M514" s="5" t="s">
        <v>882</v>
      </c>
      <c r="N514" s="33" t="n">
        <f aca="false">DAY(M514)</f>
        <v>10</v>
      </c>
      <c r="O514" s="33" t="str">
        <f aca="false">TEXT(M514,"DDDD")</f>
        <v>viernes</v>
      </c>
      <c r="P514" s="6" t="n">
        <f aca="false">MONTH(M514)</f>
        <v>10</v>
      </c>
      <c r="Q514" s="26" t="str">
        <f aca="false">TEXT(M514,"MMMM")</f>
        <v>octubre</v>
      </c>
      <c r="R514" s="21" t="s">
        <v>234</v>
      </c>
      <c r="S514" s="1" t="n">
        <v>14690</v>
      </c>
    </row>
    <row r="515" customFormat="false" ht="14.25" hidden="false" customHeight="false" outlineLevel="0" collapsed="false">
      <c r="A515" s="1" t="n">
        <v>11</v>
      </c>
      <c r="B515" s="1" t="s">
        <v>846</v>
      </c>
      <c r="C515" s="1" t="s">
        <v>20</v>
      </c>
      <c r="D515" s="1" t="s">
        <v>883</v>
      </c>
      <c r="E515" s="2" t="n">
        <v>440693522</v>
      </c>
      <c r="F515" s="21" t="s">
        <v>134</v>
      </c>
      <c r="G515" s="1" t="n">
        <v>440695292</v>
      </c>
      <c r="H515" s="3" t="n">
        <v>4840</v>
      </c>
      <c r="I515" s="26" t="n">
        <v>2100</v>
      </c>
      <c r="J515" s="1" t="n">
        <v>120</v>
      </c>
      <c r="K515" s="1" t="n">
        <v>2620</v>
      </c>
      <c r="M515" s="5" t="s">
        <v>882</v>
      </c>
      <c r="N515" s="33" t="n">
        <f aca="false">DAY(M515)</f>
        <v>10</v>
      </c>
      <c r="O515" s="33" t="str">
        <f aca="false">TEXT(M515,"DDDD")</f>
        <v>viernes</v>
      </c>
      <c r="P515" s="6" t="n">
        <f aca="false">MONTH(M515)</f>
        <v>10</v>
      </c>
      <c r="Q515" s="26" t="str">
        <f aca="false">TEXT(M515,"MMMM")</f>
        <v>octubre</v>
      </c>
    </row>
    <row r="516" customFormat="false" ht="14.25" hidden="false" customHeight="false" outlineLevel="0" collapsed="false">
      <c r="A516" s="1" t="n">
        <v>11</v>
      </c>
      <c r="B516" s="1" t="s">
        <v>884</v>
      </c>
      <c r="C516" s="1" t="s">
        <v>20</v>
      </c>
      <c r="D516" s="1" t="s">
        <v>885</v>
      </c>
      <c r="E516" s="2" t="n">
        <v>440685387</v>
      </c>
      <c r="H516" s="3" t="n">
        <v>4370</v>
      </c>
      <c r="I516" s="26" t="n">
        <v>2650</v>
      </c>
      <c r="J516" s="1" t="n">
        <v>60</v>
      </c>
      <c r="K516" s="1" t="n">
        <v>1660</v>
      </c>
      <c r="M516" s="5" t="s">
        <v>882</v>
      </c>
      <c r="N516" s="33" t="n">
        <f aca="false">DAY(M516)</f>
        <v>10</v>
      </c>
      <c r="O516" s="33" t="str">
        <f aca="false">TEXT(M516,"DDDD")</f>
        <v>viernes</v>
      </c>
      <c r="P516" s="6" t="n">
        <f aca="false">MONTH(M516)</f>
        <v>10</v>
      </c>
      <c r="Q516" s="26" t="str">
        <f aca="false">TEXT(M516,"MMMM")</f>
        <v>octubre</v>
      </c>
    </row>
    <row r="517" customFormat="false" ht="14.25" hidden="false" customHeight="false" outlineLevel="0" collapsed="false">
      <c r="A517" s="1" t="n">
        <v>11</v>
      </c>
      <c r="B517" s="1" t="s">
        <v>321</v>
      </c>
      <c r="C517" s="1" t="s">
        <v>20</v>
      </c>
      <c r="D517" s="1" t="s">
        <v>886</v>
      </c>
      <c r="E517" s="2" t="n">
        <v>440680439</v>
      </c>
      <c r="F517" s="21" t="s">
        <v>887</v>
      </c>
      <c r="G517" s="1" t="n">
        <v>440680423</v>
      </c>
      <c r="H517" s="3" t="n">
        <v>5340</v>
      </c>
      <c r="I517" s="26" t="n">
        <v>2100</v>
      </c>
      <c r="J517" s="1" t="n">
        <v>120</v>
      </c>
      <c r="K517" s="1" t="n">
        <v>3120</v>
      </c>
      <c r="M517" s="5" t="s">
        <v>882</v>
      </c>
      <c r="N517" s="33" t="n">
        <f aca="false">DAY(M517)</f>
        <v>10</v>
      </c>
      <c r="O517" s="33" t="str">
        <f aca="false">TEXT(M517,"DDDD")</f>
        <v>viernes</v>
      </c>
      <c r="P517" s="6" t="n">
        <f aca="false">MONTH(M517)</f>
        <v>10</v>
      </c>
      <c r="Q517" s="26" t="str">
        <f aca="false">TEXT(M517,"MMMM")</f>
        <v>octubre</v>
      </c>
    </row>
    <row r="518" customFormat="false" ht="14.25" hidden="false" customHeight="false" outlineLevel="0" collapsed="false">
      <c r="A518" s="1" t="n">
        <v>10</v>
      </c>
      <c r="B518" s="1" t="s">
        <v>888</v>
      </c>
      <c r="C518" s="1" t="s">
        <v>38</v>
      </c>
      <c r="D518" s="1" t="s">
        <v>65</v>
      </c>
      <c r="E518" s="2" t="n">
        <v>440675738</v>
      </c>
      <c r="F518" s="21" t="s">
        <v>65</v>
      </c>
      <c r="G518" s="1" t="n">
        <v>440676194</v>
      </c>
      <c r="H518" s="3" t="n">
        <v>4530</v>
      </c>
      <c r="I518" s="26" t="n">
        <v>2950</v>
      </c>
      <c r="J518" s="1" t="n">
        <v>120</v>
      </c>
      <c r="K518" s="1" t="n">
        <v>1460</v>
      </c>
      <c r="M518" s="5" t="s">
        <v>882</v>
      </c>
      <c r="N518" s="33" t="n">
        <f aca="false">DAY(M518)</f>
        <v>10</v>
      </c>
      <c r="O518" s="33" t="str">
        <f aca="false">TEXT(M518,"DDDD")</f>
        <v>viernes</v>
      </c>
      <c r="P518" s="6" t="n">
        <f aca="false">MONTH(M518)</f>
        <v>10</v>
      </c>
      <c r="Q518" s="26" t="str">
        <f aca="false">TEXT(M518,"MMMM")</f>
        <v>octubre</v>
      </c>
    </row>
    <row r="519" customFormat="false" ht="14.25" hidden="false" customHeight="false" outlineLevel="0" collapsed="false">
      <c r="A519" s="1" t="n">
        <v>4</v>
      </c>
      <c r="B519" s="1" t="s">
        <v>889</v>
      </c>
      <c r="C519" s="1" t="s">
        <v>20</v>
      </c>
      <c r="D519" s="1" t="s">
        <v>890</v>
      </c>
      <c r="E519" s="2" t="n">
        <v>440617647</v>
      </c>
      <c r="H519" s="3" t="n">
        <v>2610</v>
      </c>
      <c r="I519" s="26" t="n">
        <v>2550</v>
      </c>
      <c r="J519" s="1" t="n">
        <v>60</v>
      </c>
      <c r="M519" s="5" t="s">
        <v>882</v>
      </c>
      <c r="N519" s="33" t="n">
        <f aca="false">DAY(M519)</f>
        <v>10</v>
      </c>
      <c r="O519" s="33" t="str">
        <f aca="false">TEXT(M519,"DDDD")</f>
        <v>viernes</v>
      </c>
      <c r="P519" s="6" t="n">
        <f aca="false">MONTH(M519)</f>
        <v>10</v>
      </c>
      <c r="Q519" s="26" t="str">
        <f aca="false">TEXT(M519,"MMMM")</f>
        <v>octubre</v>
      </c>
    </row>
    <row r="520" customFormat="false" ht="14.25" hidden="false" customHeight="false" outlineLevel="0" collapsed="false">
      <c r="A520" s="1" t="n">
        <v>4</v>
      </c>
      <c r="B520" s="1" t="s">
        <v>891</v>
      </c>
      <c r="C520" s="1" t="s">
        <v>38</v>
      </c>
      <c r="D520" s="1" t="s">
        <v>87</v>
      </c>
      <c r="E520" s="2" t="n">
        <v>440617601</v>
      </c>
      <c r="H520" s="3" t="n">
        <v>1510</v>
      </c>
      <c r="I520" s="26" t="n">
        <v>1200</v>
      </c>
      <c r="J520" s="1" t="n">
        <v>60</v>
      </c>
      <c r="K520" s="1" t="n">
        <v>250</v>
      </c>
      <c r="M520" s="5" t="s">
        <v>882</v>
      </c>
      <c r="N520" s="33" t="n">
        <f aca="false">DAY(M520)</f>
        <v>10</v>
      </c>
      <c r="O520" s="33" t="str">
        <f aca="false">TEXT(M520,"DDDD")</f>
        <v>viernes</v>
      </c>
      <c r="P520" s="6" t="n">
        <f aca="false">MONTH(M520)</f>
        <v>10</v>
      </c>
      <c r="Q520" s="26" t="str">
        <f aca="false">TEXT(M520,"MMMM")</f>
        <v>octubre</v>
      </c>
    </row>
    <row r="521" customFormat="false" ht="14.25" hidden="false" customHeight="false" outlineLevel="0" collapsed="false">
      <c r="A521" s="1" t="n">
        <v>4</v>
      </c>
      <c r="B521" s="1" t="s">
        <v>892</v>
      </c>
      <c r="C521" s="1" t="s">
        <v>20</v>
      </c>
      <c r="D521" s="1" t="s">
        <v>85</v>
      </c>
      <c r="E521" s="2" t="n">
        <v>440617454</v>
      </c>
      <c r="F521" s="21" t="s">
        <v>85</v>
      </c>
      <c r="G521" s="1" t="n">
        <v>440617398</v>
      </c>
      <c r="H521" s="3" t="n">
        <v>4920</v>
      </c>
      <c r="I521" s="26" t="n">
        <v>1800</v>
      </c>
      <c r="J521" s="1" t="n">
        <v>120</v>
      </c>
      <c r="K521" s="1" t="n">
        <v>3000</v>
      </c>
      <c r="M521" s="5" t="s">
        <v>882</v>
      </c>
      <c r="N521" s="33" t="n">
        <f aca="false">DAY(M521)</f>
        <v>10</v>
      </c>
      <c r="O521" s="33" t="str">
        <f aca="false">TEXT(M521,"DDDD")</f>
        <v>viernes</v>
      </c>
      <c r="P521" s="6" t="n">
        <f aca="false">MONTH(M521)</f>
        <v>10</v>
      </c>
      <c r="Q521" s="26" t="str">
        <f aca="false">TEXT(M521,"MMMM")</f>
        <v>octubre</v>
      </c>
    </row>
    <row r="522" customFormat="false" ht="14.25" hidden="false" customHeight="false" outlineLevel="0" collapsed="false">
      <c r="A522" s="1" t="n">
        <v>3</v>
      </c>
      <c r="B522" s="1" t="s">
        <v>893</v>
      </c>
      <c r="C522" s="1" t="s">
        <v>38</v>
      </c>
      <c r="D522" s="1" t="s">
        <v>894</v>
      </c>
      <c r="E522" s="2" t="n">
        <v>440617168</v>
      </c>
      <c r="H522" s="3" t="n">
        <v>2960</v>
      </c>
      <c r="I522" s="26" t="n">
        <v>1400</v>
      </c>
      <c r="J522" s="1" t="n">
        <v>60</v>
      </c>
      <c r="K522" s="1" t="n">
        <v>1500</v>
      </c>
      <c r="M522" s="5" t="s">
        <v>882</v>
      </c>
      <c r="N522" s="33" t="n">
        <f aca="false">DAY(M522)</f>
        <v>10</v>
      </c>
      <c r="O522" s="33" t="str">
        <f aca="false">TEXT(M522,"DDDD")</f>
        <v>viernes</v>
      </c>
      <c r="P522" s="6" t="n">
        <f aca="false">MONTH(M522)</f>
        <v>10</v>
      </c>
      <c r="Q522" s="26" t="str">
        <f aca="false">TEXT(M522,"MMMM")</f>
        <v>octubre</v>
      </c>
    </row>
    <row r="523" customFormat="false" ht="14.25" hidden="false" customHeight="false" outlineLevel="0" collapsed="false">
      <c r="A523" s="1" t="n">
        <v>3</v>
      </c>
      <c r="B523" s="1" t="s">
        <v>895</v>
      </c>
      <c r="C523" s="1" t="s">
        <v>20</v>
      </c>
      <c r="D523" s="1" t="s">
        <v>896</v>
      </c>
      <c r="E523" s="2" t="n">
        <v>440616889</v>
      </c>
      <c r="H523" s="3" t="n">
        <v>1510</v>
      </c>
      <c r="I523" s="26" t="n">
        <v>1450</v>
      </c>
      <c r="J523" s="1" t="n">
        <v>60</v>
      </c>
      <c r="M523" s="5" t="s">
        <v>882</v>
      </c>
      <c r="N523" s="33" t="n">
        <f aca="false">DAY(M523)</f>
        <v>10</v>
      </c>
      <c r="O523" s="33" t="str">
        <f aca="false">TEXT(M523,"DDDD")</f>
        <v>viernes</v>
      </c>
      <c r="P523" s="6" t="n">
        <f aca="false">MONTH(M523)</f>
        <v>10</v>
      </c>
      <c r="Q523" s="26" t="str">
        <f aca="false">TEXT(M523,"MMMM")</f>
        <v>octubre</v>
      </c>
      <c r="R523" s="21" t="s">
        <v>896</v>
      </c>
      <c r="S523" s="1" t="n">
        <v>9310</v>
      </c>
    </row>
    <row r="524" customFormat="false" ht="14.25" hidden="false" customHeight="false" outlineLevel="0" collapsed="false">
      <c r="A524" s="1" t="n">
        <v>3</v>
      </c>
      <c r="B524" s="1" t="s">
        <v>302</v>
      </c>
      <c r="C524" s="1" t="s">
        <v>20</v>
      </c>
      <c r="D524" s="1" t="s">
        <v>897</v>
      </c>
      <c r="E524" s="2" t="n">
        <v>440616364</v>
      </c>
      <c r="F524" s="21" t="s">
        <v>897</v>
      </c>
      <c r="G524" s="1" t="n">
        <v>440616515</v>
      </c>
      <c r="H524" s="3" t="n">
        <v>4180</v>
      </c>
      <c r="I524" s="26" t="n">
        <v>2700</v>
      </c>
      <c r="J524" s="1" t="n">
        <v>120</v>
      </c>
      <c r="K524" s="1" t="n">
        <v>1360</v>
      </c>
      <c r="M524" s="5" t="s">
        <v>882</v>
      </c>
      <c r="N524" s="33" t="n">
        <f aca="false">DAY(M524)</f>
        <v>10</v>
      </c>
      <c r="O524" s="33" t="str">
        <f aca="false">TEXT(M524,"DDDD")</f>
        <v>viernes</v>
      </c>
      <c r="P524" s="6" t="n">
        <f aca="false">MONTH(M524)</f>
        <v>10</v>
      </c>
      <c r="Q524" s="26" t="str">
        <f aca="false">TEXT(M524,"MMMM")</f>
        <v>octubre</v>
      </c>
    </row>
    <row r="525" customFormat="false" ht="14.25" hidden="false" customHeight="false" outlineLevel="0" collapsed="false">
      <c r="A525" s="1" t="n">
        <v>2</v>
      </c>
      <c r="B525" s="1" t="s">
        <v>898</v>
      </c>
      <c r="C525" s="1" t="s">
        <v>38</v>
      </c>
      <c r="D525" s="1" t="s">
        <v>541</v>
      </c>
      <c r="E525" s="2" t="n">
        <v>440616237</v>
      </c>
      <c r="H525" s="3" t="n">
        <v>3650</v>
      </c>
      <c r="I525" s="26" t="n">
        <v>2150</v>
      </c>
      <c r="J525" s="1" t="n">
        <v>60</v>
      </c>
      <c r="K525" s="1" t="n">
        <v>1440</v>
      </c>
      <c r="M525" s="5" t="s">
        <v>882</v>
      </c>
      <c r="N525" s="33" t="n">
        <f aca="false">DAY(M525)</f>
        <v>10</v>
      </c>
      <c r="O525" s="33" t="str">
        <f aca="false">TEXT(M525,"DDDD")</f>
        <v>viernes</v>
      </c>
      <c r="P525" s="6" t="n">
        <f aca="false">MONTH(M525)</f>
        <v>10</v>
      </c>
      <c r="Q525" s="26" t="str">
        <f aca="false">TEXT(M525,"MMMM")</f>
        <v>octubre</v>
      </c>
    </row>
    <row r="526" customFormat="false" ht="14.25" hidden="false" customHeight="false" outlineLevel="0" collapsed="false">
      <c r="A526" s="1" t="n">
        <v>1</v>
      </c>
      <c r="B526" s="1" t="s">
        <v>899</v>
      </c>
      <c r="C526" s="1" t="s">
        <v>20</v>
      </c>
      <c r="D526" s="1" t="s">
        <v>900</v>
      </c>
      <c r="E526" s="2" t="n">
        <v>440612697</v>
      </c>
      <c r="H526" s="3" t="n">
        <v>2060</v>
      </c>
      <c r="I526" s="26" t="n">
        <v>1400</v>
      </c>
      <c r="J526" s="1" t="n">
        <v>60</v>
      </c>
      <c r="K526" s="1" t="n">
        <v>600</v>
      </c>
      <c r="M526" s="5" t="s">
        <v>882</v>
      </c>
      <c r="N526" s="33" t="n">
        <f aca="false">DAY(M526)</f>
        <v>10</v>
      </c>
      <c r="O526" s="33" t="str">
        <f aca="false">TEXT(M526,"DDDD")</f>
        <v>viernes</v>
      </c>
      <c r="P526" s="6" t="n">
        <f aca="false">MONTH(M526)</f>
        <v>10</v>
      </c>
      <c r="Q526" s="26" t="str">
        <f aca="false">TEXT(M526,"MMMM")</f>
        <v>octubre</v>
      </c>
    </row>
    <row r="527" customFormat="false" ht="14.25" hidden="false" customHeight="false" outlineLevel="0" collapsed="false">
      <c r="A527" s="1" t="n">
        <v>1</v>
      </c>
      <c r="B527" s="1" t="s">
        <v>901</v>
      </c>
      <c r="C527" s="1" t="s">
        <v>20</v>
      </c>
      <c r="D527" s="1" t="s">
        <v>902</v>
      </c>
      <c r="E527" s="2" t="n">
        <v>440614279</v>
      </c>
      <c r="H527" s="3" t="n">
        <v>3200</v>
      </c>
      <c r="I527" s="26" t="n">
        <v>1200</v>
      </c>
      <c r="J527" s="1" t="n">
        <v>60</v>
      </c>
      <c r="K527" s="1" t="n">
        <v>1940</v>
      </c>
      <c r="M527" s="5" t="s">
        <v>882</v>
      </c>
      <c r="N527" s="33" t="n">
        <f aca="false">DAY(M527)</f>
        <v>10</v>
      </c>
      <c r="O527" s="33" t="str">
        <f aca="false">TEXT(M527,"DDDD")</f>
        <v>viernes</v>
      </c>
      <c r="P527" s="6" t="n">
        <f aca="false">MONTH(M527)</f>
        <v>10</v>
      </c>
      <c r="Q527" s="26" t="str">
        <f aca="false">TEXT(M527,"MMMM")</f>
        <v>octubre</v>
      </c>
    </row>
    <row r="528" customFormat="false" ht="14.25" hidden="false" customHeight="false" outlineLevel="0" collapsed="false">
      <c r="A528" s="1" t="n">
        <v>1</v>
      </c>
      <c r="B528" s="1" t="s">
        <v>903</v>
      </c>
      <c r="C528" s="1" t="s">
        <v>38</v>
      </c>
      <c r="D528" s="1" t="s">
        <v>904</v>
      </c>
      <c r="E528" s="2" t="n">
        <v>440612902</v>
      </c>
      <c r="H528" s="3" t="n">
        <v>2870</v>
      </c>
      <c r="I528" s="26" t="n">
        <v>1350</v>
      </c>
      <c r="J528" s="1" t="n">
        <v>60</v>
      </c>
      <c r="K528" s="1" t="n">
        <v>1460</v>
      </c>
      <c r="M528" s="5" t="s">
        <v>882</v>
      </c>
      <c r="N528" s="33" t="n">
        <f aca="false">DAY(M528)</f>
        <v>10</v>
      </c>
      <c r="O528" s="33" t="str">
        <f aca="false">TEXT(M528,"DDDD")</f>
        <v>viernes</v>
      </c>
      <c r="P528" s="6" t="n">
        <f aca="false">MONTH(M528)</f>
        <v>10</v>
      </c>
      <c r="Q528" s="26" t="str">
        <f aca="false">TEXT(M528,"MMMM")</f>
        <v>octubre</v>
      </c>
    </row>
    <row r="529" customFormat="false" ht="14.25" hidden="false" customHeight="false" outlineLevel="0" collapsed="false">
      <c r="A529" s="1" t="n">
        <v>1</v>
      </c>
      <c r="B529" s="1" t="s">
        <v>905</v>
      </c>
      <c r="C529" s="1" t="s">
        <v>38</v>
      </c>
      <c r="D529" s="1" t="s">
        <v>906</v>
      </c>
      <c r="E529" s="2" t="n">
        <v>440611744</v>
      </c>
      <c r="H529" s="3" t="n">
        <v>1780</v>
      </c>
      <c r="I529" s="26" t="n">
        <v>1300</v>
      </c>
      <c r="J529" s="1" t="n">
        <v>60</v>
      </c>
      <c r="K529" s="1" t="n">
        <v>420</v>
      </c>
      <c r="M529" s="5" t="s">
        <v>882</v>
      </c>
      <c r="N529" s="33" t="n">
        <f aca="false">DAY(M529)</f>
        <v>10</v>
      </c>
      <c r="O529" s="33" t="str">
        <f aca="false">TEXT(M529,"DDDD")</f>
        <v>viernes</v>
      </c>
      <c r="P529" s="6" t="n">
        <f aca="false">MONTH(M529)</f>
        <v>10</v>
      </c>
      <c r="Q529" s="26" t="str">
        <f aca="false">TEXT(M529,"MMMM")</f>
        <v>octubre</v>
      </c>
    </row>
    <row r="530" customFormat="false" ht="14.25" hidden="false" customHeight="false" outlineLevel="0" collapsed="false">
      <c r="A530" s="1" t="n">
        <v>1</v>
      </c>
      <c r="B530" s="1" t="s">
        <v>907</v>
      </c>
      <c r="C530" s="1" t="s">
        <v>20</v>
      </c>
      <c r="D530" s="1" t="s">
        <v>908</v>
      </c>
      <c r="E530" s="2" t="n">
        <v>440610874</v>
      </c>
      <c r="H530" s="3" t="n">
        <v>2840</v>
      </c>
      <c r="I530" s="26" t="n">
        <v>1400</v>
      </c>
      <c r="J530" s="1" t="n">
        <v>60</v>
      </c>
      <c r="K530" s="1" t="n">
        <v>1380</v>
      </c>
      <c r="M530" s="5" t="s">
        <v>882</v>
      </c>
      <c r="N530" s="33" t="n">
        <f aca="false">DAY(M530)</f>
        <v>10</v>
      </c>
      <c r="O530" s="33" t="str">
        <f aca="false">TEXT(M530,"DDDD")</f>
        <v>viernes</v>
      </c>
      <c r="P530" s="6" t="n">
        <f aca="false">MONTH(M530)</f>
        <v>10</v>
      </c>
      <c r="Q530" s="26" t="str">
        <f aca="false">TEXT(M530,"MMMM")</f>
        <v>octubre</v>
      </c>
    </row>
    <row r="531" customFormat="false" ht="14.25" hidden="false" customHeight="false" outlineLevel="0" collapsed="false">
      <c r="A531" s="1" t="n">
        <v>1</v>
      </c>
      <c r="B531" s="1" t="s">
        <v>909</v>
      </c>
      <c r="C531" s="1" t="s">
        <v>20</v>
      </c>
      <c r="D531" s="1" t="s">
        <v>239</v>
      </c>
      <c r="E531" s="2" t="n">
        <v>440609040</v>
      </c>
      <c r="H531" s="3" t="n">
        <v>3390</v>
      </c>
      <c r="I531" s="26" t="n">
        <v>1850</v>
      </c>
      <c r="J531" s="1" t="n">
        <v>60</v>
      </c>
      <c r="K531" s="1" t="n">
        <v>1480</v>
      </c>
      <c r="M531" s="5" t="s">
        <v>882</v>
      </c>
      <c r="N531" s="33" t="n">
        <f aca="false">DAY(M531)</f>
        <v>10</v>
      </c>
      <c r="O531" s="33" t="str">
        <f aca="false">TEXT(M531,"DDDD")</f>
        <v>viernes</v>
      </c>
      <c r="P531" s="6" t="n">
        <f aca="false">MONTH(M531)</f>
        <v>10</v>
      </c>
      <c r="Q531" s="26" t="str">
        <f aca="false">TEXT(M531,"MMMM")</f>
        <v>octubre</v>
      </c>
    </row>
    <row r="532" customFormat="false" ht="14.25" hidden="false" customHeight="false" outlineLevel="0" collapsed="false">
      <c r="A532" s="1" t="n">
        <v>12</v>
      </c>
      <c r="B532" s="1" t="s">
        <v>910</v>
      </c>
      <c r="C532" s="1" t="s">
        <v>38</v>
      </c>
      <c r="D532" s="1" t="s">
        <v>911</v>
      </c>
      <c r="E532" s="2" t="n">
        <v>440863531</v>
      </c>
      <c r="H532" s="3" t="n">
        <v>3144</v>
      </c>
      <c r="I532" s="26" t="n">
        <v>1604</v>
      </c>
      <c r="J532" s="1" t="n">
        <v>60</v>
      </c>
      <c r="K532" s="1" t="n">
        <v>1840</v>
      </c>
      <c r="M532" s="5" t="s">
        <v>912</v>
      </c>
      <c r="N532" s="33" t="n">
        <f aca="false">DAY(M532)</f>
        <v>11</v>
      </c>
      <c r="O532" s="33" t="str">
        <f aca="false">TEXT(M532,"DDDD")</f>
        <v>sábado</v>
      </c>
      <c r="P532" s="6" t="n">
        <f aca="false">MONTH(M532)</f>
        <v>10</v>
      </c>
      <c r="Q532" s="26" t="str">
        <f aca="false">TEXT(M532,"MMMM")</f>
        <v>octubre</v>
      </c>
      <c r="T532" s="21" t="s">
        <v>913</v>
      </c>
    </row>
    <row r="533" customFormat="false" ht="14.25" hidden="false" customHeight="false" outlineLevel="0" collapsed="false">
      <c r="A533" s="1" t="n">
        <v>12</v>
      </c>
      <c r="B533" s="1" t="s">
        <v>914</v>
      </c>
      <c r="C533" s="1" t="s">
        <v>20</v>
      </c>
      <c r="D533" s="1" t="s">
        <v>915</v>
      </c>
      <c r="E533" s="2" t="n">
        <v>440858574</v>
      </c>
      <c r="H533" s="3" t="n">
        <v>4410</v>
      </c>
      <c r="I533" s="26" t="n">
        <v>2600</v>
      </c>
      <c r="J533" s="1" t="n">
        <v>60</v>
      </c>
      <c r="K533" s="1" t="n">
        <v>1750</v>
      </c>
      <c r="M533" s="5" t="s">
        <v>912</v>
      </c>
      <c r="N533" s="33" t="n">
        <f aca="false">DAY(M533)</f>
        <v>11</v>
      </c>
      <c r="O533" s="33" t="str">
        <f aca="false">TEXT(M533,"DDDD")</f>
        <v>sábado</v>
      </c>
      <c r="P533" s="6" t="n">
        <f aca="false">MONTH(M533)</f>
        <v>10</v>
      </c>
      <c r="Q533" s="26" t="str">
        <f aca="false">TEXT(M533,"MMMM")</f>
        <v>octubre</v>
      </c>
      <c r="T533" s="21" t="s">
        <v>913</v>
      </c>
    </row>
    <row r="534" customFormat="false" ht="14.25" hidden="false" customHeight="false" outlineLevel="0" collapsed="false">
      <c r="A534" s="1" t="n">
        <v>12</v>
      </c>
      <c r="B534" s="1" t="s">
        <v>916</v>
      </c>
      <c r="C534" s="1" t="s">
        <v>20</v>
      </c>
      <c r="D534" s="1" t="s">
        <v>917</v>
      </c>
      <c r="E534" s="2" t="n">
        <v>440855442</v>
      </c>
      <c r="H534" s="3" t="n">
        <v>2660</v>
      </c>
      <c r="I534" s="26" t="n">
        <v>2600</v>
      </c>
      <c r="J534" s="1" t="n">
        <v>60</v>
      </c>
      <c r="M534" s="5" t="s">
        <v>912</v>
      </c>
      <c r="N534" s="33" t="n">
        <f aca="false">DAY(M534)</f>
        <v>11</v>
      </c>
      <c r="O534" s="33" t="str">
        <f aca="false">TEXT(M534,"DDDD")</f>
        <v>sábado</v>
      </c>
      <c r="P534" s="6" t="n">
        <f aca="false">MONTH(M534)</f>
        <v>10</v>
      </c>
      <c r="Q534" s="26" t="str">
        <f aca="false">TEXT(M534,"MMMM")</f>
        <v>octubre</v>
      </c>
      <c r="T534" s="21" t="s">
        <v>913</v>
      </c>
    </row>
    <row r="535" customFormat="false" ht="14.25" hidden="false" customHeight="false" outlineLevel="0" collapsed="false">
      <c r="A535" s="1" t="n">
        <v>12</v>
      </c>
      <c r="B535" s="1" t="s">
        <v>918</v>
      </c>
      <c r="C535" s="1" t="s">
        <v>20</v>
      </c>
      <c r="D535" s="1" t="s">
        <v>187</v>
      </c>
      <c r="E535" s="2" t="n">
        <v>440849183</v>
      </c>
      <c r="H535" s="3" t="n">
        <v>4660</v>
      </c>
      <c r="I535" s="26" t="n">
        <v>4600</v>
      </c>
      <c r="J535" s="1" t="n">
        <v>60</v>
      </c>
      <c r="M535" s="5" t="s">
        <v>912</v>
      </c>
      <c r="N535" s="33" t="n">
        <f aca="false">DAY(M535)</f>
        <v>11</v>
      </c>
      <c r="O535" s="33" t="str">
        <f aca="false">TEXT(M535,"DDDD")</f>
        <v>sábado</v>
      </c>
      <c r="P535" s="6" t="n">
        <f aca="false">MONTH(M535)</f>
        <v>10</v>
      </c>
      <c r="Q535" s="26" t="str">
        <f aca="false">TEXT(M535,"MMMM")</f>
        <v>octubre</v>
      </c>
      <c r="T535" s="21" t="s">
        <v>913</v>
      </c>
    </row>
    <row r="536" customFormat="false" ht="14.25" hidden="false" customHeight="false" outlineLevel="0" collapsed="false">
      <c r="A536" s="1" t="n">
        <v>12</v>
      </c>
      <c r="B536" s="1" t="s">
        <v>919</v>
      </c>
      <c r="C536" s="1" t="s">
        <v>38</v>
      </c>
      <c r="D536" s="1" t="s">
        <v>920</v>
      </c>
      <c r="E536" s="2" t="n">
        <v>440844922</v>
      </c>
      <c r="H536" s="3" t="n">
        <v>2371</v>
      </c>
      <c r="I536" s="26" t="n">
        <v>2310</v>
      </c>
      <c r="J536" s="1" t="n">
        <v>60</v>
      </c>
      <c r="K536" s="1" t="n">
        <v>1</v>
      </c>
      <c r="M536" s="5" t="s">
        <v>912</v>
      </c>
      <c r="N536" s="33" t="n">
        <f aca="false">DAY(M536)</f>
        <v>11</v>
      </c>
      <c r="O536" s="33" t="str">
        <f aca="false">TEXT(M536,"DDDD")</f>
        <v>sábado</v>
      </c>
      <c r="P536" s="6" t="n">
        <f aca="false">MONTH(M536)</f>
        <v>10</v>
      </c>
      <c r="Q536" s="26" t="str">
        <f aca="false">TEXT(M536,"MMMM")</f>
        <v>octubre</v>
      </c>
      <c r="T536" s="21" t="s">
        <v>913</v>
      </c>
    </row>
    <row r="537" customFormat="false" ht="14.25" hidden="false" customHeight="false" outlineLevel="0" collapsed="false">
      <c r="A537" s="1" t="n">
        <v>12</v>
      </c>
      <c r="B537" s="1" t="s">
        <v>921</v>
      </c>
      <c r="C537" s="1" t="s">
        <v>20</v>
      </c>
      <c r="D537" s="1" t="s">
        <v>922</v>
      </c>
      <c r="E537" s="2" t="n">
        <v>440836066</v>
      </c>
      <c r="F537" s="21" t="s">
        <v>923</v>
      </c>
      <c r="G537" s="1" t="n">
        <v>440837397</v>
      </c>
      <c r="H537" s="3" t="n">
        <v>5870</v>
      </c>
      <c r="I537" s="26" t="n">
        <v>3450</v>
      </c>
      <c r="J537" s="1" t="n">
        <v>120</v>
      </c>
      <c r="K537" s="1" t="n">
        <v>2300</v>
      </c>
      <c r="M537" s="5" t="s">
        <v>912</v>
      </c>
      <c r="N537" s="33" t="n">
        <f aca="false">DAY(M537)</f>
        <v>11</v>
      </c>
      <c r="O537" s="33" t="str">
        <f aca="false">TEXT(M537,"DDDD")</f>
        <v>sábado</v>
      </c>
      <c r="P537" s="6" t="n">
        <f aca="false">MONTH(M537)</f>
        <v>10</v>
      </c>
      <c r="Q537" s="26" t="str">
        <f aca="false">TEXT(M537,"MMMM")</f>
        <v>octubre</v>
      </c>
      <c r="T537" s="21" t="s">
        <v>913</v>
      </c>
    </row>
    <row r="538" customFormat="false" ht="14.25" hidden="false" customHeight="false" outlineLevel="0" collapsed="false">
      <c r="A538" s="1" t="n">
        <v>11</v>
      </c>
      <c r="B538" s="1" t="s">
        <v>374</v>
      </c>
      <c r="C538" s="1" t="s">
        <v>38</v>
      </c>
      <c r="D538" s="1" t="s">
        <v>832</v>
      </c>
      <c r="E538" s="2" t="n">
        <v>440823402</v>
      </c>
      <c r="H538" s="3" t="n">
        <v>3090</v>
      </c>
      <c r="I538" s="26" t="n">
        <v>2310</v>
      </c>
      <c r="J538" s="1" t="n">
        <v>60</v>
      </c>
      <c r="K538" s="1" t="n">
        <v>720</v>
      </c>
      <c r="M538" s="5" t="s">
        <v>912</v>
      </c>
      <c r="N538" s="33" t="n">
        <f aca="false">DAY(M538)</f>
        <v>11</v>
      </c>
      <c r="O538" s="33" t="str">
        <f aca="false">TEXT(M538,"DDDD")</f>
        <v>sábado</v>
      </c>
      <c r="P538" s="6" t="n">
        <f aca="false">MONTH(M538)</f>
        <v>10</v>
      </c>
      <c r="Q538" s="26" t="str">
        <f aca="false">TEXT(M538,"MMMM")</f>
        <v>octubre</v>
      </c>
      <c r="T538" s="21" t="s">
        <v>913</v>
      </c>
    </row>
    <row r="539" customFormat="false" ht="14.25" hidden="false" customHeight="false" outlineLevel="0" collapsed="false">
      <c r="A539" s="1" t="n">
        <v>11</v>
      </c>
      <c r="B539" s="1" t="s">
        <v>924</v>
      </c>
      <c r="C539" s="1" t="s">
        <v>38</v>
      </c>
      <c r="D539" s="1" t="s">
        <v>274</v>
      </c>
      <c r="E539" s="2" t="n">
        <v>440826206</v>
      </c>
      <c r="H539" s="3" t="n">
        <v>4440</v>
      </c>
      <c r="I539" s="26" t="n">
        <v>2800</v>
      </c>
      <c r="J539" s="1" t="n">
        <v>60</v>
      </c>
      <c r="K539" s="1" t="n">
        <v>1580</v>
      </c>
      <c r="M539" s="5" t="s">
        <v>912</v>
      </c>
      <c r="N539" s="33" t="n">
        <f aca="false">DAY(M539)</f>
        <v>11</v>
      </c>
      <c r="O539" s="33" t="str">
        <f aca="false">TEXT(M539,"DDDD")</f>
        <v>sábado</v>
      </c>
      <c r="P539" s="6" t="n">
        <f aca="false">MONTH(M539)</f>
        <v>10</v>
      </c>
      <c r="Q539" s="26" t="str">
        <f aca="false">TEXT(M539,"MMMM")</f>
        <v>octubre</v>
      </c>
      <c r="T539" s="21" t="s">
        <v>913</v>
      </c>
    </row>
    <row r="540" customFormat="false" ht="14.25" hidden="false" customHeight="false" outlineLevel="0" collapsed="false">
      <c r="A540" s="1" t="n">
        <v>11</v>
      </c>
      <c r="B540" s="1" t="s">
        <v>130</v>
      </c>
      <c r="C540" s="1" t="s">
        <v>20</v>
      </c>
      <c r="D540" s="1" t="s">
        <v>511</v>
      </c>
      <c r="E540" s="2" t="n">
        <v>440818071</v>
      </c>
      <c r="H540" s="3" t="n">
        <v>3464</v>
      </c>
      <c r="I540" s="26" t="n">
        <v>1604</v>
      </c>
      <c r="J540" s="1" t="n">
        <v>60</v>
      </c>
      <c r="K540" s="1" t="n">
        <v>1800</v>
      </c>
      <c r="M540" s="5" t="s">
        <v>912</v>
      </c>
      <c r="N540" s="33" t="n">
        <f aca="false">DAY(M540)</f>
        <v>11</v>
      </c>
      <c r="O540" s="33" t="str">
        <f aca="false">TEXT(M540,"DDDD")</f>
        <v>sábado</v>
      </c>
      <c r="P540" s="6" t="n">
        <f aca="false">MONTH(M540)</f>
        <v>10</v>
      </c>
      <c r="Q540" s="26" t="str">
        <f aca="false">TEXT(M540,"MMMM")</f>
        <v>octubre</v>
      </c>
      <c r="T540" s="21" t="s">
        <v>913</v>
      </c>
    </row>
    <row r="541" customFormat="false" ht="14.25" hidden="false" customHeight="false" outlineLevel="0" collapsed="false">
      <c r="A541" s="1" t="n">
        <v>11</v>
      </c>
      <c r="B541" s="1" t="s">
        <v>925</v>
      </c>
      <c r="C541" s="1" t="s">
        <v>20</v>
      </c>
      <c r="D541" s="1" t="s">
        <v>926</v>
      </c>
      <c r="E541" s="2" t="n">
        <v>440812804</v>
      </c>
      <c r="H541" s="3" t="n">
        <v>4640</v>
      </c>
      <c r="I541" s="26" t="n">
        <v>3100</v>
      </c>
      <c r="J541" s="1" t="n">
        <v>60</v>
      </c>
      <c r="K541" s="1" t="n">
        <v>1480</v>
      </c>
      <c r="M541" s="5" t="s">
        <v>912</v>
      </c>
      <c r="N541" s="33" t="n">
        <f aca="false">DAY(M541)</f>
        <v>11</v>
      </c>
      <c r="O541" s="33" t="str">
        <f aca="false">TEXT(M541,"DDDD")</f>
        <v>sábado</v>
      </c>
      <c r="P541" s="6" t="n">
        <f aca="false">MONTH(M541)</f>
        <v>10</v>
      </c>
      <c r="Q541" s="26" t="str">
        <f aca="false">TEXT(M541,"MMMM")</f>
        <v>octubre</v>
      </c>
    </row>
    <row r="542" customFormat="false" ht="14.25" hidden="false" customHeight="false" outlineLevel="0" collapsed="false">
      <c r="A542" s="1" t="n">
        <v>11</v>
      </c>
      <c r="B542" s="1" t="s">
        <v>418</v>
      </c>
      <c r="C542" s="1" t="s">
        <v>20</v>
      </c>
      <c r="D542" s="1" t="s">
        <v>822</v>
      </c>
      <c r="E542" s="2" t="n">
        <v>440809582</v>
      </c>
      <c r="H542" s="3" t="n">
        <v>2660</v>
      </c>
      <c r="I542" s="26" t="n">
        <v>1200</v>
      </c>
      <c r="J542" s="1" t="n">
        <v>60</v>
      </c>
      <c r="K542" s="1" t="n">
        <v>1400</v>
      </c>
      <c r="M542" s="5" t="s">
        <v>912</v>
      </c>
      <c r="N542" s="33" t="n">
        <f aca="false">DAY(M542)</f>
        <v>11</v>
      </c>
      <c r="O542" s="33" t="str">
        <f aca="false">TEXT(M542,"DDDD")</f>
        <v>sábado</v>
      </c>
      <c r="P542" s="6" t="n">
        <f aca="false">MONTH(M542)</f>
        <v>10</v>
      </c>
      <c r="Q542" s="26" t="str">
        <f aca="false">TEXT(M542,"MMMM")</f>
        <v>octubre</v>
      </c>
    </row>
    <row r="543" customFormat="false" ht="14.25" hidden="false" customHeight="false" outlineLevel="0" collapsed="false">
      <c r="A543" s="1" t="n">
        <v>5</v>
      </c>
      <c r="B543" s="1" t="s">
        <v>927</v>
      </c>
      <c r="C543" s="1" t="s">
        <v>38</v>
      </c>
      <c r="D543" s="1" t="s">
        <v>928</v>
      </c>
      <c r="E543" s="2" t="n">
        <v>440729044</v>
      </c>
      <c r="H543" s="3" t="n">
        <v>6160</v>
      </c>
      <c r="I543" s="26" t="n">
        <v>5100</v>
      </c>
      <c r="J543" s="1" t="n">
        <v>60</v>
      </c>
      <c r="K543" s="1" t="n">
        <v>1000</v>
      </c>
      <c r="M543" s="5" t="s">
        <v>912</v>
      </c>
      <c r="N543" s="33" t="n">
        <f aca="false">DAY(M543)</f>
        <v>11</v>
      </c>
      <c r="O543" s="33" t="str">
        <f aca="false">TEXT(M543,"DDDD")</f>
        <v>sábado</v>
      </c>
      <c r="P543" s="6" t="n">
        <f aca="false">MONTH(M543)</f>
        <v>10</v>
      </c>
      <c r="Q543" s="26" t="str">
        <f aca="false">TEXT(M543,"MMMM")</f>
        <v>octubre</v>
      </c>
    </row>
    <row r="544" customFormat="false" ht="14.25" hidden="false" customHeight="false" outlineLevel="0" collapsed="false">
      <c r="A544" s="1" t="n">
        <v>4</v>
      </c>
      <c r="B544" s="1" t="s">
        <v>929</v>
      </c>
      <c r="C544" s="1" t="s">
        <v>38</v>
      </c>
      <c r="D544" s="1" t="s">
        <v>458</v>
      </c>
      <c r="E544" s="2" t="n">
        <v>440746623</v>
      </c>
      <c r="H544" s="3" t="n">
        <v>1960</v>
      </c>
      <c r="I544" s="26" t="n">
        <v>1900</v>
      </c>
      <c r="J544" s="1" t="n">
        <v>60</v>
      </c>
      <c r="M544" s="5" t="s">
        <v>912</v>
      </c>
      <c r="N544" s="33" t="n">
        <f aca="false">DAY(M544)</f>
        <v>11</v>
      </c>
      <c r="O544" s="33" t="str">
        <f aca="false">TEXT(M544,"DDDD")</f>
        <v>sábado</v>
      </c>
      <c r="P544" s="6" t="n">
        <f aca="false">MONTH(M544)</f>
        <v>10</v>
      </c>
      <c r="Q544" s="26" t="str">
        <f aca="false">TEXT(M544,"MMMM")</f>
        <v>octubre</v>
      </c>
    </row>
    <row r="545" customFormat="false" ht="14.25" hidden="false" customHeight="false" outlineLevel="0" collapsed="false">
      <c r="A545" s="1" t="n">
        <v>4</v>
      </c>
      <c r="B545" s="1" t="s">
        <v>930</v>
      </c>
      <c r="C545" s="1" t="s">
        <v>20</v>
      </c>
      <c r="D545" s="1" t="s">
        <v>464</v>
      </c>
      <c r="E545" s="2" t="n">
        <v>440746512</v>
      </c>
      <c r="H545" s="3" t="n">
        <v>2260</v>
      </c>
      <c r="I545" s="26" t="n">
        <v>2200</v>
      </c>
      <c r="J545" s="1" t="n">
        <v>60</v>
      </c>
      <c r="M545" s="5" t="s">
        <v>912</v>
      </c>
      <c r="N545" s="33" t="n">
        <f aca="false">DAY(M545)</f>
        <v>11</v>
      </c>
      <c r="O545" s="33" t="str">
        <f aca="false">TEXT(M545,"DDDD")</f>
        <v>sábado</v>
      </c>
      <c r="P545" s="6" t="n">
        <f aca="false">MONTH(M545)</f>
        <v>10</v>
      </c>
      <c r="Q545" s="26" t="str">
        <f aca="false">TEXT(M545,"MMMM")</f>
        <v>octubre</v>
      </c>
    </row>
    <row r="546" customFormat="false" ht="14.25" hidden="false" customHeight="false" outlineLevel="0" collapsed="false">
      <c r="A546" s="1" t="n">
        <v>3</v>
      </c>
      <c r="B546" s="1" t="s">
        <v>931</v>
      </c>
      <c r="C546" s="1" t="s">
        <v>20</v>
      </c>
      <c r="D546" s="1" t="s">
        <v>103</v>
      </c>
      <c r="E546" s="2" t="n">
        <v>440745792</v>
      </c>
      <c r="H546" s="3" t="n">
        <v>1560</v>
      </c>
      <c r="I546" s="26" t="n">
        <v>1200</v>
      </c>
      <c r="J546" s="1" t="n">
        <v>60</v>
      </c>
      <c r="K546" s="1" t="n">
        <v>300</v>
      </c>
      <c r="M546" s="5" t="s">
        <v>912</v>
      </c>
      <c r="N546" s="33" t="n">
        <f aca="false">DAY(M546)</f>
        <v>11</v>
      </c>
      <c r="O546" s="33" t="str">
        <f aca="false">TEXT(M546,"DDDD")</f>
        <v>sábado</v>
      </c>
      <c r="P546" s="6" t="n">
        <f aca="false">MONTH(M546)</f>
        <v>10</v>
      </c>
      <c r="Q546" s="26" t="str">
        <f aca="false">TEXT(M546,"MMMM")</f>
        <v>octubre</v>
      </c>
    </row>
    <row r="547" customFormat="false" ht="14.25" hidden="false" customHeight="false" outlineLevel="0" collapsed="false">
      <c r="A547" s="1" t="n">
        <v>3</v>
      </c>
      <c r="B547" s="1" t="s">
        <v>932</v>
      </c>
      <c r="C547" s="1" t="s">
        <v>20</v>
      </c>
      <c r="D547" s="1" t="s">
        <v>221</v>
      </c>
      <c r="E547" s="2" t="n">
        <v>440745691</v>
      </c>
      <c r="H547" s="3" t="n">
        <v>1310</v>
      </c>
      <c r="I547" s="26" t="n">
        <v>1250</v>
      </c>
      <c r="J547" s="1" t="n">
        <v>60</v>
      </c>
      <c r="M547" s="5" t="s">
        <v>912</v>
      </c>
      <c r="N547" s="33" t="n">
        <f aca="false">DAY(M547)</f>
        <v>11</v>
      </c>
      <c r="O547" s="33" t="str">
        <f aca="false">TEXT(M547,"DDDD")</f>
        <v>sábado</v>
      </c>
      <c r="P547" s="6" t="n">
        <f aca="false">MONTH(M547)</f>
        <v>10</v>
      </c>
      <c r="Q547" s="26" t="str">
        <f aca="false">TEXT(M547,"MMMM")</f>
        <v>octubre</v>
      </c>
    </row>
    <row r="548" customFormat="false" ht="14.25" hidden="false" customHeight="false" outlineLevel="0" collapsed="false">
      <c r="A548" s="1" t="n">
        <v>3</v>
      </c>
      <c r="B548" s="1" t="s">
        <v>933</v>
      </c>
      <c r="C548" s="1" t="s">
        <v>20</v>
      </c>
      <c r="D548" s="1" t="s">
        <v>103</v>
      </c>
      <c r="E548" s="2" t="n">
        <v>440745628</v>
      </c>
      <c r="H548" s="3" t="n">
        <v>2600</v>
      </c>
      <c r="I548" s="26" t="n">
        <v>1400</v>
      </c>
      <c r="J548" s="1" t="n">
        <v>60</v>
      </c>
      <c r="K548" s="1" t="n">
        <v>1140</v>
      </c>
      <c r="M548" s="5" t="s">
        <v>912</v>
      </c>
      <c r="N548" s="33" t="n">
        <f aca="false">DAY(M548)</f>
        <v>11</v>
      </c>
      <c r="O548" s="33" t="str">
        <f aca="false">TEXT(M548,"DDDD")</f>
        <v>sábado</v>
      </c>
      <c r="P548" s="6" t="n">
        <f aca="false">MONTH(M548)</f>
        <v>10</v>
      </c>
      <c r="Q548" s="26" t="str">
        <f aca="false">TEXT(M548,"MMMM")</f>
        <v>octubre</v>
      </c>
    </row>
    <row r="549" customFormat="false" ht="14.25" hidden="false" customHeight="false" outlineLevel="0" collapsed="false">
      <c r="A549" s="1" t="n">
        <v>3</v>
      </c>
      <c r="B549" s="1" t="s">
        <v>934</v>
      </c>
      <c r="C549" s="1" t="s">
        <v>38</v>
      </c>
      <c r="D549" s="1" t="s">
        <v>87</v>
      </c>
      <c r="E549" s="2" t="n">
        <v>440745279</v>
      </c>
      <c r="H549" s="3" t="n">
        <v>2660</v>
      </c>
      <c r="I549" s="26" t="n">
        <v>1900</v>
      </c>
      <c r="J549" s="1" t="n">
        <v>60</v>
      </c>
      <c r="K549" s="1" t="n">
        <v>700</v>
      </c>
      <c r="M549" s="5" t="s">
        <v>912</v>
      </c>
      <c r="N549" s="33" t="n">
        <f aca="false">DAY(M549)</f>
        <v>11</v>
      </c>
      <c r="O549" s="33" t="str">
        <f aca="false">TEXT(M549,"DDDD")</f>
        <v>sábado</v>
      </c>
      <c r="P549" s="6" t="n">
        <f aca="false">MONTH(M549)</f>
        <v>10</v>
      </c>
      <c r="Q549" s="26" t="str">
        <f aca="false">TEXT(M549,"MMMM")</f>
        <v>octubre</v>
      </c>
    </row>
    <row r="550" customFormat="false" ht="14.25" hidden="false" customHeight="false" outlineLevel="0" collapsed="false">
      <c r="A550" s="1" t="n">
        <v>2</v>
      </c>
      <c r="B550" s="1" t="s">
        <v>935</v>
      </c>
      <c r="C550" s="1" t="s">
        <v>20</v>
      </c>
      <c r="D550" s="1" t="s">
        <v>47</v>
      </c>
      <c r="E550" s="2" t="n">
        <v>440744967</v>
      </c>
      <c r="H550" s="3" t="n">
        <v>3210</v>
      </c>
      <c r="I550" s="26" t="n">
        <v>1200</v>
      </c>
      <c r="J550" s="1" t="n">
        <v>60</v>
      </c>
      <c r="K550" s="1" t="n">
        <v>1950</v>
      </c>
      <c r="M550" s="5" t="s">
        <v>912</v>
      </c>
      <c r="N550" s="33" t="n">
        <f aca="false">DAY(M550)</f>
        <v>11</v>
      </c>
      <c r="O550" s="33" t="str">
        <f aca="false">TEXT(M550,"DDDD")</f>
        <v>sábado</v>
      </c>
      <c r="P550" s="6" t="n">
        <f aca="false">MONTH(M550)</f>
        <v>10</v>
      </c>
      <c r="Q550" s="26" t="str">
        <f aca="false">TEXT(M550,"MMMM")</f>
        <v>octubre</v>
      </c>
    </row>
    <row r="551" customFormat="false" ht="14.25" hidden="false" customHeight="false" outlineLevel="0" collapsed="false">
      <c r="A551" s="1" t="n">
        <v>2</v>
      </c>
      <c r="B551" s="1" t="s">
        <v>936</v>
      </c>
      <c r="C551" s="1" t="s">
        <v>38</v>
      </c>
      <c r="D551" s="1" t="s">
        <v>937</v>
      </c>
      <c r="E551" s="2" t="n">
        <v>440744232</v>
      </c>
      <c r="F551" s="21" t="s">
        <v>937</v>
      </c>
      <c r="G551" s="1" t="n">
        <v>440744313</v>
      </c>
      <c r="H551" s="3" t="n">
        <v>2220</v>
      </c>
      <c r="I551" s="26" t="n">
        <v>2100</v>
      </c>
      <c r="J551" s="1" t="n">
        <v>120</v>
      </c>
      <c r="M551" s="5" t="s">
        <v>912</v>
      </c>
      <c r="N551" s="33" t="n">
        <f aca="false">DAY(M551)</f>
        <v>11</v>
      </c>
      <c r="O551" s="33" t="str">
        <f aca="false">TEXT(M551,"DDDD")</f>
        <v>sábado</v>
      </c>
      <c r="P551" s="6" t="n">
        <f aca="false">MONTH(M551)</f>
        <v>10</v>
      </c>
      <c r="Q551" s="26" t="str">
        <f aca="false">TEXT(M551,"MMMM")</f>
        <v>octubre</v>
      </c>
    </row>
    <row r="552" customFormat="false" ht="14.25" hidden="false" customHeight="false" outlineLevel="0" collapsed="false">
      <c r="A552" s="1" t="n">
        <v>2</v>
      </c>
      <c r="B552" s="1" t="s">
        <v>328</v>
      </c>
      <c r="C552" s="1" t="s">
        <v>20</v>
      </c>
      <c r="D552" s="1" t="s">
        <v>103</v>
      </c>
      <c r="E552" s="2" t="n">
        <v>440743893</v>
      </c>
      <c r="H552" s="3" t="n">
        <v>2400</v>
      </c>
      <c r="I552" s="26" t="n">
        <v>1200</v>
      </c>
      <c r="J552" s="1" t="n">
        <v>60</v>
      </c>
      <c r="K552" s="1" t="n">
        <v>1140</v>
      </c>
      <c r="M552" s="5" t="s">
        <v>912</v>
      </c>
      <c r="N552" s="33" t="n">
        <f aca="false">DAY(M552)</f>
        <v>11</v>
      </c>
      <c r="O552" s="33" t="str">
        <f aca="false">TEXT(M552,"DDDD")</f>
        <v>sábado</v>
      </c>
      <c r="P552" s="6" t="n">
        <f aca="false">MONTH(M552)</f>
        <v>10</v>
      </c>
      <c r="Q552" s="26" t="str">
        <f aca="false">TEXT(M552,"MMMM")</f>
        <v>octubre</v>
      </c>
    </row>
    <row r="553" customFormat="false" ht="14.25" hidden="false" customHeight="false" outlineLevel="0" collapsed="false">
      <c r="A553" s="1" t="n">
        <v>2</v>
      </c>
      <c r="B553" s="1" t="s">
        <v>938</v>
      </c>
      <c r="C553" s="1" t="s">
        <v>20</v>
      </c>
      <c r="D553" s="1" t="s">
        <v>939</v>
      </c>
      <c r="E553" s="2" t="n">
        <v>440742655</v>
      </c>
      <c r="F553" s="21" t="s">
        <v>939</v>
      </c>
      <c r="G553" s="1" t="n">
        <v>440743003</v>
      </c>
      <c r="H553" s="3" t="n">
        <v>2900</v>
      </c>
      <c r="I553" s="26" t="n">
        <v>2400</v>
      </c>
      <c r="J553" s="1" t="n">
        <v>120</v>
      </c>
      <c r="K553" s="1" t="n">
        <v>380</v>
      </c>
      <c r="M553" s="5" t="s">
        <v>912</v>
      </c>
      <c r="N553" s="33" t="n">
        <f aca="false">DAY(M553)</f>
        <v>11</v>
      </c>
      <c r="O553" s="33" t="str">
        <f aca="false">TEXT(M553,"DDDD")</f>
        <v>sábado</v>
      </c>
      <c r="P553" s="6" t="n">
        <f aca="false">MONTH(M553)</f>
        <v>10</v>
      </c>
      <c r="Q553" s="26" t="str">
        <f aca="false">TEXT(M553,"MMMM")</f>
        <v>octubre</v>
      </c>
    </row>
    <row r="554" customFormat="false" ht="14.25" hidden="false" customHeight="false" outlineLevel="0" collapsed="false">
      <c r="A554" s="1" t="n">
        <v>1</v>
      </c>
      <c r="B554" s="1" t="s">
        <v>307</v>
      </c>
      <c r="C554" s="1" t="s">
        <v>20</v>
      </c>
      <c r="D554" s="1" t="s">
        <v>47</v>
      </c>
      <c r="E554" s="2" t="n">
        <v>440741992</v>
      </c>
      <c r="F554" s="21" t="s">
        <v>47</v>
      </c>
      <c r="G554" s="1" t="n">
        <v>440741992</v>
      </c>
      <c r="H554" s="3" t="n">
        <v>2980</v>
      </c>
      <c r="I554" s="26" t="n">
        <v>1800</v>
      </c>
      <c r="J554" s="1" t="n">
        <v>120</v>
      </c>
      <c r="K554" s="1" t="n">
        <v>1060</v>
      </c>
      <c r="M554" s="5" t="s">
        <v>912</v>
      </c>
      <c r="N554" s="33" t="n">
        <f aca="false">DAY(M554)</f>
        <v>11</v>
      </c>
      <c r="O554" s="33" t="str">
        <f aca="false">TEXT(M554,"DDDD")</f>
        <v>sábado</v>
      </c>
      <c r="P554" s="6" t="n">
        <f aca="false">MONTH(M554)</f>
        <v>10</v>
      </c>
      <c r="Q554" s="26" t="str">
        <f aca="false">TEXT(M554,"MMMM")</f>
        <v>octubre</v>
      </c>
    </row>
    <row r="555" customFormat="false" ht="14.25" hidden="false" customHeight="false" outlineLevel="0" collapsed="false">
      <c r="A555" s="1" t="n">
        <v>1</v>
      </c>
      <c r="B555" s="1" t="s">
        <v>279</v>
      </c>
      <c r="C555" s="1" t="s">
        <v>20</v>
      </c>
      <c r="D555" s="1" t="s">
        <v>47</v>
      </c>
      <c r="E555" s="2" t="n">
        <v>440740943</v>
      </c>
      <c r="F555" s="21" t="s">
        <v>47</v>
      </c>
      <c r="G555" s="1" t="n">
        <v>440741149</v>
      </c>
      <c r="H555" s="3" t="n">
        <v>4700</v>
      </c>
      <c r="I555" s="26" t="n">
        <v>1800</v>
      </c>
      <c r="J555" s="1" t="n">
        <v>120</v>
      </c>
      <c r="K555" s="1" t="n">
        <v>2780</v>
      </c>
      <c r="M555" s="5" t="s">
        <v>912</v>
      </c>
      <c r="N555" s="33" t="n">
        <f aca="false">DAY(M555)</f>
        <v>11</v>
      </c>
      <c r="O555" s="33" t="str">
        <f aca="false">TEXT(M555,"DDDD")</f>
        <v>sábado</v>
      </c>
      <c r="P555" s="6" t="n">
        <f aca="false">MONTH(M555)</f>
        <v>10</v>
      </c>
      <c r="Q555" s="26" t="str">
        <f aca="false">TEXT(M555,"MMMM")</f>
        <v>octubre</v>
      </c>
    </row>
    <row r="556" customFormat="false" ht="14.25" hidden="false" customHeight="false" outlineLevel="0" collapsed="false">
      <c r="A556" s="1" t="n">
        <v>12</v>
      </c>
      <c r="B556" s="1" t="s">
        <v>940</v>
      </c>
      <c r="C556" s="1" t="s">
        <v>20</v>
      </c>
      <c r="D556" s="1" t="s">
        <v>941</v>
      </c>
      <c r="E556" s="2" t="n">
        <v>440988584</v>
      </c>
      <c r="F556" s="21" t="s">
        <v>942</v>
      </c>
      <c r="G556" s="1" t="n">
        <v>440989134</v>
      </c>
      <c r="H556" s="3" t="n">
        <v>5160</v>
      </c>
      <c r="I556" s="26" t="n">
        <v>2500</v>
      </c>
      <c r="J556" s="1" t="n">
        <v>120</v>
      </c>
      <c r="K556" s="1" t="n">
        <v>2540</v>
      </c>
      <c r="M556" s="5" t="s">
        <v>943</v>
      </c>
      <c r="N556" s="33" t="n">
        <f aca="false">DAY(M556)</f>
        <v>12</v>
      </c>
      <c r="O556" s="33" t="str">
        <f aca="false">TEXT(M556,"DDDD")</f>
        <v>domingo</v>
      </c>
      <c r="P556" s="6" t="n">
        <f aca="false">MONTH(M556)</f>
        <v>10</v>
      </c>
      <c r="Q556" s="26" t="str">
        <f aca="false">TEXT(M556,"MMMM")</f>
        <v>octubre</v>
      </c>
    </row>
    <row r="557" customFormat="false" ht="14.25" hidden="false" customHeight="false" outlineLevel="0" collapsed="false">
      <c r="A557" s="1" t="n">
        <v>12</v>
      </c>
      <c r="B557" s="1" t="s">
        <v>944</v>
      </c>
      <c r="C557" s="1" t="s">
        <v>20</v>
      </c>
      <c r="D557" s="1" t="s">
        <v>945</v>
      </c>
      <c r="E557" s="2" t="n">
        <v>440976536</v>
      </c>
      <c r="H557" s="3" t="n">
        <v>4390</v>
      </c>
      <c r="I557" s="26" t="n">
        <v>2950</v>
      </c>
      <c r="J557" s="1" t="n">
        <v>60</v>
      </c>
      <c r="K557" s="1" t="n">
        <v>1380</v>
      </c>
      <c r="M557" s="5" t="s">
        <v>943</v>
      </c>
      <c r="N557" s="33" t="n">
        <f aca="false">DAY(M557)</f>
        <v>12</v>
      </c>
      <c r="O557" s="33" t="str">
        <f aca="false">TEXT(M557,"DDDD")</f>
        <v>domingo</v>
      </c>
      <c r="P557" s="6" t="n">
        <f aca="false">MONTH(M557)</f>
        <v>10</v>
      </c>
      <c r="Q557" s="26" t="str">
        <f aca="false">TEXT(M557,"MMMM")</f>
        <v>octubre</v>
      </c>
    </row>
    <row r="558" customFormat="false" ht="14.25" hidden="false" customHeight="false" outlineLevel="0" collapsed="false">
      <c r="A558" s="1" t="n">
        <v>10</v>
      </c>
      <c r="B558" s="1" t="s">
        <v>946</v>
      </c>
      <c r="C558" s="1" t="s">
        <v>20</v>
      </c>
      <c r="D558" s="1" t="s">
        <v>947</v>
      </c>
      <c r="E558" s="2" t="n">
        <v>440959829</v>
      </c>
      <c r="H558" s="3" t="n">
        <v>3645</v>
      </c>
      <c r="I558" s="26" t="n">
        <v>2025</v>
      </c>
      <c r="J558" s="1" t="n">
        <v>60</v>
      </c>
      <c r="K558" s="1" t="n">
        <v>1560</v>
      </c>
      <c r="M558" s="5" t="s">
        <v>943</v>
      </c>
      <c r="N558" s="33" t="n">
        <f aca="false">DAY(M558)</f>
        <v>12</v>
      </c>
      <c r="O558" s="33" t="str">
        <f aca="false">TEXT(M558,"DDDD")</f>
        <v>domingo</v>
      </c>
      <c r="P558" s="6" t="n">
        <f aca="false">MONTH(M558)</f>
        <v>10</v>
      </c>
      <c r="Q558" s="26" t="str">
        <f aca="false">TEXT(M558,"MMMM")</f>
        <v>octubre</v>
      </c>
    </row>
    <row r="559" customFormat="false" ht="14.25" hidden="false" customHeight="false" outlineLevel="0" collapsed="false">
      <c r="A559" s="1" t="n">
        <v>10</v>
      </c>
      <c r="B559" s="1" t="s">
        <v>948</v>
      </c>
      <c r="C559" s="1" t="s">
        <v>20</v>
      </c>
      <c r="D559" s="1" t="s">
        <v>949</v>
      </c>
      <c r="E559" s="2" t="n">
        <v>440962972</v>
      </c>
      <c r="H559" s="3" t="n">
        <v>2760</v>
      </c>
      <c r="I559" s="26" t="n">
        <v>1700</v>
      </c>
      <c r="J559" s="1" t="n">
        <v>60</v>
      </c>
      <c r="K559" s="1" t="n">
        <v>1000</v>
      </c>
      <c r="M559" s="5" t="s">
        <v>943</v>
      </c>
      <c r="N559" s="33" t="n">
        <f aca="false">DAY(M559)</f>
        <v>12</v>
      </c>
      <c r="O559" s="33" t="str">
        <f aca="false">TEXT(M559,"DDDD")</f>
        <v>domingo</v>
      </c>
      <c r="P559" s="6" t="n">
        <f aca="false">MONTH(M559)</f>
        <v>10</v>
      </c>
      <c r="Q559" s="26" t="str">
        <f aca="false">TEXT(M559,"MMMM")</f>
        <v>octubre</v>
      </c>
    </row>
    <row r="560" customFormat="false" ht="14.25" hidden="false" customHeight="false" outlineLevel="0" collapsed="false">
      <c r="A560" s="1" t="n">
        <v>10</v>
      </c>
      <c r="B560" s="1" t="s">
        <v>950</v>
      </c>
      <c r="C560" s="1" t="s">
        <v>20</v>
      </c>
      <c r="D560" s="1" t="s">
        <v>76</v>
      </c>
      <c r="E560" s="2" t="n">
        <v>440958554</v>
      </c>
      <c r="F560" s="21" t="s">
        <v>613</v>
      </c>
      <c r="G560" s="1" t="n">
        <v>440957699</v>
      </c>
      <c r="H560" s="3" t="n">
        <v>5140</v>
      </c>
      <c r="I560" s="26" t="n">
        <v>2100</v>
      </c>
      <c r="J560" s="1" t="n">
        <v>120</v>
      </c>
      <c r="K560" s="1" t="n">
        <v>2920</v>
      </c>
      <c r="M560" s="5" t="s">
        <v>943</v>
      </c>
      <c r="N560" s="33" t="n">
        <f aca="false">DAY(M560)</f>
        <v>12</v>
      </c>
      <c r="O560" s="33" t="str">
        <f aca="false">TEXT(M560,"DDDD")</f>
        <v>domingo</v>
      </c>
      <c r="P560" s="6" t="n">
        <f aca="false">MONTH(M560)</f>
        <v>10</v>
      </c>
      <c r="Q560" s="26" t="str">
        <f aca="false">TEXT(M560,"MMMM")</f>
        <v>octubre</v>
      </c>
    </row>
    <row r="561" customFormat="false" ht="14.25" hidden="false" customHeight="false" outlineLevel="0" collapsed="false">
      <c r="A561" s="1" t="n">
        <v>10</v>
      </c>
      <c r="B561" s="1" t="s">
        <v>951</v>
      </c>
      <c r="C561" s="1" t="s">
        <v>20</v>
      </c>
      <c r="D561" s="1" t="s">
        <v>949</v>
      </c>
      <c r="E561" s="2" t="n">
        <v>440951499</v>
      </c>
      <c r="H561" s="3" t="n">
        <v>3985</v>
      </c>
      <c r="I561" s="26" t="n">
        <v>1925</v>
      </c>
      <c r="J561" s="1" t="n">
        <v>60</v>
      </c>
      <c r="K561" s="1" t="n">
        <v>2000</v>
      </c>
      <c r="M561" s="5" t="s">
        <v>943</v>
      </c>
      <c r="N561" s="33" t="n">
        <f aca="false">DAY(M561)</f>
        <v>12</v>
      </c>
      <c r="O561" s="33" t="str">
        <f aca="false">TEXT(M561,"DDDD")</f>
        <v>domingo</v>
      </c>
      <c r="P561" s="6" t="n">
        <f aca="false">MONTH(M561)</f>
        <v>10</v>
      </c>
      <c r="Q561" s="26" t="str">
        <f aca="false">TEXT(M561,"MMMM")</f>
        <v>octubre</v>
      </c>
    </row>
    <row r="562" customFormat="false" ht="14.25" hidden="false" customHeight="false" outlineLevel="0" collapsed="false">
      <c r="A562" s="1" t="n">
        <v>10</v>
      </c>
      <c r="B562" s="1" t="s">
        <v>952</v>
      </c>
      <c r="C562" s="1" t="s">
        <v>20</v>
      </c>
      <c r="D562" s="1" t="s">
        <v>261</v>
      </c>
      <c r="E562" s="2" t="n">
        <v>440945355</v>
      </c>
      <c r="F562" s="21" t="s">
        <v>953</v>
      </c>
      <c r="G562" s="1" t="n">
        <v>440945439</v>
      </c>
      <c r="H562" s="3" t="n">
        <v>5570</v>
      </c>
      <c r="I562" s="26" t="n">
        <v>3200</v>
      </c>
      <c r="J562" s="1" t="n">
        <v>120</v>
      </c>
      <c r="K562" s="1" t="n">
        <v>2250</v>
      </c>
      <c r="M562" s="5" t="s">
        <v>943</v>
      </c>
      <c r="N562" s="33" t="n">
        <f aca="false">DAY(M562)</f>
        <v>12</v>
      </c>
      <c r="O562" s="33" t="str">
        <f aca="false">TEXT(M562,"DDDD")</f>
        <v>domingo</v>
      </c>
      <c r="P562" s="6" t="n">
        <f aca="false">MONTH(M562)</f>
        <v>10</v>
      </c>
      <c r="Q562" s="26" t="str">
        <f aca="false">TEXT(M562,"MMMM")</f>
        <v>octubre</v>
      </c>
    </row>
    <row r="563" customFormat="false" ht="14.25" hidden="false" customHeight="false" outlineLevel="0" collapsed="false">
      <c r="A563" s="1" t="n">
        <v>9</v>
      </c>
      <c r="B563" s="1" t="s">
        <v>954</v>
      </c>
      <c r="C563" s="1" t="s">
        <v>20</v>
      </c>
      <c r="D563" s="1" t="s">
        <v>955</v>
      </c>
      <c r="E563" s="2" t="n">
        <v>440942064</v>
      </c>
      <c r="F563" s="21" t="s">
        <v>956</v>
      </c>
      <c r="G563" s="1" t="n">
        <v>440942068</v>
      </c>
      <c r="H563" s="3" t="n">
        <v>3690</v>
      </c>
      <c r="I563" s="26" t="n">
        <v>1950</v>
      </c>
      <c r="J563" s="1" t="n">
        <v>120</v>
      </c>
      <c r="K563" s="1" t="n">
        <v>1620</v>
      </c>
      <c r="M563" s="5" t="s">
        <v>943</v>
      </c>
      <c r="N563" s="33" t="n">
        <f aca="false">DAY(M563)</f>
        <v>12</v>
      </c>
      <c r="O563" s="33" t="str">
        <f aca="false">TEXT(M563,"DDDD")</f>
        <v>domingo</v>
      </c>
      <c r="P563" s="6" t="n">
        <f aca="false">MONTH(M563)</f>
        <v>10</v>
      </c>
      <c r="Q563" s="26" t="str">
        <f aca="false">TEXT(M563,"MMMM")</f>
        <v>octubre</v>
      </c>
    </row>
    <row r="564" customFormat="false" ht="14.25" hidden="false" customHeight="false" outlineLevel="0" collapsed="false">
      <c r="A564" s="1" t="n">
        <v>9</v>
      </c>
      <c r="B564" s="1" t="s">
        <v>957</v>
      </c>
      <c r="C564" s="1" t="s">
        <v>20</v>
      </c>
      <c r="D564" s="1" t="s">
        <v>958</v>
      </c>
      <c r="E564" s="2" t="n">
        <v>440939174</v>
      </c>
      <c r="H564" s="3" t="n">
        <v>1860</v>
      </c>
      <c r="I564" s="26" t="n">
        <v>1200</v>
      </c>
      <c r="J564" s="1" t="n">
        <v>60</v>
      </c>
      <c r="K564" s="1" t="n">
        <v>600</v>
      </c>
      <c r="M564" s="5" t="s">
        <v>943</v>
      </c>
      <c r="N564" s="33" t="n">
        <f aca="false">DAY(M564)</f>
        <v>12</v>
      </c>
      <c r="O564" s="33" t="str">
        <f aca="false">TEXT(M564,"DDDD")</f>
        <v>domingo</v>
      </c>
      <c r="P564" s="6" t="n">
        <f aca="false">MONTH(M564)</f>
        <v>10</v>
      </c>
      <c r="Q564" s="26" t="str">
        <f aca="false">TEXT(M564,"MMMM")</f>
        <v>octubre</v>
      </c>
    </row>
    <row r="565" customFormat="false" ht="14.25" hidden="false" customHeight="false" outlineLevel="0" collapsed="false">
      <c r="A565" s="1" t="n">
        <v>9</v>
      </c>
      <c r="B565" s="1" t="s">
        <v>959</v>
      </c>
      <c r="C565" s="1" t="s">
        <v>20</v>
      </c>
      <c r="D565" s="1" t="s">
        <v>213</v>
      </c>
      <c r="E565" s="2" t="n">
        <v>440937292</v>
      </c>
      <c r="H565" s="3" t="n">
        <v>1680</v>
      </c>
      <c r="I565" s="26" t="n">
        <v>1200</v>
      </c>
      <c r="J565" s="1" t="n">
        <v>60</v>
      </c>
      <c r="K565" s="1" t="n">
        <v>420</v>
      </c>
      <c r="M565" s="5" t="s">
        <v>943</v>
      </c>
      <c r="N565" s="33" t="n">
        <f aca="false">DAY(M565)</f>
        <v>12</v>
      </c>
      <c r="O565" s="33" t="str">
        <f aca="false">TEXT(M565,"DDDD")</f>
        <v>domingo</v>
      </c>
      <c r="P565" s="6" t="n">
        <f aca="false">MONTH(M565)</f>
        <v>10</v>
      </c>
      <c r="Q565" s="26" t="str">
        <f aca="false">TEXT(M565,"MMMM")</f>
        <v>octubre</v>
      </c>
    </row>
    <row r="566" customFormat="false" ht="14.25" hidden="false" customHeight="false" outlineLevel="0" collapsed="false">
      <c r="A566" s="1" t="n">
        <v>9</v>
      </c>
      <c r="B566" s="1" t="s">
        <v>960</v>
      </c>
      <c r="C566" s="1" t="s">
        <v>20</v>
      </c>
      <c r="D566" s="1" t="s">
        <v>961</v>
      </c>
      <c r="E566" s="2" t="n">
        <v>440930395</v>
      </c>
      <c r="H566" s="3" t="n">
        <v>3520</v>
      </c>
      <c r="I566" s="26" t="n">
        <v>2000</v>
      </c>
      <c r="J566" s="1" t="n">
        <v>60</v>
      </c>
      <c r="K566" s="1" t="n">
        <v>1460</v>
      </c>
      <c r="M566" s="5" t="s">
        <v>943</v>
      </c>
      <c r="N566" s="33" t="n">
        <f aca="false">DAY(M566)</f>
        <v>12</v>
      </c>
      <c r="O566" s="33" t="str">
        <f aca="false">TEXT(M566,"DDDD")</f>
        <v>domingo</v>
      </c>
      <c r="P566" s="6" t="n">
        <f aca="false">MONTH(M566)</f>
        <v>10</v>
      </c>
      <c r="Q566" s="26" t="str">
        <f aca="false">TEXT(M566,"MMMM")</f>
        <v>octubre</v>
      </c>
    </row>
    <row r="567" customFormat="false" ht="14.25" hidden="false" customHeight="false" outlineLevel="0" collapsed="false">
      <c r="A567" s="1" t="n">
        <v>8</v>
      </c>
      <c r="B567" s="1" t="s">
        <v>962</v>
      </c>
      <c r="C567" s="1" t="s">
        <v>38</v>
      </c>
      <c r="D567" s="1" t="s">
        <v>65</v>
      </c>
      <c r="E567" s="2" t="n">
        <v>440918779</v>
      </c>
      <c r="F567" s="21" t="s">
        <v>65</v>
      </c>
      <c r="G567" s="1" t="n">
        <v>440923980</v>
      </c>
      <c r="H567" s="3" t="n">
        <v>6790</v>
      </c>
      <c r="I567" s="26" t="n">
        <v>5950</v>
      </c>
      <c r="J567" s="1" t="n">
        <v>120</v>
      </c>
      <c r="K567" s="1" t="n">
        <v>720</v>
      </c>
      <c r="M567" s="5" t="s">
        <v>943</v>
      </c>
      <c r="N567" s="33" t="n">
        <f aca="false">DAY(M567)</f>
        <v>12</v>
      </c>
      <c r="O567" s="33" t="str">
        <f aca="false">TEXT(M567,"DDDD")</f>
        <v>domingo</v>
      </c>
      <c r="P567" s="6" t="n">
        <f aca="false">MONTH(M567)</f>
        <v>10</v>
      </c>
      <c r="Q567" s="26" t="str">
        <f aca="false">TEXT(M567,"MMMM")</f>
        <v>octubre</v>
      </c>
    </row>
    <row r="568" customFormat="false" ht="14.25" hidden="false" customHeight="false" outlineLevel="0" collapsed="false">
      <c r="A568" s="1" t="n">
        <v>7</v>
      </c>
      <c r="B568" s="1" t="s">
        <v>963</v>
      </c>
      <c r="C568" s="1" t="s">
        <v>20</v>
      </c>
      <c r="D568" s="1" t="s">
        <v>964</v>
      </c>
      <c r="E568" s="2" t="n">
        <v>440919456</v>
      </c>
      <c r="H568" s="3" t="n">
        <v>1260</v>
      </c>
      <c r="I568" s="26" t="n">
        <v>1200</v>
      </c>
      <c r="J568" s="1" t="n">
        <v>60</v>
      </c>
      <c r="K568" s="1" t="n">
        <v>0</v>
      </c>
      <c r="M568" s="5" t="s">
        <v>943</v>
      </c>
      <c r="N568" s="33" t="n">
        <f aca="false">DAY(M568)</f>
        <v>12</v>
      </c>
      <c r="O568" s="33" t="str">
        <f aca="false">TEXT(M568,"DDDD")</f>
        <v>domingo</v>
      </c>
      <c r="P568" s="6" t="n">
        <f aca="false">MONTH(M568)</f>
        <v>10</v>
      </c>
      <c r="Q568" s="26" t="str">
        <f aca="false">TEXT(M568,"MMMM")</f>
        <v>octubre</v>
      </c>
    </row>
    <row r="569" customFormat="false" ht="14.25" hidden="false" customHeight="false" outlineLevel="0" collapsed="false">
      <c r="A569" s="1" t="n">
        <v>7</v>
      </c>
      <c r="B569" s="1" t="s">
        <v>965</v>
      </c>
      <c r="C569" s="1" t="s">
        <v>20</v>
      </c>
      <c r="D569" s="1" t="s">
        <v>966</v>
      </c>
      <c r="E569" s="2" t="n">
        <v>440909888</v>
      </c>
      <c r="F569" s="21" t="s">
        <v>967</v>
      </c>
      <c r="G569" s="1" t="n">
        <v>440909755</v>
      </c>
      <c r="H569" s="3" t="n">
        <v>4760</v>
      </c>
      <c r="I569" s="26" t="n">
        <v>2100</v>
      </c>
      <c r="J569" s="1" t="n">
        <v>120</v>
      </c>
      <c r="K569" s="1" t="n">
        <v>2540</v>
      </c>
      <c r="M569" s="5" t="s">
        <v>943</v>
      </c>
      <c r="N569" s="33" t="n">
        <f aca="false">DAY(M569)</f>
        <v>12</v>
      </c>
      <c r="O569" s="33" t="str">
        <f aca="false">TEXT(M569,"DDDD")</f>
        <v>domingo</v>
      </c>
      <c r="P569" s="6" t="n">
        <f aca="false">MONTH(M569)</f>
        <v>10</v>
      </c>
      <c r="Q569" s="26" t="str">
        <f aca="false">TEXT(M569,"MMMM")</f>
        <v>octubre</v>
      </c>
      <c r="R569" s="21" t="s">
        <v>968</v>
      </c>
      <c r="S569" s="21" t="n">
        <f aca="false">68572+10449</f>
        <v>79021</v>
      </c>
    </row>
    <row r="570" customFormat="false" ht="14.25" hidden="false" customHeight="false" outlineLevel="0" collapsed="false">
      <c r="A570" s="1" t="n">
        <v>7</v>
      </c>
      <c r="B570" s="1" t="s">
        <v>969</v>
      </c>
      <c r="C570" s="1" t="s">
        <v>20</v>
      </c>
      <c r="D570" s="1" t="s">
        <v>970</v>
      </c>
      <c r="E570" s="2" t="n">
        <v>440908226</v>
      </c>
      <c r="H570" s="3" t="n">
        <v>2380</v>
      </c>
      <c r="I570" s="26" t="n">
        <v>1200</v>
      </c>
      <c r="J570" s="1" t="n">
        <v>60</v>
      </c>
      <c r="K570" s="1" t="n">
        <v>1120</v>
      </c>
      <c r="M570" s="5" t="s">
        <v>943</v>
      </c>
      <c r="N570" s="33" t="n">
        <f aca="false">DAY(M570)</f>
        <v>12</v>
      </c>
      <c r="O570" s="33" t="str">
        <f aca="false">TEXT(M570,"DDDD")</f>
        <v>domingo</v>
      </c>
      <c r="P570" s="6" t="n">
        <f aca="false">MONTH(M570)</f>
        <v>10</v>
      </c>
      <c r="Q570" s="26" t="str">
        <f aca="false">TEXT(M570,"MMMM")</f>
        <v>octubre</v>
      </c>
    </row>
    <row r="571" customFormat="false" ht="14.25" hidden="false" customHeight="false" outlineLevel="0" collapsed="false">
      <c r="A571" s="1" t="n">
        <v>7</v>
      </c>
      <c r="B571" s="1" t="s">
        <v>75</v>
      </c>
      <c r="C571" s="1" t="s">
        <v>140</v>
      </c>
      <c r="D571" s="1" t="s">
        <v>49</v>
      </c>
      <c r="E571" s="2" t="n">
        <v>440899765</v>
      </c>
      <c r="H571" s="3" t="n">
        <v>2160</v>
      </c>
      <c r="I571" s="26" t="n">
        <v>1750</v>
      </c>
      <c r="J571" s="1" t="n">
        <v>60</v>
      </c>
      <c r="K571" s="1" t="n">
        <v>350</v>
      </c>
      <c r="M571" s="5" t="s">
        <v>943</v>
      </c>
      <c r="N571" s="33" t="n">
        <f aca="false">DAY(M571)</f>
        <v>12</v>
      </c>
      <c r="O571" s="33" t="str">
        <f aca="false">TEXT(M571,"DDDD")</f>
        <v>domingo</v>
      </c>
      <c r="P571" s="6" t="n">
        <f aca="false">MONTH(M571)</f>
        <v>10</v>
      </c>
      <c r="Q571" s="26" t="str">
        <f aca="false">TEXT(M571,"MMMM")</f>
        <v>octubre</v>
      </c>
    </row>
    <row r="572" customFormat="false" ht="14.25" hidden="false" customHeight="false" outlineLevel="0" collapsed="false">
      <c r="A572" s="1" t="n">
        <v>7</v>
      </c>
      <c r="B572" s="1" t="s">
        <v>971</v>
      </c>
      <c r="C572" s="1" t="s">
        <v>38</v>
      </c>
      <c r="D572" s="1" t="s">
        <v>33</v>
      </c>
      <c r="E572" s="2" t="n">
        <v>440899292</v>
      </c>
      <c r="H572" s="3" t="n">
        <v>2920</v>
      </c>
      <c r="I572" s="26" t="n">
        <v>1800</v>
      </c>
      <c r="J572" s="1" t="n">
        <v>60</v>
      </c>
      <c r="K572" s="1" t="n">
        <v>1060</v>
      </c>
      <c r="M572" s="5" t="s">
        <v>943</v>
      </c>
      <c r="N572" s="33" t="n">
        <f aca="false">DAY(M572)</f>
        <v>12</v>
      </c>
      <c r="O572" s="33" t="str">
        <f aca="false">TEXT(M572,"DDDD")</f>
        <v>domingo</v>
      </c>
      <c r="P572" s="6" t="n">
        <f aca="false">MONTH(M572)</f>
        <v>10</v>
      </c>
      <c r="Q572" s="26" t="str">
        <f aca="false">TEXT(M572,"MMMM")</f>
        <v>octubre</v>
      </c>
    </row>
    <row r="573" customFormat="false" ht="14.25" hidden="false" customHeight="false" outlineLevel="0" collapsed="false">
      <c r="A573" s="1" t="n">
        <v>6</v>
      </c>
      <c r="B573" s="1" t="s">
        <v>972</v>
      </c>
      <c r="C573" s="1" t="s">
        <v>20</v>
      </c>
      <c r="D573" s="1" t="s">
        <v>693</v>
      </c>
      <c r="E573" s="2" t="n">
        <v>440894110</v>
      </c>
      <c r="H573" s="3" t="n">
        <v>2690</v>
      </c>
      <c r="I573" s="26" t="n">
        <v>1750</v>
      </c>
      <c r="J573" s="1" t="n">
        <v>60</v>
      </c>
      <c r="K573" s="1" t="n">
        <v>880</v>
      </c>
      <c r="M573" s="5" t="s">
        <v>943</v>
      </c>
      <c r="N573" s="33" t="n">
        <f aca="false">DAY(M573)</f>
        <v>12</v>
      </c>
      <c r="O573" s="33" t="str">
        <f aca="false">TEXT(M573,"DDDD")</f>
        <v>domingo</v>
      </c>
      <c r="P573" s="6" t="n">
        <f aca="false">MONTH(M573)</f>
        <v>10</v>
      </c>
      <c r="Q573" s="26" t="str">
        <f aca="false">TEXT(M573,"MMMM")</f>
        <v>octubre</v>
      </c>
    </row>
    <row r="574" customFormat="false" ht="14.25" hidden="false" customHeight="false" outlineLevel="0" collapsed="false">
      <c r="A574" s="1" t="n">
        <v>2</v>
      </c>
      <c r="B574" s="1" t="s">
        <v>973</v>
      </c>
      <c r="C574" s="1" t="s">
        <v>38</v>
      </c>
      <c r="D574" s="1" t="s">
        <v>894</v>
      </c>
      <c r="E574" s="2" t="n">
        <v>440872171</v>
      </c>
      <c r="H574" s="3" t="n">
        <v>3560</v>
      </c>
      <c r="I574" s="26" t="n">
        <v>2000</v>
      </c>
      <c r="J574" s="1" t="n">
        <v>60</v>
      </c>
      <c r="K574" s="1" t="n">
        <v>1500</v>
      </c>
      <c r="M574" s="5" t="s">
        <v>943</v>
      </c>
      <c r="N574" s="33" t="n">
        <f aca="false">DAY(M574)</f>
        <v>12</v>
      </c>
      <c r="O574" s="33" t="str">
        <f aca="false">TEXT(M574,"DDDD")</f>
        <v>domingo</v>
      </c>
      <c r="P574" s="6" t="n">
        <f aca="false">MONTH(M574)</f>
        <v>10</v>
      </c>
      <c r="Q574" s="26" t="str">
        <f aca="false">TEXT(M574,"MMMM")</f>
        <v>octubre</v>
      </c>
    </row>
    <row r="575" customFormat="false" ht="14.25" hidden="false" customHeight="false" outlineLevel="0" collapsed="false">
      <c r="A575" s="1" t="n">
        <v>1</v>
      </c>
      <c r="B575" s="1" t="s">
        <v>974</v>
      </c>
      <c r="C575" s="1" t="s">
        <v>20</v>
      </c>
      <c r="D575" s="1" t="s">
        <v>103</v>
      </c>
      <c r="E575" s="2" t="n">
        <v>440869054</v>
      </c>
      <c r="H575" s="3" t="n">
        <v>3160</v>
      </c>
      <c r="I575" s="26" t="n">
        <v>1200</v>
      </c>
      <c r="J575" s="1" t="n">
        <v>60</v>
      </c>
      <c r="K575" s="1" t="n">
        <v>1900</v>
      </c>
      <c r="M575" s="5" t="s">
        <v>943</v>
      </c>
      <c r="N575" s="33" t="n">
        <f aca="false">DAY(M575)</f>
        <v>12</v>
      </c>
      <c r="O575" s="33" t="str">
        <f aca="false">TEXT(M575,"DDDD")</f>
        <v>domingo</v>
      </c>
      <c r="P575" s="6" t="n">
        <f aca="false">MONTH(M575)</f>
        <v>10</v>
      </c>
      <c r="Q575" s="26" t="str">
        <f aca="false">TEXT(M575,"MMMM")</f>
        <v>octubre</v>
      </c>
    </row>
    <row r="576" customFormat="false" ht="14.25" hidden="false" customHeight="false" outlineLevel="0" collapsed="false">
      <c r="A576" s="1" t="n">
        <v>1</v>
      </c>
      <c r="B576" s="1" t="s">
        <v>975</v>
      </c>
      <c r="C576" s="1" t="s">
        <v>20</v>
      </c>
      <c r="D576" s="1" t="s">
        <v>976</v>
      </c>
      <c r="E576" s="2" t="n">
        <v>440867717</v>
      </c>
      <c r="H576" s="3" t="n">
        <v>1260</v>
      </c>
      <c r="I576" s="26" t="n">
        <v>1200</v>
      </c>
      <c r="J576" s="1" t="n">
        <v>60</v>
      </c>
      <c r="K576" s="1" t="n">
        <v>0</v>
      </c>
      <c r="M576" s="5" t="s">
        <v>943</v>
      </c>
      <c r="N576" s="33" t="n">
        <f aca="false">DAY(M576)</f>
        <v>12</v>
      </c>
      <c r="O576" s="33" t="str">
        <f aca="false">TEXT(M576,"DDDD")</f>
        <v>domingo</v>
      </c>
      <c r="P576" s="6" t="n">
        <f aca="false">MONTH(M576)</f>
        <v>10</v>
      </c>
      <c r="Q576" s="26" t="str">
        <f aca="false">TEXT(M576,"MMMM")</f>
        <v>octubre</v>
      </c>
    </row>
    <row r="577" customFormat="false" ht="14.25" hidden="false" customHeight="false" outlineLevel="0" collapsed="false">
      <c r="A577" s="1" t="n">
        <v>1</v>
      </c>
      <c r="B577" s="1" t="s">
        <v>24</v>
      </c>
      <c r="C577" s="1" t="s">
        <v>38</v>
      </c>
      <c r="D577" s="1" t="s">
        <v>977</v>
      </c>
      <c r="E577" s="2" t="n">
        <v>440871823</v>
      </c>
      <c r="H577" s="3" t="n">
        <v>1910</v>
      </c>
      <c r="I577" s="26" t="n">
        <v>1850</v>
      </c>
      <c r="J577" s="1" t="n">
        <v>60</v>
      </c>
      <c r="K577" s="1" t="n">
        <v>0</v>
      </c>
      <c r="M577" s="5" t="s">
        <v>943</v>
      </c>
      <c r="N577" s="33" t="n">
        <f aca="false">DAY(M577)</f>
        <v>12</v>
      </c>
      <c r="O577" s="33" t="str">
        <f aca="false">TEXT(M577,"DDDD")</f>
        <v>domingo</v>
      </c>
      <c r="P577" s="6" t="n">
        <f aca="false">MONTH(M577)</f>
        <v>10</v>
      </c>
      <c r="Q577" s="26" t="str">
        <f aca="false">TEXT(M577,"MMMM")</f>
        <v>octubre</v>
      </c>
    </row>
    <row r="578" customFormat="false" ht="14.25" hidden="false" customHeight="false" outlineLevel="0" collapsed="false">
      <c r="A578" s="1" t="n">
        <v>1</v>
      </c>
      <c r="B578" s="1" t="s">
        <v>978</v>
      </c>
      <c r="C578" s="1" t="s">
        <v>38</v>
      </c>
      <c r="D578" s="1" t="s">
        <v>977</v>
      </c>
      <c r="E578" s="2" t="n">
        <v>440871303</v>
      </c>
      <c r="H578" s="3" t="n">
        <v>1760</v>
      </c>
      <c r="I578" s="26" t="n">
        <v>1700</v>
      </c>
      <c r="J578" s="1" t="n">
        <v>60</v>
      </c>
      <c r="K578" s="1" t="n">
        <v>0</v>
      </c>
      <c r="M578" s="5" t="s">
        <v>943</v>
      </c>
      <c r="N578" s="33" t="n">
        <f aca="false">DAY(M578)</f>
        <v>12</v>
      </c>
      <c r="O578" s="33" t="str">
        <f aca="false">TEXT(M578,"DDDD")</f>
        <v>domingo</v>
      </c>
      <c r="P578" s="6" t="n">
        <f aca="false">MONTH(M578)</f>
        <v>10</v>
      </c>
      <c r="Q578" s="26" t="str">
        <f aca="false">TEXT(M578,"MMMM")</f>
        <v>octubre</v>
      </c>
    </row>
    <row r="579" customFormat="false" ht="14.25" hidden="false" customHeight="false" outlineLevel="0" collapsed="false">
      <c r="A579" s="1" t="n">
        <v>1</v>
      </c>
      <c r="B579" s="1" t="s">
        <v>979</v>
      </c>
      <c r="C579" s="1" t="s">
        <v>20</v>
      </c>
      <c r="D579" s="1" t="s">
        <v>613</v>
      </c>
      <c r="E579" s="2" t="n">
        <v>440870033</v>
      </c>
      <c r="F579" s="21" t="s">
        <v>980</v>
      </c>
      <c r="G579" s="1" t="n">
        <v>440870301</v>
      </c>
      <c r="H579" s="3" t="n">
        <v>4160</v>
      </c>
      <c r="I579" s="26" t="n">
        <v>2100</v>
      </c>
      <c r="J579" s="1" t="n">
        <v>120</v>
      </c>
      <c r="K579" s="1" t="n">
        <v>1940</v>
      </c>
      <c r="M579" s="5" t="s">
        <v>943</v>
      </c>
      <c r="N579" s="33" t="n">
        <f aca="false">DAY(M579)</f>
        <v>12</v>
      </c>
      <c r="O579" s="33" t="str">
        <f aca="false">TEXT(M579,"DDDD")</f>
        <v>domingo</v>
      </c>
      <c r="P579" s="6" t="n">
        <f aca="false">MONTH(M579)</f>
        <v>10</v>
      </c>
      <c r="Q579" s="26" t="str">
        <f aca="false">TEXT(M579,"MMMM")</f>
        <v>octubre</v>
      </c>
    </row>
    <row r="580" customFormat="false" ht="14.25" hidden="false" customHeight="false" outlineLevel="0" collapsed="false">
      <c r="A580" s="1" t="n">
        <v>12</v>
      </c>
      <c r="B580" s="1" t="s">
        <v>981</v>
      </c>
      <c r="C580" s="1" t="s">
        <v>20</v>
      </c>
      <c r="D580" s="1" t="s">
        <v>982</v>
      </c>
      <c r="E580" s="2" t="n">
        <v>442644309</v>
      </c>
      <c r="F580" s="21" t="s">
        <v>983</v>
      </c>
      <c r="G580" s="1" t="n">
        <v>442644540</v>
      </c>
      <c r="H580" s="3" t="n">
        <v>4160</v>
      </c>
      <c r="I580" s="26" t="n">
        <v>1800</v>
      </c>
      <c r="K580" s="1" t="n">
        <v>2360</v>
      </c>
      <c r="M580" s="5" t="s">
        <v>984</v>
      </c>
      <c r="N580" s="33" t="n">
        <f aca="false">DAY(M580)</f>
        <v>27</v>
      </c>
      <c r="O580" s="33" t="str">
        <f aca="false">TEXT(M580,"DDDD")</f>
        <v>lunes</v>
      </c>
      <c r="P580" s="6" t="n">
        <f aca="false">MONTH(M580)</f>
        <v>10</v>
      </c>
      <c r="Q580" s="26" t="str">
        <f aca="false">TEXT(M580,"MMMM")</f>
        <v>octubre</v>
      </c>
    </row>
    <row r="581" customFormat="false" ht="14.25" hidden="false" customHeight="false" outlineLevel="0" collapsed="false">
      <c r="A581" s="1" t="n">
        <v>11</v>
      </c>
      <c r="B581" s="1" t="s">
        <v>985</v>
      </c>
      <c r="C581" s="1" t="s">
        <v>20</v>
      </c>
      <c r="D581" s="1" t="s">
        <v>986</v>
      </c>
      <c r="E581" s="2" t="n">
        <v>442637112</v>
      </c>
      <c r="F581" s="21" t="s">
        <v>986</v>
      </c>
      <c r="G581" s="1" t="n">
        <v>442637088</v>
      </c>
      <c r="H581" s="3" t="n">
        <v>4840</v>
      </c>
      <c r="I581" s="26" t="n">
        <v>1800</v>
      </c>
      <c r="K581" s="1" t="n">
        <v>3040</v>
      </c>
      <c r="M581" s="5" t="s">
        <v>984</v>
      </c>
      <c r="N581" s="33" t="n">
        <f aca="false">DAY(M581)</f>
        <v>27</v>
      </c>
      <c r="O581" s="33" t="str">
        <f aca="false">TEXT(M581,"DDDD")</f>
        <v>lunes</v>
      </c>
      <c r="P581" s="6" t="n">
        <f aca="false">MONTH(M581)</f>
        <v>10</v>
      </c>
      <c r="Q581" s="26" t="str">
        <f aca="false">TEXT(M581,"MMMM")</f>
        <v>octubre</v>
      </c>
    </row>
    <row r="582" customFormat="false" ht="14.25" hidden="false" customHeight="false" outlineLevel="0" collapsed="false">
      <c r="A582" s="1" t="n">
        <v>10</v>
      </c>
      <c r="B582" s="1" t="s">
        <v>987</v>
      </c>
      <c r="C582" s="1" t="s">
        <v>38</v>
      </c>
      <c r="D582" s="1" t="s">
        <v>988</v>
      </c>
      <c r="E582" s="2" t="n">
        <v>442621404</v>
      </c>
      <c r="H582" s="3" t="n">
        <v>2300</v>
      </c>
      <c r="I582" s="26" t="n">
        <v>1200</v>
      </c>
      <c r="K582" s="1" t="n">
        <v>1100</v>
      </c>
      <c r="M582" s="5" t="s">
        <v>984</v>
      </c>
      <c r="N582" s="33" t="n">
        <f aca="false">DAY(M582)</f>
        <v>27</v>
      </c>
      <c r="O582" s="33" t="str">
        <f aca="false">TEXT(M582,"DDDD")</f>
        <v>lunes</v>
      </c>
      <c r="P582" s="6" t="n">
        <f aca="false">MONTH(M582)</f>
        <v>10</v>
      </c>
      <c r="Q582" s="26" t="str">
        <f aca="false">TEXT(M582,"MMMM")</f>
        <v>octubre</v>
      </c>
      <c r="R582" s="1" t="n">
        <v>442621404</v>
      </c>
      <c r="S582" s="1" t="n">
        <v>26121</v>
      </c>
    </row>
    <row r="583" customFormat="false" ht="14.25" hidden="false" customHeight="false" outlineLevel="0" collapsed="false">
      <c r="A583" s="1" t="n">
        <v>10</v>
      </c>
      <c r="B583" s="1" t="s">
        <v>989</v>
      </c>
      <c r="C583" s="1" t="s">
        <v>20</v>
      </c>
      <c r="D583" s="1" t="s">
        <v>990</v>
      </c>
      <c r="E583" s="2" t="n">
        <v>442620311</v>
      </c>
      <c r="F583" s="21" t="s">
        <v>990</v>
      </c>
      <c r="G583" s="1" t="n">
        <v>442620308</v>
      </c>
      <c r="H583" s="3" t="n">
        <v>2600</v>
      </c>
      <c r="I583" s="26" t="n">
        <v>1800</v>
      </c>
      <c r="K583" s="1" t="n">
        <v>800</v>
      </c>
      <c r="M583" s="5" t="s">
        <v>984</v>
      </c>
      <c r="N583" s="33" t="n">
        <f aca="false">DAY(M583)</f>
        <v>27</v>
      </c>
      <c r="O583" s="33" t="str">
        <f aca="false">TEXT(M583,"DDDD")</f>
        <v>lunes</v>
      </c>
      <c r="P583" s="6" t="n">
        <f aca="false">MONTH(M583)</f>
        <v>10</v>
      </c>
      <c r="Q583" s="26" t="str">
        <f aca="false">TEXT(M583,"MMMM")</f>
        <v>octubre</v>
      </c>
    </row>
    <row r="584" customFormat="false" ht="14.25" hidden="false" customHeight="false" outlineLevel="0" collapsed="false">
      <c r="A584" s="1" t="n">
        <v>10</v>
      </c>
      <c r="B584" s="1" t="s">
        <v>991</v>
      </c>
      <c r="C584" s="1" t="s">
        <v>20</v>
      </c>
      <c r="D584" s="1" t="s">
        <v>992</v>
      </c>
      <c r="E584" s="2" t="n">
        <v>442616067</v>
      </c>
      <c r="H584" s="3" t="n">
        <v>1900</v>
      </c>
      <c r="M584" s="5" t="s">
        <v>984</v>
      </c>
      <c r="N584" s="33" t="n">
        <f aca="false">DAY(M584)</f>
        <v>27</v>
      </c>
      <c r="O584" s="33" t="str">
        <f aca="false">TEXT(M584,"DDDD")</f>
        <v>lunes</v>
      </c>
      <c r="P584" s="6" t="n">
        <f aca="false">MONTH(M584)</f>
        <v>10</v>
      </c>
      <c r="Q584" s="26" t="str">
        <f aca="false">TEXT(M584,"MMMM")</f>
        <v>octubre</v>
      </c>
      <c r="R584" s="1" t="n">
        <v>442616067</v>
      </c>
      <c r="S584" s="1" t="n">
        <v>25280</v>
      </c>
    </row>
    <row r="585" customFormat="false" ht="14.25" hidden="false" customHeight="false" outlineLevel="0" collapsed="false">
      <c r="A585" s="1" t="n">
        <v>10</v>
      </c>
      <c r="B585" s="1" t="s">
        <v>993</v>
      </c>
      <c r="C585" s="1" t="s">
        <v>38</v>
      </c>
      <c r="D585" s="1" t="s">
        <v>994</v>
      </c>
      <c r="E585" s="2" t="n">
        <v>442614213</v>
      </c>
      <c r="F585" s="21" t="s">
        <v>994</v>
      </c>
      <c r="G585" s="1" t="n">
        <v>442614456</v>
      </c>
      <c r="H585" s="3" t="n">
        <v>4650</v>
      </c>
      <c r="I585" s="26" t="n">
        <v>2100</v>
      </c>
      <c r="K585" s="1" t="n">
        <v>2550</v>
      </c>
      <c r="M585" s="5" t="s">
        <v>984</v>
      </c>
      <c r="N585" s="33" t="n">
        <f aca="false">DAY(M585)</f>
        <v>27</v>
      </c>
      <c r="O585" s="33" t="str">
        <f aca="false">TEXT(M585,"DDDD")</f>
        <v>lunes</v>
      </c>
      <c r="P585" s="6" t="n">
        <f aca="false">MONTH(M585)</f>
        <v>10</v>
      </c>
      <c r="Q585" s="26" t="str">
        <f aca="false">TEXT(M585,"MMMM")</f>
        <v>octubre</v>
      </c>
    </row>
    <row r="586" customFormat="false" ht="14.25" hidden="false" customHeight="false" outlineLevel="0" collapsed="false">
      <c r="A586" s="1" t="n">
        <v>10</v>
      </c>
      <c r="B586" s="1" t="s">
        <v>995</v>
      </c>
      <c r="C586" s="1" t="s">
        <v>20</v>
      </c>
      <c r="D586" s="1" t="s">
        <v>996</v>
      </c>
      <c r="E586" s="2" t="n">
        <v>442612925</v>
      </c>
      <c r="H586" s="3" t="n">
        <v>1200</v>
      </c>
      <c r="I586" s="26" t="n">
        <v>1200</v>
      </c>
      <c r="M586" s="5" t="s">
        <v>984</v>
      </c>
      <c r="N586" s="33" t="n">
        <f aca="false">DAY(M586)</f>
        <v>27</v>
      </c>
      <c r="O586" s="33" t="str">
        <f aca="false">TEXT(M586,"DDDD")</f>
        <v>lunes</v>
      </c>
      <c r="P586" s="6" t="n">
        <f aca="false">MONTH(M586)</f>
        <v>10</v>
      </c>
      <c r="Q586" s="26" t="str">
        <f aca="false">TEXT(M586,"MMMM")</f>
        <v>octubre</v>
      </c>
    </row>
    <row r="587" customFormat="false" ht="14.25" hidden="false" customHeight="false" outlineLevel="0" collapsed="false">
      <c r="A587" s="1" t="n">
        <v>9</v>
      </c>
      <c r="B587" s="1" t="s">
        <v>997</v>
      </c>
      <c r="C587" s="1" t="s">
        <v>38</v>
      </c>
      <c r="D587" s="1" t="s">
        <v>928</v>
      </c>
      <c r="E587" s="2" t="n">
        <v>442606417</v>
      </c>
      <c r="F587" s="21" t="s">
        <v>998</v>
      </c>
      <c r="G587" s="1" t="n">
        <v>442607872</v>
      </c>
      <c r="H587" s="3" t="n">
        <v>5350</v>
      </c>
      <c r="I587" s="26" t="n">
        <v>5250</v>
      </c>
      <c r="K587" s="1" t="n">
        <v>100</v>
      </c>
      <c r="M587" s="5" t="s">
        <v>984</v>
      </c>
      <c r="N587" s="33" t="n">
        <f aca="false">DAY(M587)</f>
        <v>27</v>
      </c>
      <c r="O587" s="33" t="str">
        <f aca="false">TEXT(M587,"DDDD")</f>
        <v>lunes</v>
      </c>
      <c r="P587" s="6" t="n">
        <f aca="false">MONTH(M587)</f>
        <v>10</v>
      </c>
      <c r="Q587" s="26" t="str">
        <f aca="false">TEXT(M587,"MMMM")</f>
        <v>octubre</v>
      </c>
    </row>
    <row r="588" customFormat="false" ht="14.25" hidden="false" customHeight="false" outlineLevel="0" collapsed="false">
      <c r="A588" s="1" t="n">
        <v>9</v>
      </c>
      <c r="B588" s="1" t="s">
        <v>999</v>
      </c>
      <c r="C588" s="1" t="s">
        <v>38</v>
      </c>
      <c r="D588" s="1" t="s">
        <v>744</v>
      </c>
      <c r="E588" s="2" t="n">
        <v>442604620</v>
      </c>
      <c r="H588" s="3" t="n">
        <v>2200</v>
      </c>
      <c r="I588" s="26" t="n">
        <v>1200</v>
      </c>
      <c r="K588" s="1" t="n">
        <v>1000</v>
      </c>
      <c r="M588" s="5" t="s">
        <v>984</v>
      </c>
      <c r="N588" s="33" t="n">
        <f aca="false">DAY(M588)</f>
        <v>27</v>
      </c>
      <c r="O588" s="33" t="str">
        <f aca="false">TEXT(M588,"DDDD")</f>
        <v>lunes</v>
      </c>
      <c r="P588" s="6" t="n">
        <f aca="false">MONTH(M588)</f>
        <v>10</v>
      </c>
      <c r="Q588" s="26" t="str">
        <f aca="false">TEXT(M588,"MMMM")</f>
        <v>octubre</v>
      </c>
    </row>
    <row r="589" customFormat="false" ht="14.25" hidden="false" customHeight="false" outlineLevel="0" collapsed="false">
      <c r="A589" s="1" t="n">
        <v>11</v>
      </c>
      <c r="B589" s="1" t="s">
        <v>846</v>
      </c>
      <c r="C589" s="1" t="s">
        <v>38</v>
      </c>
      <c r="D589" s="1" t="s">
        <v>1000</v>
      </c>
      <c r="E589" s="2" t="n">
        <v>442727873</v>
      </c>
      <c r="H589" s="3" t="n">
        <v>1201</v>
      </c>
      <c r="I589" s="26" t="n">
        <v>1200</v>
      </c>
      <c r="K589" s="1" t="n">
        <v>1</v>
      </c>
      <c r="M589" s="5" t="s">
        <v>1001</v>
      </c>
      <c r="N589" s="33" t="n">
        <f aca="false">DAY(M589)</f>
        <v>28</v>
      </c>
      <c r="O589" s="33" t="str">
        <f aca="false">TEXT(M589,"DDDD")</f>
        <v>martes</v>
      </c>
      <c r="P589" s="6" t="n">
        <f aca="false">MONTH(M589)</f>
        <v>10</v>
      </c>
      <c r="Q589" s="26" t="str">
        <f aca="false">TEXT(M589,"MMMM")</f>
        <v>octubre</v>
      </c>
    </row>
    <row r="590" customFormat="false" ht="14.25" hidden="false" customHeight="false" outlineLevel="0" collapsed="false">
      <c r="A590" s="1" t="n">
        <v>11</v>
      </c>
      <c r="B590" s="1" t="s">
        <v>871</v>
      </c>
      <c r="C590" s="1" t="s">
        <v>20</v>
      </c>
      <c r="D590" s="1" t="s">
        <v>947</v>
      </c>
      <c r="E590" s="2" t="n">
        <v>442722370</v>
      </c>
      <c r="H590" s="3" t="n">
        <v>2960</v>
      </c>
      <c r="I590" s="26" t="n">
        <v>1200</v>
      </c>
      <c r="K590" s="1" t="n">
        <v>1760</v>
      </c>
      <c r="M590" s="5" t="s">
        <v>1001</v>
      </c>
      <c r="N590" s="33" t="n">
        <f aca="false">DAY(M590)</f>
        <v>28</v>
      </c>
      <c r="O590" s="33" t="str">
        <f aca="false">TEXT(M590,"DDDD")</f>
        <v>martes</v>
      </c>
      <c r="P590" s="6" t="n">
        <f aca="false">MONTH(M590)</f>
        <v>10</v>
      </c>
      <c r="Q590" s="26" t="str">
        <f aca="false">TEXT(M590,"MMMM")</f>
        <v>octubre</v>
      </c>
    </row>
    <row r="591" customFormat="false" ht="14.25" hidden="false" customHeight="false" outlineLevel="0" collapsed="false">
      <c r="A591" s="1" t="n">
        <v>11</v>
      </c>
      <c r="B591" s="1" t="s">
        <v>244</v>
      </c>
      <c r="C591" s="1" t="s">
        <v>38</v>
      </c>
      <c r="D591" s="1" t="s">
        <v>1002</v>
      </c>
      <c r="E591" s="2" t="n">
        <v>442717083</v>
      </c>
      <c r="H591" s="3" t="n">
        <v>1201</v>
      </c>
      <c r="I591" s="26" t="n">
        <v>1200</v>
      </c>
      <c r="K591" s="1" t="n">
        <v>1</v>
      </c>
      <c r="M591" s="5" t="s">
        <v>1001</v>
      </c>
      <c r="N591" s="33" t="n">
        <f aca="false">DAY(M591)</f>
        <v>28</v>
      </c>
      <c r="O591" s="33" t="str">
        <f aca="false">TEXT(M591,"DDDD")</f>
        <v>martes</v>
      </c>
      <c r="P591" s="6" t="n">
        <f aca="false">MONTH(M591)</f>
        <v>10</v>
      </c>
      <c r="Q591" s="26" t="str">
        <f aca="false">TEXT(M591,"MMMM")</f>
        <v>octubre</v>
      </c>
    </row>
    <row r="592" customFormat="false" ht="14.25" hidden="false" customHeight="false" outlineLevel="0" collapsed="false">
      <c r="A592" s="1" t="n">
        <v>11</v>
      </c>
      <c r="B592" s="1" t="s">
        <v>321</v>
      </c>
      <c r="C592" s="1" t="s">
        <v>20</v>
      </c>
      <c r="D592" s="1" t="s">
        <v>76</v>
      </c>
      <c r="E592" s="2" t="n">
        <v>442715463</v>
      </c>
      <c r="H592" s="3" t="n">
        <v>2000</v>
      </c>
      <c r="I592" s="26" t="n">
        <v>1200</v>
      </c>
      <c r="K592" s="1" t="n">
        <v>800</v>
      </c>
      <c r="M592" s="5" t="s">
        <v>1001</v>
      </c>
      <c r="N592" s="33" t="n">
        <f aca="false">DAY(M592)</f>
        <v>28</v>
      </c>
      <c r="O592" s="33" t="str">
        <f aca="false">TEXT(M592,"DDDD")</f>
        <v>martes</v>
      </c>
      <c r="P592" s="6" t="n">
        <f aca="false">MONTH(M592)</f>
        <v>10</v>
      </c>
      <c r="Q592" s="26" t="str">
        <f aca="false">TEXT(M592,"MMMM")</f>
        <v>octubre</v>
      </c>
    </row>
    <row r="593" customFormat="false" ht="14.25" hidden="false" customHeight="false" outlineLevel="0" collapsed="false">
      <c r="A593" s="1" t="n">
        <v>11</v>
      </c>
      <c r="B593" s="1" t="s">
        <v>469</v>
      </c>
      <c r="C593" s="1" t="s">
        <v>38</v>
      </c>
      <c r="D593" s="1" t="s">
        <v>1002</v>
      </c>
      <c r="E593" s="2" t="n">
        <v>442714101</v>
      </c>
      <c r="H593" s="3" t="n">
        <v>2201</v>
      </c>
      <c r="I593" s="26" t="n">
        <v>1201</v>
      </c>
      <c r="K593" s="1" t="n">
        <v>1000</v>
      </c>
      <c r="M593" s="5" t="s">
        <v>1001</v>
      </c>
      <c r="N593" s="33" t="n">
        <f aca="false">DAY(M593)</f>
        <v>28</v>
      </c>
      <c r="O593" s="33" t="str">
        <f aca="false">TEXT(M593,"DDDD")</f>
        <v>martes</v>
      </c>
      <c r="P593" s="6" t="n">
        <f aca="false">MONTH(M593)</f>
        <v>10</v>
      </c>
      <c r="Q593" s="26" t="str">
        <f aca="false">TEXT(M593,"MMMM")</f>
        <v>octubre</v>
      </c>
    </row>
    <row r="594" customFormat="false" ht="14.25" hidden="false" customHeight="false" outlineLevel="0" collapsed="false">
      <c r="A594" s="1" t="n">
        <v>10</v>
      </c>
      <c r="B594" s="1" t="s">
        <v>1003</v>
      </c>
      <c r="C594" s="1" t="s">
        <v>20</v>
      </c>
      <c r="D594" s="1" t="s">
        <v>1004</v>
      </c>
      <c r="E594" s="2" t="n">
        <v>442707332</v>
      </c>
      <c r="F594" s="21" t="s">
        <v>1005</v>
      </c>
      <c r="G594" s="1" t="n">
        <v>442707185</v>
      </c>
      <c r="H594" s="3" t="n">
        <v>4000</v>
      </c>
      <c r="I594" s="26" t="n">
        <v>2100</v>
      </c>
      <c r="K594" s="1" t="n">
        <v>1900</v>
      </c>
      <c r="M594" s="5" t="s">
        <v>1001</v>
      </c>
      <c r="N594" s="33" t="n">
        <f aca="false">DAY(M594)</f>
        <v>28</v>
      </c>
      <c r="O594" s="33" t="str">
        <f aca="false">TEXT(M594,"DDDD")</f>
        <v>martes</v>
      </c>
      <c r="P594" s="6" t="n">
        <f aca="false">MONTH(M594)</f>
        <v>10</v>
      </c>
      <c r="Q594" s="26" t="str">
        <f aca="false">TEXT(M594,"MMMM")</f>
        <v>octubre</v>
      </c>
    </row>
    <row r="595" customFormat="false" ht="14.25" hidden="false" customHeight="false" outlineLevel="0" collapsed="false">
      <c r="A595" s="1" t="n">
        <v>10</v>
      </c>
      <c r="B595" s="1" t="s">
        <v>1006</v>
      </c>
      <c r="C595" s="1" t="s">
        <v>140</v>
      </c>
      <c r="D595" s="1" t="s">
        <v>55</v>
      </c>
      <c r="E595" s="2" t="n">
        <v>442705338</v>
      </c>
      <c r="H595" s="3" t="n">
        <v>1550</v>
      </c>
      <c r="I595" s="26" t="n">
        <v>1200</v>
      </c>
      <c r="K595" s="1" t="n">
        <v>350</v>
      </c>
      <c r="M595" s="5" t="s">
        <v>1001</v>
      </c>
      <c r="N595" s="33" t="n">
        <f aca="false">DAY(M595)</f>
        <v>28</v>
      </c>
      <c r="O595" s="33" t="str">
        <f aca="false">TEXT(M595,"DDDD")</f>
        <v>martes</v>
      </c>
      <c r="P595" s="6" t="n">
        <f aca="false">MONTH(M595)</f>
        <v>10</v>
      </c>
      <c r="Q595" s="26" t="str">
        <f aca="false">TEXT(M595,"MMMM")</f>
        <v>octubre</v>
      </c>
    </row>
    <row r="596" customFormat="false" ht="14.25" hidden="false" customHeight="false" outlineLevel="0" collapsed="false">
      <c r="A596" s="1" t="n">
        <v>10</v>
      </c>
      <c r="B596" s="1" t="s">
        <v>385</v>
      </c>
      <c r="C596" s="1" t="s">
        <v>140</v>
      </c>
      <c r="D596" s="1" t="s">
        <v>49</v>
      </c>
      <c r="E596" s="2" t="n">
        <v>442703135</v>
      </c>
      <c r="H596" s="3" t="n">
        <v>1700</v>
      </c>
      <c r="I596" s="26" t="n">
        <v>1200</v>
      </c>
      <c r="K596" s="1" t="n">
        <v>500</v>
      </c>
      <c r="M596" s="5" t="s">
        <v>1001</v>
      </c>
      <c r="N596" s="33" t="n">
        <f aca="false">DAY(M596)</f>
        <v>28</v>
      </c>
      <c r="O596" s="33" t="str">
        <f aca="false">TEXT(M596,"DDDD")</f>
        <v>martes</v>
      </c>
      <c r="P596" s="6" t="n">
        <f aca="false">MONTH(M596)</f>
        <v>10</v>
      </c>
      <c r="Q596" s="26" t="str">
        <f aca="false">TEXT(M596,"MMMM")</f>
        <v>octubre</v>
      </c>
    </row>
    <row r="597" customFormat="false" ht="14.25" hidden="false" customHeight="false" outlineLevel="0" collapsed="false">
      <c r="A597" s="1" t="n">
        <v>9</v>
      </c>
      <c r="B597" s="1" t="s">
        <v>1007</v>
      </c>
      <c r="C597" s="1" t="s">
        <v>20</v>
      </c>
      <c r="D597" s="1" t="s">
        <v>1008</v>
      </c>
      <c r="E597" s="2" t="n">
        <v>442701084</v>
      </c>
      <c r="F597" s="21" t="s">
        <v>1009</v>
      </c>
      <c r="G597" s="1" t="n">
        <v>442701617</v>
      </c>
      <c r="H597" s="3" t="n">
        <v>4260</v>
      </c>
      <c r="I597" s="26" t="n">
        <v>2100</v>
      </c>
      <c r="K597" s="1" t="n">
        <v>2160</v>
      </c>
      <c r="M597" s="5" t="s">
        <v>1001</v>
      </c>
      <c r="N597" s="33" t="n">
        <f aca="false">DAY(M597)</f>
        <v>28</v>
      </c>
      <c r="O597" s="33" t="str">
        <f aca="false">TEXT(M597,"DDDD")</f>
        <v>martes</v>
      </c>
      <c r="P597" s="6" t="n">
        <f aca="false">MONTH(M597)</f>
        <v>10</v>
      </c>
      <c r="Q597" s="26" t="str">
        <f aca="false">TEXT(M597,"MMMM")</f>
        <v>octubre</v>
      </c>
    </row>
    <row r="598" customFormat="false" ht="14.25" hidden="false" customHeight="false" outlineLevel="0" collapsed="false">
      <c r="A598" s="1" t="n">
        <v>9</v>
      </c>
      <c r="B598" s="1" t="s">
        <v>1010</v>
      </c>
      <c r="C598" s="1" t="s">
        <v>38</v>
      </c>
      <c r="D598" s="1" t="s">
        <v>1011</v>
      </c>
      <c r="E598" s="2" t="n">
        <v>442699896</v>
      </c>
      <c r="H598" s="3" t="n">
        <v>2700</v>
      </c>
      <c r="I598" s="26" t="n">
        <v>1200</v>
      </c>
      <c r="K598" s="1" t="n">
        <v>1500</v>
      </c>
      <c r="M598" s="5" t="s">
        <v>1001</v>
      </c>
      <c r="N598" s="33" t="n">
        <f aca="false">DAY(M598)</f>
        <v>28</v>
      </c>
      <c r="O598" s="33" t="str">
        <f aca="false">TEXT(M598,"DDDD")</f>
        <v>martes</v>
      </c>
      <c r="P598" s="6" t="n">
        <f aca="false">MONTH(M598)</f>
        <v>10</v>
      </c>
      <c r="Q598" s="26" t="str">
        <f aca="false">TEXT(M598,"MMMM")</f>
        <v>octubre</v>
      </c>
    </row>
    <row r="599" customFormat="false" ht="14.25" hidden="false" customHeight="false" outlineLevel="0" collapsed="false">
      <c r="A599" s="1" t="n">
        <v>9</v>
      </c>
      <c r="B599" s="1" t="s">
        <v>1012</v>
      </c>
      <c r="C599" s="1" t="s">
        <v>20</v>
      </c>
      <c r="D599" s="1" t="s">
        <v>1013</v>
      </c>
      <c r="E599" s="2" t="n">
        <v>442698852</v>
      </c>
      <c r="H599" s="3" t="n">
        <v>2620</v>
      </c>
      <c r="I599" s="26" t="n">
        <v>1200</v>
      </c>
      <c r="K599" s="1" t="n">
        <v>1420</v>
      </c>
      <c r="M599" s="5" t="s">
        <v>1001</v>
      </c>
      <c r="N599" s="33" t="n">
        <f aca="false">DAY(M599)</f>
        <v>28</v>
      </c>
      <c r="O599" s="33" t="str">
        <f aca="false">TEXT(M599,"DDDD")</f>
        <v>martes</v>
      </c>
      <c r="P599" s="6" t="n">
        <f aca="false">MONTH(M599)</f>
        <v>10</v>
      </c>
      <c r="Q599" s="26" t="str">
        <f aca="false">TEXT(M599,"MMMM")</f>
        <v>octubre</v>
      </c>
    </row>
    <row r="600" customFormat="false" ht="14.25" hidden="false" customHeight="false" outlineLevel="0" collapsed="false">
      <c r="A600" s="1" t="n">
        <v>9</v>
      </c>
      <c r="B600" s="1" t="s">
        <v>1014</v>
      </c>
      <c r="C600" s="1" t="s">
        <v>38</v>
      </c>
      <c r="D600" s="1" t="s">
        <v>928</v>
      </c>
      <c r="E600" s="2" t="n">
        <v>442695508</v>
      </c>
      <c r="F600" s="21" t="s">
        <v>928</v>
      </c>
      <c r="G600" s="1" t="n">
        <v>442695851</v>
      </c>
      <c r="H600" s="3" t="n">
        <v>4850</v>
      </c>
      <c r="I600" s="26" t="n">
        <v>3250</v>
      </c>
      <c r="K600" s="1" t="n">
        <v>1600</v>
      </c>
      <c r="M600" s="5" t="s">
        <v>1001</v>
      </c>
      <c r="N600" s="33" t="n">
        <f aca="false">DAY(M600)</f>
        <v>28</v>
      </c>
      <c r="O600" s="33" t="str">
        <f aca="false">TEXT(M600,"DDDD")</f>
        <v>martes</v>
      </c>
      <c r="P600" s="6" t="n">
        <f aca="false">MONTH(M600)</f>
        <v>10</v>
      </c>
      <c r="Q600" s="26" t="str">
        <f aca="false">TEXT(M600,"MMMM")</f>
        <v>octubre</v>
      </c>
    </row>
    <row r="601" customFormat="false" ht="14.25" hidden="false" customHeight="false" outlineLevel="0" collapsed="false">
      <c r="A601" s="1" t="n">
        <v>12</v>
      </c>
      <c r="B601" s="1" t="s">
        <v>284</v>
      </c>
      <c r="C601" s="1" t="s">
        <v>38</v>
      </c>
      <c r="D601" s="1" t="s">
        <v>1015</v>
      </c>
      <c r="E601" s="2" t="n">
        <v>442843398</v>
      </c>
      <c r="H601" s="3" t="n">
        <v>1850</v>
      </c>
      <c r="I601" s="26" t="n">
        <v>1450</v>
      </c>
      <c r="K601" s="1" t="n">
        <v>400</v>
      </c>
      <c r="M601" s="5" t="s">
        <v>1016</v>
      </c>
      <c r="N601" s="33" t="n">
        <f aca="false">DAY(M601)</f>
        <v>29</v>
      </c>
      <c r="O601" s="33" t="str">
        <f aca="false">TEXT(M601,"DDDD")</f>
        <v>miércoles</v>
      </c>
      <c r="P601" s="6" t="n">
        <f aca="false">MONTH(M601)</f>
        <v>10</v>
      </c>
      <c r="Q601" s="26" t="str">
        <f aca="false">TEXT(M601,"MMMM")</f>
        <v>octubre</v>
      </c>
    </row>
    <row r="602" customFormat="false" ht="14.25" hidden="false" customHeight="false" outlineLevel="0" collapsed="false">
      <c r="A602" s="1" t="n">
        <v>12</v>
      </c>
      <c r="B602" s="1" t="s">
        <v>1017</v>
      </c>
      <c r="C602" s="1" t="s">
        <v>20</v>
      </c>
      <c r="D602" s="1" t="s">
        <v>1018</v>
      </c>
      <c r="E602" s="2" t="n">
        <v>442843732</v>
      </c>
      <c r="F602" s="21" t="s">
        <v>1019</v>
      </c>
      <c r="G602" s="1" t="n">
        <v>442844392</v>
      </c>
      <c r="H602" s="3" t="n">
        <v>2840</v>
      </c>
      <c r="I602" s="26" t="n">
        <v>2100</v>
      </c>
      <c r="K602" s="1" t="n">
        <v>740</v>
      </c>
      <c r="M602" s="5" t="s">
        <v>1016</v>
      </c>
      <c r="N602" s="33" t="n">
        <f aca="false">DAY(M602)</f>
        <v>29</v>
      </c>
      <c r="O602" s="33" t="str">
        <f aca="false">TEXT(M602,"DDDD")</f>
        <v>miércoles</v>
      </c>
      <c r="P602" s="6" t="n">
        <f aca="false">MONTH(M602)</f>
        <v>10</v>
      </c>
      <c r="Q602" s="26" t="str">
        <f aca="false">TEXT(M602,"MMMM")</f>
        <v>octubre</v>
      </c>
      <c r="R602" s="1" t="n">
        <v>442844392</v>
      </c>
      <c r="S602" s="1" t="n">
        <v>34652</v>
      </c>
    </row>
    <row r="603" customFormat="false" ht="14.25" hidden="false" customHeight="false" outlineLevel="0" collapsed="false">
      <c r="A603" s="1" t="n">
        <v>12</v>
      </c>
      <c r="B603" s="1" t="s">
        <v>465</v>
      </c>
      <c r="C603" s="1" t="s">
        <v>20</v>
      </c>
      <c r="D603" s="1" t="s">
        <v>1020</v>
      </c>
      <c r="E603" s="2" t="n">
        <v>442849140</v>
      </c>
      <c r="H603" s="3" t="n">
        <v>1880</v>
      </c>
      <c r="I603" s="26" t="n">
        <v>1200</v>
      </c>
      <c r="K603" s="1" t="n">
        <v>680</v>
      </c>
      <c r="M603" s="5" t="s">
        <v>1016</v>
      </c>
      <c r="N603" s="33" t="n">
        <f aca="false">DAY(M603)</f>
        <v>29</v>
      </c>
      <c r="O603" s="33" t="str">
        <f aca="false">TEXT(M603,"DDDD")</f>
        <v>miércoles</v>
      </c>
      <c r="P603" s="6" t="n">
        <f aca="false">MONTH(M603)</f>
        <v>10</v>
      </c>
      <c r="Q603" s="26" t="str">
        <f aca="false">TEXT(M603,"MMMM")</f>
        <v>octubre</v>
      </c>
    </row>
    <row r="604" customFormat="false" ht="14.25" hidden="false" customHeight="false" outlineLevel="0" collapsed="false">
      <c r="A604" s="1" t="n">
        <v>11</v>
      </c>
      <c r="B604" s="1" t="s">
        <v>1021</v>
      </c>
      <c r="C604" s="1" t="s">
        <v>38</v>
      </c>
      <c r="D604" s="1" t="s">
        <v>1022</v>
      </c>
      <c r="E604" s="2" t="n">
        <v>442807176</v>
      </c>
      <c r="H604" s="3" t="n">
        <v>1640</v>
      </c>
      <c r="I604" s="26" t="n">
        <v>1200</v>
      </c>
      <c r="K604" s="1" t="n">
        <v>440</v>
      </c>
      <c r="M604" s="5" t="s">
        <v>1016</v>
      </c>
      <c r="N604" s="33" t="n">
        <f aca="false">DAY(M604)</f>
        <v>29</v>
      </c>
      <c r="O604" s="33" t="str">
        <f aca="false">TEXT(M604,"DDDD")</f>
        <v>miércoles</v>
      </c>
      <c r="P604" s="6" t="n">
        <f aca="false">MONTH(M604)</f>
        <v>10</v>
      </c>
      <c r="Q604" s="26" t="str">
        <f aca="false">TEXT(M604,"MMMM")</f>
        <v>octubre</v>
      </c>
    </row>
    <row r="605" customFormat="false" ht="14.25" hidden="false" customHeight="false" outlineLevel="0" collapsed="false">
      <c r="A605" s="1" t="n">
        <v>11</v>
      </c>
      <c r="B605" s="1" t="s">
        <v>1023</v>
      </c>
      <c r="C605" s="1" t="s">
        <v>20</v>
      </c>
      <c r="D605" s="1" t="s">
        <v>1024</v>
      </c>
      <c r="E605" s="2" t="n">
        <v>442825660</v>
      </c>
      <c r="F605" s="21" t="s">
        <v>956</v>
      </c>
      <c r="G605" s="1" t="n">
        <v>442826040</v>
      </c>
      <c r="H605" s="3" t="n">
        <v>3900</v>
      </c>
      <c r="I605" s="26" t="n">
        <v>2100</v>
      </c>
      <c r="K605" s="1" t="n">
        <v>1800</v>
      </c>
      <c r="M605" s="5" t="s">
        <v>1016</v>
      </c>
      <c r="N605" s="33" t="n">
        <f aca="false">DAY(M605)</f>
        <v>29</v>
      </c>
      <c r="O605" s="33" t="str">
        <f aca="false">TEXT(M605,"DDDD")</f>
        <v>miércoles</v>
      </c>
      <c r="P605" s="6" t="n">
        <f aca="false">MONTH(M605)</f>
        <v>10</v>
      </c>
      <c r="Q605" s="26" t="str">
        <f aca="false">TEXT(M605,"MMMM")</f>
        <v>octubre</v>
      </c>
    </row>
    <row r="606" customFormat="false" ht="14.25" hidden="false" customHeight="false" outlineLevel="0" collapsed="false">
      <c r="A606" s="1" t="n">
        <v>11</v>
      </c>
      <c r="B606" s="1" t="s">
        <v>1025</v>
      </c>
      <c r="C606" s="1" t="s">
        <v>20</v>
      </c>
      <c r="D606" s="1" t="s">
        <v>1026</v>
      </c>
      <c r="E606" s="2" t="n">
        <v>442835218</v>
      </c>
      <c r="H606" s="3" t="n">
        <v>1300</v>
      </c>
      <c r="I606" s="26" t="n">
        <v>1200</v>
      </c>
      <c r="K606" s="1" t="n">
        <v>100</v>
      </c>
      <c r="M606" s="5" t="s">
        <v>1016</v>
      </c>
      <c r="N606" s="33" t="n">
        <f aca="false">DAY(M606)</f>
        <v>29</v>
      </c>
      <c r="O606" s="33" t="str">
        <f aca="false">TEXT(M606,"DDDD")</f>
        <v>miércoles</v>
      </c>
      <c r="P606" s="6" t="n">
        <f aca="false">MONTH(M606)</f>
        <v>10</v>
      </c>
      <c r="Q606" s="26" t="str">
        <f aca="false">TEXT(M606,"MMMM")</f>
        <v>octubre</v>
      </c>
    </row>
    <row r="607" customFormat="false" ht="14.25" hidden="false" customHeight="false" outlineLevel="0" collapsed="false">
      <c r="A607" s="1" t="n">
        <v>10</v>
      </c>
      <c r="B607" s="1" t="s">
        <v>1027</v>
      </c>
      <c r="C607" s="1" t="s">
        <v>38</v>
      </c>
      <c r="D607" s="1" t="s">
        <v>1028</v>
      </c>
      <c r="E607" s="2" t="n">
        <v>442798258</v>
      </c>
      <c r="F607" s="21" t="s">
        <v>117</v>
      </c>
      <c r="G607" s="1" t="n">
        <v>442799500</v>
      </c>
      <c r="H607" s="3" t="n">
        <v>4500</v>
      </c>
      <c r="I607" s="26" t="n">
        <v>2600</v>
      </c>
      <c r="K607" s="1" t="n">
        <v>1900</v>
      </c>
      <c r="M607" s="5" t="s">
        <v>1016</v>
      </c>
      <c r="N607" s="33" t="n">
        <f aca="false">DAY(M607)</f>
        <v>29</v>
      </c>
      <c r="O607" s="33" t="str">
        <f aca="false">TEXT(M607,"DDDD")</f>
        <v>miércoles</v>
      </c>
      <c r="P607" s="6" t="n">
        <f aca="false">MONTH(M607)</f>
        <v>10</v>
      </c>
      <c r="Q607" s="26" t="str">
        <f aca="false">TEXT(M607,"MMMM")</f>
        <v>octubre</v>
      </c>
    </row>
    <row r="608" customFormat="false" ht="14.25" hidden="false" customHeight="false" outlineLevel="0" collapsed="false">
      <c r="A608" s="1" t="n">
        <v>7</v>
      </c>
      <c r="B608" s="1" t="s">
        <v>859</v>
      </c>
      <c r="C608" s="1" t="s">
        <v>20</v>
      </c>
      <c r="D608" s="1" t="s">
        <v>1029</v>
      </c>
      <c r="E608" s="2" t="n">
        <v>442766588</v>
      </c>
      <c r="H608" s="3" t="n">
        <v>1400</v>
      </c>
      <c r="I608" s="26" t="n">
        <v>1200</v>
      </c>
      <c r="K608" s="1" t="n">
        <v>200</v>
      </c>
      <c r="M608" s="5" t="s">
        <v>1016</v>
      </c>
      <c r="N608" s="33" t="n">
        <f aca="false">DAY(M608)</f>
        <v>29</v>
      </c>
      <c r="O608" s="33" t="str">
        <f aca="false">TEXT(M608,"DDDD")</f>
        <v>miércoles</v>
      </c>
      <c r="P608" s="6" t="n">
        <f aca="false">MONTH(M608)</f>
        <v>10</v>
      </c>
      <c r="Q608" s="26" t="str">
        <f aca="false">TEXT(M608,"MMMM")</f>
        <v>octubre</v>
      </c>
    </row>
    <row r="609" customFormat="false" ht="14.25" hidden="false" customHeight="false" outlineLevel="0" collapsed="false">
      <c r="A609" s="1" t="n">
        <v>7</v>
      </c>
      <c r="B609" s="1" t="s">
        <v>1030</v>
      </c>
      <c r="C609" s="1" t="s">
        <v>140</v>
      </c>
      <c r="D609" s="1" t="s">
        <v>1031</v>
      </c>
      <c r="E609" s="2" t="n">
        <v>442769138</v>
      </c>
      <c r="H609" s="3" t="n">
        <v>1585</v>
      </c>
      <c r="I609" s="26" t="n">
        <v>1200</v>
      </c>
      <c r="K609" s="1" t="n">
        <v>385</v>
      </c>
      <c r="M609" s="5" t="s">
        <v>1016</v>
      </c>
      <c r="N609" s="33" t="n">
        <f aca="false">DAY(M609)</f>
        <v>29</v>
      </c>
      <c r="O609" s="33" t="str">
        <f aca="false">TEXT(M609,"DDDD")</f>
        <v>miércoles</v>
      </c>
      <c r="P609" s="6" t="n">
        <f aca="false">MONTH(M609)</f>
        <v>10</v>
      </c>
      <c r="Q609" s="26" t="str">
        <f aca="false">TEXT(M609,"MMMM")</f>
        <v>octubre</v>
      </c>
    </row>
    <row r="610" customFormat="false" ht="14.25" hidden="false" customHeight="false" outlineLevel="0" collapsed="false">
      <c r="A610" s="1" t="n">
        <v>7</v>
      </c>
      <c r="B610" s="1" t="s">
        <v>1032</v>
      </c>
      <c r="C610" s="1" t="s">
        <v>20</v>
      </c>
      <c r="D610" s="1" t="s">
        <v>1033</v>
      </c>
      <c r="E610" s="2" t="n">
        <v>442773487</v>
      </c>
      <c r="H610" s="3" t="n">
        <v>1460</v>
      </c>
      <c r="I610" s="26" t="n">
        <v>1200</v>
      </c>
      <c r="K610" s="1" t="n">
        <v>260</v>
      </c>
      <c r="M610" s="5" t="s">
        <v>1016</v>
      </c>
      <c r="N610" s="33" t="n">
        <f aca="false">DAY(M610)</f>
        <v>29</v>
      </c>
      <c r="O610" s="33" t="str">
        <f aca="false">TEXT(M610,"DDDD")</f>
        <v>miércoles</v>
      </c>
      <c r="P610" s="6" t="n">
        <f aca="false">MONTH(M610)</f>
        <v>10</v>
      </c>
      <c r="Q610" s="26" t="str">
        <f aca="false">TEXT(M610,"MMMM")</f>
        <v>octubre</v>
      </c>
    </row>
    <row r="611" customFormat="false" ht="14.25" hidden="false" customHeight="false" outlineLevel="0" collapsed="false">
      <c r="A611" s="1" t="n">
        <v>7</v>
      </c>
      <c r="B611" s="1" t="s">
        <v>1034</v>
      </c>
      <c r="C611" s="1" t="s">
        <v>20</v>
      </c>
      <c r="D611" s="1" t="s">
        <v>1035</v>
      </c>
      <c r="E611" s="2" t="n">
        <v>442776432</v>
      </c>
      <c r="F611" s="21" t="s">
        <v>1036</v>
      </c>
      <c r="G611" s="1" t="n">
        <v>442776345</v>
      </c>
      <c r="H611" s="3" t="n">
        <v>3280</v>
      </c>
      <c r="I611" s="26" t="n">
        <v>1800</v>
      </c>
      <c r="K611" s="1" t="n">
        <v>1480</v>
      </c>
      <c r="M611" s="5" t="s">
        <v>1016</v>
      </c>
      <c r="N611" s="33" t="n">
        <f aca="false">DAY(M611)</f>
        <v>29</v>
      </c>
      <c r="O611" s="33" t="str">
        <f aca="false">TEXT(M611,"DDDD")</f>
        <v>miércoles</v>
      </c>
      <c r="P611" s="6" t="n">
        <f aca="false">MONTH(M611)</f>
        <v>10</v>
      </c>
      <c r="Q611" s="26" t="str">
        <f aca="false">TEXT(M611,"MMMM")</f>
        <v>octubre</v>
      </c>
    </row>
    <row r="612" customFormat="false" ht="14.25" hidden="false" customHeight="false" outlineLevel="0" collapsed="false">
      <c r="A612" s="1" t="n">
        <v>10</v>
      </c>
      <c r="B612" s="1" t="s">
        <v>1037</v>
      </c>
      <c r="C612" s="1" t="s">
        <v>38</v>
      </c>
      <c r="D612" s="1" t="s">
        <v>1038</v>
      </c>
      <c r="E612" s="2" t="n">
        <v>442904328</v>
      </c>
      <c r="H612" s="3" t="n">
        <v>4200</v>
      </c>
      <c r="I612" s="26" t="n">
        <v>3700</v>
      </c>
      <c r="K612" s="1" t="n">
        <v>500</v>
      </c>
      <c r="M612" s="5" t="s">
        <v>1039</v>
      </c>
      <c r="N612" s="33" t="n">
        <f aca="false">DAY(M612)</f>
        <v>30</v>
      </c>
      <c r="O612" s="33" t="str">
        <f aca="false">TEXT(M612,"DDDD")</f>
        <v>jueves</v>
      </c>
      <c r="P612" s="6" t="n">
        <f aca="false">MONTH(M612)</f>
        <v>10</v>
      </c>
      <c r="Q612" s="26" t="str">
        <f aca="false">TEXT(M612,"MMMM")</f>
        <v>octubre</v>
      </c>
    </row>
    <row r="613" customFormat="false" ht="14.25" hidden="false" customHeight="false" outlineLevel="0" collapsed="false">
      <c r="A613" s="1" t="n">
        <v>10</v>
      </c>
      <c r="B613" s="1" t="s">
        <v>1040</v>
      </c>
      <c r="C613" s="1" t="s">
        <v>38</v>
      </c>
      <c r="D613" s="1" t="s">
        <v>1038</v>
      </c>
      <c r="E613" s="2" t="n">
        <v>442899426</v>
      </c>
      <c r="F613" s="21" t="s">
        <v>1041</v>
      </c>
      <c r="G613" s="1" t="n">
        <v>442895060</v>
      </c>
      <c r="H613" s="3" t="n">
        <v>7070</v>
      </c>
      <c r="I613" s="26" t="n">
        <v>3650</v>
      </c>
      <c r="K613" s="1" t="n">
        <v>3420</v>
      </c>
      <c r="M613" s="5" t="s">
        <v>1039</v>
      </c>
      <c r="N613" s="33" t="n">
        <f aca="false">DAY(M613)</f>
        <v>30</v>
      </c>
      <c r="O613" s="33" t="str">
        <f aca="false">TEXT(M613,"DDDD")</f>
        <v>jueves</v>
      </c>
      <c r="P613" s="6" t="n">
        <f aca="false">MONTH(M613)</f>
        <v>10</v>
      </c>
      <c r="Q613" s="26" t="str">
        <f aca="false">TEXT(M613,"MMMM")</f>
        <v>octubre</v>
      </c>
    </row>
    <row r="614" customFormat="false" ht="14.25" hidden="false" customHeight="false" outlineLevel="0" collapsed="false">
      <c r="A614" s="1" t="n">
        <v>9</v>
      </c>
      <c r="B614" s="1" t="s">
        <v>1042</v>
      </c>
      <c r="C614" s="1" t="s">
        <v>38</v>
      </c>
      <c r="D614" s="1" t="s">
        <v>1043</v>
      </c>
      <c r="E614" s="2" t="n">
        <v>442898236</v>
      </c>
      <c r="H614" s="3" t="n">
        <v>1200</v>
      </c>
      <c r="I614" s="26" t="n">
        <v>1200</v>
      </c>
      <c r="M614" s="5" t="s">
        <v>1039</v>
      </c>
      <c r="N614" s="33" t="n">
        <f aca="false">DAY(M614)</f>
        <v>30</v>
      </c>
      <c r="O614" s="33" t="str">
        <f aca="false">TEXT(M614,"DDDD")</f>
        <v>jueves</v>
      </c>
      <c r="P614" s="6" t="n">
        <f aca="false">MONTH(M614)</f>
        <v>10</v>
      </c>
      <c r="Q614" s="26" t="str">
        <f aca="false">TEXT(M614,"MMMM")</f>
        <v>octubre</v>
      </c>
    </row>
    <row r="615" customFormat="false" ht="14.25" hidden="false" customHeight="false" outlineLevel="0" collapsed="false">
      <c r="A615" s="1" t="n">
        <v>9</v>
      </c>
      <c r="B615" s="1" t="s">
        <v>1044</v>
      </c>
      <c r="C615" s="1" t="s">
        <v>20</v>
      </c>
      <c r="D615" s="1" t="s">
        <v>1045</v>
      </c>
      <c r="E615" s="2" t="n">
        <v>442896333</v>
      </c>
      <c r="H615" s="3" t="n">
        <v>2640</v>
      </c>
      <c r="I615" s="26" t="n">
        <v>1200</v>
      </c>
      <c r="K615" s="1" t="n">
        <v>1440</v>
      </c>
      <c r="M615" s="5" t="s">
        <v>1039</v>
      </c>
      <c r="N615" s="33" t="n">
        <f aca="false">DAY(M615)</f>
        <v>30</v>
      </c>
      <c r="O615" s="33" t="str">
        <f aca="false">TEXT(M615,"DDDD")</f>
        <v>jueves</v>
      </c>
      <c r="P615" s="6" t="n">
        <f aca="false">MONTH(M615)</f>
        <v>10</v>
      </c>
      <c r="Q615" s="26" t="str">
        <f aca="false">TEXT(M615,"MMMM")</f>
        <v>octubre</v>
      </c>
    </row>
    <row r="616" customFormat="false" ht="14.25" hidden="false" customHeight="false" outlineLevel="0" collapsed="false">
      <c r="A616" s="1" t="n">
        <v>9</v>
      </c>
      <c r="B616" s="1" t="s">
        <v>1046</v>
      </c>
      <c r="C616" s="1" t="s">
        <v>20</v>
      </c>
      <c r="D616" s="1" t="s">
        <v>1047</v>
      </c>
      <c r="E616" s="2" t="n">
        <v>442894135</v>
      </c>
      <c r="F616" s="21" t="s">
        <v>1048</v>
      </c>
      <c r="G616" s="1" t="n">
        <v>442894228</v>
      </c>
      <c r="H616" s="3" t="n">
        <v>4045</v>
      </c>
      <c r="I616" s="26" t="n">
        <v>2100</v>
      </c>
      <c r="K616" s="1" t="n">
        <v>1945</v>
      </c>
      <c r="M616" s="5" t="s">
        <v>1039</v>
      </c>
      <c r="N616" s="33" t="n">
        <f aca="false">DAY(M616)</f>
        <v>30</v>
      </c>
      <c r="O616" s="33" t="str">
        <f aca="false">TEXT(M616,"DDDD")</f>
        <v>jueves</v>
      </c>
      <c r="P616" s="6" t="n">
        <f aca="false">MONTH(M616)</f>
        <v>10</v>
      </c>
      <c r="Q616" s="26" t="str">
        <f aca="false">TEXT(M616,"MMMM")</f>
        <v>octubre</v>
      </c>
      <c r="R616" s="1" t="n">
        <v>442894135</v>
      </c>
      <c r="S616" s="1" t="n">
        <v>4025</v>
      </c>
    </row>
    <row r="617" customFormat="false" ht="14.25" hidden="false" customHeight="false" outlineLevel="0" collapsed="false">
      <c r="A617" s="1" t="n">
        <v>9</v>
      </c>
      <c r="B617" s="1" t="s">
        <v>1049</v>
      </c>
      <c r="C617" s="1" t="s">
        <v>140</v>
      </c>
      <c r="D617" s="1" t="s">
        <v>1050</v>
      </c>
      <c r="E617" s="2" t="n">
        <v>442893024</v>
      </c>
      <c r="H617" s="3" t="n">
        <v>1445</v>
      </c>
      <c r="I617" s="26" t="n">
        <v>1200</v>
      </c>
      <c r="K617" s="1" t="n">
        <v>245</v>
      </c>
      <c r="M617" s="5" t="s">
        <v>1039</v>
      </c>
      <c r="N617" s="33" t="n">
        <f aca="false">DAY(M617)</f>
        <v>30</v>
      </c>
      <c r="O617" s="33" t="str">
        <f aca="false">TEXT(M617,"DDDD")</f>
        <v>jueves</v>
      </c>
      <c r="P617" s="6" t="n">
        <f aca="false">MONTH(M617)</f>
        <v>10</v>
      </c>
      <c r="Q617" s="26" t="str">
        <f aca="false">TEXT(M617,"MMMM")</f>
        <v>octubre</v>
      </c>
    </row>
    <row r="618" customFormat="false" ht="14.25" hidden="false" customHeight="false" outlineLevel="0" collapsed="false">
      <c r="A618" s="1" t="n">
        <v>1</v>
      </c>
      <c r="B618" s="1" t="s">
        <v>1051</v>
      </c>
      <c r="C618" s="1" t="s">
        <v>20</v>
      </c>
      <c r="D618" s="1" t="s">
        <v>1052</v>
      </c>
      <c r="E618" s="2" t="n">
        <v>442852272</v>
      </c>
      <c r="H618" s="3" t="n">
        <v>2360</v>
      </c>
      <c r="I618" s="26" t="n">
        <v>1200</v>
      </c>
      <c r="K618" s="1" t="n">
        <v>1160</v>
      </c>
      <c r="M618" s="5" t="s">
        <v>1039</v>
      </c>
      <c r="N618" s="33" t="n">
        <f aca="false">DAY(M618)</f>
        <v>30</v>
      </c>
      <c r="O618" s="33" t="str">
        <f aca="false">TEXT(M618,"DDDD")</f>
        <v>jueves</v>
      </c>
      <c r="P618" s="6" t="n">
        <f aca="false">MONTH(M618)</f>
        <v>10</v>
      </c>
      <c r="Q618" s="26" t="str">
        <f aca="false">TEXT(M618,"MMMM")</f>
        <v>octubre</v>
      </c>
    </row>
    <row r="619" customFormat="false" ht="14.25" hidden="false" customHeight="false" outlineLevel="0" collapsed="false">
      <c r="A619" s="1" t="n">
        <v>11</v>
      </c>
      <c r="B619" s="1" t="s">
        <v>1053</v>
      </c>
      <c r="C619" s="1" t="s">
        <v>20</v>
      </c>
      <c r="D619" s="1" t="s">
        <v>166</v>
      </c>
      <c r="E619" s="2" t="n">
        <v>444316215</v>
      </c>
      <c r="H619" s="3" t="n">
        <v>2540</v>
      </c>
      <c r="I619" s="26" t="n">
        <v>1200</v>
      </c>
      <c r="K619" s="1" t="n">
        <v>1340</v>
      </c>
      <c r="M619" s="5" t="s">
        <v>1054</v>
      </c>
      <c r="N619" s="33" t="n">
        <f aca="false">DAY(M619)</f>
        <v>10</v>
      </c>
      <c r="O619" s="33" t="str">
        <f aca="false">TEXT(M619,"DDDD")</f>
        <v>lunes</v>
      </c>
      <c r="P619" s="6" t="n">
        <f aca="false">MONTH(M619)</f>
        <v>11</v>
      </c>
      <c r="Q619" s="26" t="str">
        <f aca="false">TEXT(M619,"MMMM")</f>
        <v>noviembre</v>
      </c>
    </row>
    <row r="620" customFormat="false" ht="14.25" hidden="false" customHeight="false" outlineLevel="0" collapsed="false">
      <c r="A620" s="1" t="n">
        <v>11</v>
      </c>
      <c r="B620" s="1" t="s">
        <v>1055</v>
      </c>
      <c r="C620" s="1" t="s">
        <v>20</v>
      </c>
      <c r="D620" s="1" t="s">
        <v>1056</v>
      </c>
      <c r="E620" s="2" t="n">
        <v>444314210</v>
      </c>
      <c r="H620" s="3" t="n">
        <v>1660</v>
      </c>
      <c r="I620" s="26" t="n">
        <v>1200</v>
      </c>
      <c r="K620" s="1" t="n">
        <v>460</v>
      </c>
      <c r="M620" s="5" t="s">
        <v>1054</v>
      </c>
      <c r="N620" s="33" t="n">
        <f aca="false">DAY(M620)</f>
        <v>10</v>
      </c>
      <c r="O620" s="33" t="str">
        <f aca="false">TEXT(M620,"DDDD")</f>
        <v>lunes</v>
      </c>
      <c r="P620" s="6" t="n">
        <f aca="false">MONTH(M620)</f>
        <v>11</v>
      </c>
      <c r="Q620" s="26" t="str">
        <f aca="false">TEXT(M620,"MMMM")</f>
        <v>noviembre</v>
      </c>
    </row>
    <row r="621" customFormat="false" ht="14.25" hidden="false" customHeight="false" outlineLevel="0" collapsed="false">
      <c r="A621" s="1" t="n">
        <v>11</v>
      </c>
      <c r="B621" s="1" t="s">
        <v>1057</v>
      </c>
      <c r="C621" s="1" t="s">
        <v>20</v>
      </c>
      <c r="D621" s="1" t="s">
        <v>1058</v>
      </c>
      <c r="E621" s="2" t="n">
        <v>444310488</v>
      </c>
      <c r="H621" s="3" t="n">
        <v>2020</v>
      </c>
      <c r="I621" s="26" t="n">
        <v>1200</v>
      </c>
      <c r="K621" s="1" t="n">
        <v>820</v>
      </c>
      <c r="M621" s="5" t="s">
        <v>1054</v>
      </c>
      <c r="N621" s="33" t="n">
        <f aca="false">DAY(M621)</f>
        <v>10</v>
      </c>
      <c r="O621" s="33" t="str">
        <f aca="false">TEXT(M621,"DDDD")</f>
        <v>lunes</v>
      </c>
      <c r="P621" s="6" t="n">
        <f aca="false">MONTH(M621)</f>
        <v>11</v>
      </c>
      <c r="Q621" s="26" t="str">
        <f aca="false">TEXT(M621,"MMMM")</f>
        <v>noviembre</v>
      </c>
    </row>
    <row r="622" customFormat="false" ht="14.25" hidden="false" customHeight="false" outlineLevel="0" collapsed="false">
      <c r="A622" s="1" t="n">
        <v>11</v>
      </c>
      <c r="B622" s="1" t="s">
        <v>1059</v>
      </c>
      <c r="C622" s="1" t="s">
        <v>20</v>
      </c>
      <c r="D622" s="1" t="s">
        <v>1060</v>
      </c>
      <c r="E622" s="2" t="n">
        <v>444301496</v>
      </c>
      <c r="H622" s="3" t="n">
        <v>3310</v>
      </c>
      <c r="I622" s="26" t="n">
        <v>1450</v>
      </c>
      <c r="K622" s="1" t="n">
        <v>1860</v>
      </c>
      <c r="M622" s="5" t="s">
        <v>1054</v>
      </c>
      <c r="N622" s="33" t="n">
        <f aca="false">DAY(M622)</f>
        <v>10</v>
      </c>
      <c r="O622" s="33" t="str">
        <f aca="false">TEXT(M622,"DDDD")</f>
        <v>lunes</v>
      </c>
      <c r="P622" s="6" t="n">
        <f aca="false">MONTH(M622)</f>
        <v>11</v>
      </c>
      <c r="Q622" s="26" t="str">
        <f aca="false">TEXT(M622,"MMMM")</f>
        <v>noviembre</v>
      </c>
    </row>
    <row r="623" customFormat="false" ht="14.25" hidden="false" customHeight="false" outlineLevel="0" collapsed="false">
      <c r="A623" s="1" t="n">
        <v>11</v>
      </c>
      <c r="B623" s="1" t="s">
        <v>1061</v>
      </c>
      <c r="C623" s="1" t="s">
        <v>20</v>
      </c>
      <c r="D623" s="1" t="s">
        <v>1062</v>
      </c>
      <c r="E623" s="2" t="n">
        <v>444294167</v>
      </c>
      <c r="H623" s="3" t="n">
        <v>3830</v>
      </c>
      <c r="I623" s="26" t="n">
        <v>1250</v>
      </c>
      <c r="K623" s="1" t="n">
        <v>2580</v>
      </c>
      <c r="M623" s="5" t="s">
        <v>1054</v>
      </c>
      <c r="N623" s="33" t="n">
        <f aca="false">DAY(M623)</f>
        <v>10</v>
      </c>
      <c r="O623" s="33" t="str">
        <f aca="false">TEXT(M623,"DDDD")</f>
        <v>lunes</v>
      </c>
      <c r="P623" s="6" t="n">
        <f aca="false">MONTH(M623)</f>
        <v>11</v>
      </c>
      <c r="Q623" s="26" t="str">
        <f aca="false">TEXT(M623,"MMMM")</f>
        <v>noviembre</v>
      </c>
    </row>
    <row r="624" customFormat="false" ht="14.25" hidden="false" customHeight="false" outlineLevel="0" collapsed="false">
      <c r="A624" s="1" t="n">
        <v>11</v>
      </c>
      <c r="B624" s="1" t="s">
        <v>1063</v>
      </c>
      <c r="C624" s="1" t="s">
        <v>20</v>
      </c>
      <c r="D624" s="1" t="s">
        <v>1064</v>
      </c>
      <c r="E624" s="2" t="n">
        <v>444288902</v>
      </c>
      <c r="H624" s="3" t="n">
        <v>2740</v>
      </c>
      <c r="I624" s="26" t="n">
        <v>1200</v>
      </c>
      <c r="K624" s="1" t="n">
        <v>1540</v>
      </c>
      <c r="M624" s="5" t="s">
        <v>1054</v>
      </c>
      <c r="N624" s="33" t="n">
        <f aca="false">DAY(M624)</f>
        <v>10</v>
      </c>
      <c r="O624" s="33" t="str">
        <f aca="false">TEXT(M624,"DDDD")</f>
        <v>lunes</v>
      </c>
      <c r="P624" s="6" t="n">
        <f aca="false">MONTH(M624)</f>
        <v>11</v>
      </c>
      <c r="Q624" s="26" t="str">
        <f aca="false">TEXT(M624,"MMMM")</f>
        <v>noviembre</v>
      </c>
    </row>
    <row r="625" customFormat="false" ht="14.25" hidden="false" customHeight="false" outlineLevel="0" collapsed="false">
      <c r="A625" s="1" t="n">
        <v>4</v>
      </c>
      <c r="B625" s="1" t="s">
        <v>1065</v>
      </c>
      <c r="C625" s="1" t="s">
        <v>20</v>
      </c>
      <c r="D625" s="1" t="s">
        <v>103</v>
      </c>
      <c r="E625" s="2" t="n">
        <v>444222494</v>
      </c>
      <c r="H625" s="3" t="n">
        <v>2860</v>
      </c>
      <c r="I625" s="26" t="n">
        <v>1200</v>
      </c>
      <c r="K625" s="1" t="n">
        <v>1660</v>
      </c>
      <c r="M625" s="5" t="s">
        <v>1054</v>
      </c>
      <c r="N625" s="33" t="n">
        <f aca="false">DAY(M625)</f>
        <v>10</v>
      </c>
      <c r="O625" s="33" t="str">
        <f aca="false">TEXT(M625,"DDDD")</f>
        <v>lunes</v>
      </c>
      <c r="P625" s="6" t="n">
        <f aca="false">MONTH(M625)</f>
        <v>11</v>
      </c>
      <c r="Q625" s="26" t="str">
        <f aca="false">TEXT(M625,"MMMM")</f>
        <v>noviembre</v>
      </c>
    </row>
    <row r="626" customFormat="false" ht="14.25" hidden="false" customHeight="false" outlineLevel="0" collapsed="false">
      <c r="A626" s="1" t="n">
        <v>1</v>
      </c>
      <c r="B626" s="1" t="s">
        <v>1066</v>
      </c>
      <c r="C626" s="1" t="s">
        <v>38</v>
      </c>
      <c r="D626" s="1" t="s">
        <v>1067</v>
      </c>
      <c r="E626" s="2" t="n">
        <v>444221629</v>
      </c>
      <c r="H626" s="3" t="n">
        <v>2060</v>
      </c>
      <c r="I626" s="26" t="n">
        <v>1600</v>
      </c>
      <c r="K626" s="1" t="n">
        <v>400</v>
      </c>
      <c r="M626" s="5" t="s">
        <v>1054</v>
      </c>
      <c r="N626" s="33" t="n">
        <f aca="false">DAY(M626)</f>
        <v>10</v>
      </c>
      <c r="O626" s="33" t="str">
        <f aca="false">TEXT(M626,"DDDD")</f>
        <v>lunes</v>
      </c>
      <c r="P626" s="6" t="n">
        <f aca="false">MONTH(M626)</f>
        <v>11</v>
      </c>
      <c r="Q626" s="26" t="str">
        <f aca="false">TEXT(M626,"MMMM")</f>
        <v>noviembre</v>
      </c>
    </row>
    <row r="627" customFormat="false" ht="14.25" hidden="false" customHeight="false" outlineLevel="0" collapsed="false">
      <c r="A627" s="1" t="n">
        <v>1</v>
      </c>
      <c r="B627" s="1" t="s">
        <v>1068</v>
      </c>
      <c r="C627" s="1" t="s">
        <v>20</v>
      </c>
      <c r="D627" s="1" t="s">
        <v>1069</v>
      </c>
      <c r="E627" s="2" t="n">
        <v>444221111</v>
      </c>
      <c r="H627" s="3" t="n">
        <v>2000</v>
      </c>
      <c r="I627" s="26" t="n">
        <v>1200</v>
      </c>
      <c r="K627" s="1" t="n">
        <v>740</v>
      </c>
      <c r="M627" s="5" t="s">
        <v>1054</v>
      </c>
      <c r="N627" s="33" t="n">
        <f aca="false">DAY(M627)</f>
        <v>10</v>
      </c>
      <c r="O627" s="33" t="str">
        <f aca="false">TEXT(M627,"DDDD")</f>
        <v>lunes</v>
      </c>
      <c r="P627" s="6" t="n">
        <f aca="false">MONTH(M627)</f>
        <v>11</v>
      </c>
      <c r="Q627" s="26" t="str">
        <f aca="false">TEXT(M627,"MMMM")</f>
        <v>noviembre</v>
      </c>
    </row>
    <row r="628" customFormat="false" ht="14.25" hidden="false" customHeight="false" outlineLevel="0" collapsed="false">
      <c r="A628" s="1" t="n">
        <v>1</v>
      </c>
      <c r="B628" s="1" t="s">
        <v>1070</v>
      </c>
      <c r="C628" s="1" t="s">
        <v>20</v>
      </c>
      <c r="D628" s="1" t="s">
        <v>600</v>
      </c>
      <c r="E628" s="2" t="n">
        <v>444220621</v>
      </c>
      <c r="H628" s="3" t="n">
        <v>2680</v>
      </c>
      <c r="I628" s="26" t="n">
        <v>1200</v>
      </c>
      <c r="K628" s="1" t="n">
        <v>1420</v>
      </c>
      <c r="M628" s="5" t="s">
        <v>1054</v>
      </c>
      <c r="N628" s="33" t="n">
        <f aca="false">DAY(M628)</f>
        <v>10</v>
      </c>
      <c r="O628" s="33" t="str">
        <f aca="false">TEXT(M628,"DDDD")</f>
        <v>lunes</v>
      </c>
      <c r="P628" s="6" t="n">
        <f aca="false">MONTH(M628)</f>
        <v>11</v>
      </c>
      <c r="Q628" s="26" t="str">
        <f aca="false">TEXT(M628,"MMMM")</f>
        <v>noviembre</v>
      </c>
    </row>
    <row r="629" customFormat="false" ht="14.25" hidden="false" customHeight="false" outlineLevel="0" collapsed="false">
      <c r="A629" s="1" t="n">
        <v>1</v>
      </c>
      <c r="B629" s="1" t="s">
        <v>1071</v>
      </c>
      <c r="C629" s="1" t="s">
        <v>20</v>
      </c>
      <c r="D629" s="1" t="s">
        <v>103</v>
      </c>
      <c r="E629" s="2" t="n">
        <v>444218430</v>
      </c>
      <c r="H629" s="3" t="n">
        <v>2260</v>
      </c>
      <c r="I629" s="26" t="n">
        <v>1200</v>
      </c>
      <c r="K629" s="1" t="n">
        <v>1000</v>
      </c>
      <c r="M629" s="5" t="s">
        <v>1054</v>
      </c>
      <c r="N629" s="33" t="n">
        <f aca="false">DAY(M629)</f>
        <v>10</v>
      </c>
      <c r="O629" s="33" t="str">
        <f aca="false">TEXT(M629,"DDDD")</f>
        <v>lunes</v>
      </c>
      <c r="P629" s="6" t="n">
        <f aca="false">MONTH(M629)</f>
        <v>11</v>
      </c>
      <c r="Q629" s="26" t="str">
        <f aca="false">TEXT(M629,"MMMM")</f>
        <v>noviembre</v>
      </c>
    </row>
    <row r="630" customFormat="false" ht="14.25" hidden="false" customHeight="false" outlineLevel="0" collapsed="false">
      <c r="A630" s="1" t="n">
        <v>1</v>
      </c>
      <c r="B630" s="1" t="s">
        <v>1072</v>
      </c>
      <c r="C630" s="1" t="s">
        <v>20</v>
      </c>
      <c r="D630" s="1" t="s">
        <v>82</v>
      </c>
      <c r="E630" s="2" t="n">
        <v>444217471</v>
      </c>
      <c r="H630" s="3" t="n">
        <v>2520</v>
      </c>
      <c r="I630" s="26" t="n">
        <v>1200</v>
      </c>
      <c r="K630" s="1" t="n">
        <v>1260</v>
      </c>
      <c r="M630" s="5" t="s">
        <v>1054</v>
      </c>
      <c r="N630" s="33" t="n">
        <f aca="false">DAY(M630)</f>
        <v>10</v>
      </c>
      <c r="O630" s="33" t="str">
        <f aca="false">TEXT(M630,"DDDD")</f>
        <v>lunes</v>
      </c>
      <c r="P630" s="6" t="n">
        <f aca="false">MONTH(M630)</f>
        <v>11</v>
      </c>
      <c r="Q630" s="26" t="str">
        <f aca="false">TEXT(M630,"MMMM")</f>
        <v>noviembre</v>
      </c>
    </row>
    <row r="631" customFormat="false" ht="14.25" hidden="false" customHeight="false" outlineLevel="0" collapsed="false">
      <c r="A631" s="1" t="n">
        <v>8</v>
      </c>
      <c r="B631" s="1" t="s">
        <v>1073</v>
      </c>
      <c r="C631" s="1" t="s">
        <v>38</v>
      </c>
      <c r="D631" s="1" t="s">
        <v>1074</v>
      </c>
      <c r="E631" s="2" t="n">
        <v>444347764</v>
      </c>
      <c r="H631" s="3" t="n">
        <v>2170</v>
      </c>
      <c r="I631" s="26" t="n">
        <v>1450</v>
      </c>
      <c r="K631" s="1" t="n">
        <v>720</v>
      </c>
      <c r="M631" s="5" t="s">
        <v>1075</v>
      </c>
      <c r="N631" s="33" t="n">
        <f aca="false">DAY(M631)</f>
        <v>11</v>
      </c>
      <c r="O631" s="33" t="str">
        <f aca="false">TEXT(M631,"DDDD")</f>
        <v>martes</v>
      </c>
      <c r="P631" s="6" t="n">
        <f aca="false">MONTH(M631)</f>
        <v>11</v>
      </c>
      <c r="Q631" s="26" t="str">
        <f aca="false">TEXT(M631,"MMMM")</f>
        <v>noviembre</v>
      </c>
    </row>
    <row r="632" customFormat="false" ht="14.25" hidden="false" customHeight="false" outlineLevel="0" collapsed="false">
      <c r="A632" s="1" t="n">
        <v>7</v>
      </c>
      <c r="B632" s="1" t="s">
        <v>1076</v>
      </c>
      <c r="C632" s="1" t="s">
        <v>20</v>
      </c>
      <c r="D632" s="1" t="s">
        <v>1077</v>
      </c>
      <c r="E632" s="2" t="n">
        <v>444344065</v>
      </c>
      <c r="H632" s="3" t="n">
        <v>2240</v>
      </c>
      <c r="I632" s="26" t="n">
        <v>1200</v>
      </c>
      <c r="K632" s="1" t="n">
        <v>1040</v>
      </c>
      <c r="M632" s="5" t="s">
        <v>1075</v>
      </c>
      <c r="N632" s="33" t="n">
        <f aca="false">DAY(M632)</f>
        <v>11</v>
      </c>
      <c r="O632" s="33" t="str">
        <f aca="false">TEXT(M632,"DDDD")</f>
        <v>martes</v>
      </c>
      <c r="P632" s="6" t="n">
        <f aca="false">MONTH(M632)</f>
        <v>11</v>
      </c>
      <c r="Q632" s="26" t="str">
        <f aca="false">TEXT(M632,"MMMM")</f>
        <v>noviembre</v>
      </c>
    </row>
    <row r="633" customFormat="false" ht="14.25" hidden="false" customHeight="false" outlineLevel="0" collapsed="false">
      <c r="A633" s="1" t="n">
        <v>7</v>
      </c>
      <c r="B633" s="1" t="s">
        <v>1078</v>
      </c>
      <c r="C633" s="1" t="s">
        <v>20</v>
      </c>
      <c r="D633" s="1" t="s">
        <v>1079</v>
      </c>
      <c r="E633" s="2" t="n">
        <v>444341524</v>
      </c>
      <c r="H633" s="3" t="n">
        <v>2340</v>
      </c>
      <c r="I633" s="26" t="n">
        <v>1200</v>
      </c>
      <c r="K633" s="1" t="n">
        <v>1140</v>
      </c>
      <c r="M633" s="5" t="s">
        <v>1075</v>
      </c>
      <c r="N633" s="33" t="n">
        <f aca="false">DAY(M633)</f>
        <v>11</v>
      </c>
      <c r="O633" s="33" t="str">
        <f aca="false">TEXT(M633,"DDDD")</f>
        <v>martes</v>
      </c>
      <c r="P633" s="6" t="n">
        <f aca="false">MONTH(M633)</f>
        <v>11</v>
      </c>
      <c r="Q633" s="26" t="str">
        <f aca="false">TEXT(M633,"MMMM")</f>
        <v>noviembre</v>
      </c>
    </row>
    <row r="634" customFormat="false" ht="14.25" hidden="false" customHeight="false" outlineLevel="0" collapsed="false">
      <c r="A634" s="1" t="n">
        <v>7</v>
      </c>
      <c r="B634" s="1" t="s">
        <v>1080</v>
      </c>
      <c r="C634" s="1" t="s">
        <v>20</v>
      </c>
      <c r="D634" s="1" t="s">
        <v>1081</v>
      </c>
      <c r="E634" s="2" t="n">
        <v>444339348</v>
      </c>
      <c r="H634" s="3" t="n">
        <v>1200</v>
      </c>
      <c r="I634" s="26" t="n">
        <v>1200</v>
      </c>
      <c r="M634" s="5" t="s">
        <v>1075</v>
      </c>
      <c r="N634" s="33" t="n">
        <f aca="false">DAY(M634)</f>
        <v>11</v>
      </c>
      <c r="O634" s="33" t="str">
        <f aca="false">TEXT(M634,"DDDD")</f>
        <v>martes</v>
      </c>
      <c r="P634" s="6" t="n">
        <f aca="false">MONTH(M634)</f>
        <v>11</v>
      </c>
      <c r="Q634" s="26" t="str">
        <f aca="false">TEXT(M634,"MMMM")</f>
        <v>noviembre</v>
      </c>
    </row>
    <row r="635" customFormat="false" ht="14.25" hidden="false" customHeight="false" outlineLevel="0" collapsed="false">
      <c r="A635" s="1" t="n">
        <v>7</v>
      </c>
      <c r="B635" s="1" t="s">
        <v>1082</v>
      </c>
      <c r="C635" s="1" t="s">
        <v>20</v>
      </c>
      <c r="D635" s="1" t="s">
        <v>1083</v>
      </c>
      <c r="E635" s="2" t="n">
        <v>444335287</v>
      </c>
      <c r="H635" s="3" t="n">
        <v>2400</v>
      </c>
      <c r="I635" s="26" t="n">
        <v>1200</v>
      </c>
      <c r="K635" s="1" t="n">
        <v>1200</v>
      </c>
      <c r="M635" s="5" t="s">
        <v>1075</v>
      </c>
      <c r="N635" s="33" t="n">
        <f aca="false">DAY(M635)</f>
        <v>11</v>
      </c>
      <c r="O635" s="33" t="str">
        <f aca="false">TEXT(M635,"DDDD")</f>
        <v>martes</v>
      </c>
      <c r="P635" s="6" t="n">
        <f aca="false">MONTH(M635)</f>
        <v>11</v>
      </c>
      <c r="Q635" s="26" t="str">
        <f aca="false">TEXT(M635,"MMMM")</f>
        <v>noviembre</v>
      </c>
    </row>
    <row r="636" customFormat="false" ht="14.25" hidden="false" customHeight="false" outlineLevel="0" collapsed="false">
      <c r="A636" s="1" t="n">
        <v>7</v>
      </c>
      <c r="B636" s="1" t="s">
        <v>104</v>
      </c>
      <c r="C636" s="1" t="s">
        <v>20</v>
      </c>
      <c r="D636" s="1" t="s">
        <v>1084</v>
      </c>
      <c r="E636" s="2" t="n">
        <v>444332998</v>
      </c>
      <c r="H636" s="3" t="n">
        <v>2400</v>
      </c>
      <c r="I636" s="26" t="n">
        <v>1200</v>
      </c>
      <c r="K636" s="1" t="n">
        <v>1200</v>
      </c>
      <c r="M636" s="5" t="s">
        <v>1075</v>
      </c>
      <c r="N636" s="33" t="n">
        <f aca="false">DAY(M636)</f>
        <v>11</v>
      </c>
      <c r="O636" s="33" t="str">
        <f aca="false">TEXT(M636,"DDDD")</f>
        <v>martes</v>
      </c>
      <c r="P636" s="6" t="n">
        <f aca="false">MONTH(M636)</f>
        <v>11</v>
      </c>
      <c r="Q636" s="26" t="str">
        <f aca="false">TEXT(M636,"MMMM")</f>
        <v>noviembre</v>
      </c>
    </row>
    <row r="637" customFormat="false" ht="14.25" hidden="false" customHeight="false" outlineLevel="0" collapsed="false">
      <c r="A637" s="1" t="n">
        <v>6</v>
      </c>
      <c r="B637" s="1" t="s">
        <v>1085</v>
      </c>
      <c r="C637" s="1" t="s">
        <v>20</v>
      </c>
      <c r="D637" s="1" t="s">
        <v>1086</v>
      </c>
      <c r="E637" s="2" t="n">
        <v>444329766</v>
      </c>
      <c r="F637" s="21" t="s">
        <v>593</v>
      </c>
      <c r="G637" s="1" t="n">
        <v>444329804</v>
      </c>
      <c r="H637" s="3" t="n">
        <v>2100</v>
      </c>
      <c r="I637" s="26" t="n">
        <v>2100</v>
      </c>
      <c r="M637" s="5" t="s">
        <v>1075</v>
      </c>
      <c r="N637" s="33" t="n">
        <f aca="false">DAY(M637)</f>
        <v>11</v>
      </c>
      <c r="O637" s="33" t="str">
        <f aca="false">TEXT(M637,"DDDD")</f>
        <v>martes</v>
      </c>
      <c r="P637" s="6" t="n">
        <f aca="false">MONTH(M637)</f>
        <v>11</v>
      </c>
      <c r="Q637" s="26" t="str">
        <f aca="false">TEXT(M637,"MMMM")</f>
        <v>noviembre</v>
      </c>
      <c r="R637" s="1" t="n">
        <v>444329766</v>
      </c>
      <c r="S637" s="1" t="n">
        <v>10206</v>
      </c>
    </row>
    <row r="638" customFormat="false" ht="14.25" hidden="false" customHeight="false" outlineLevel="0" collapsed="false">
      <c r="A638" s="1" t="n">
        <v>6</v>
      </c>
      <c r="B638" s="1" t="s">
        <v>1087</v>
      </c>
      <c r="C638" s="1" t="s">
        <v>20</v>
      </c>
      <c r="D638" s="1" t="s">
        <v>1088</v>
      </c>
      <c r="E638" s="2" t="n">
        <v>444327467</v>
      </c>
      <c r="H638" s="3" t="n">
        <v>2240</v>
      </c>
      <c r="I638" s="26" t="n">
        <v>1200</v>
      </c>
      <c r="K638" s="1" t="n">
        <v>1040</v>
      </c>
      <c r="M638" s="5" t="s">
        <v>1075</v>
      </c>
      <c r="N638" s="33" t="n">
        <f aca="false">DAY(M638)</f>
        <v>11</v>
      </c>
      <c r="O638" s="33" t="str">
        <f aca="false">TEXT(M638,"DDDD")</f>
        <v>martes</v>
      </c>
      <c r="P638" s="6" t="n">
        <f aca="false">MONTH(M638)</f>
        <v>11</v>
      </c>
      <c r="Q638" s="26" t="str">
        <f aca="false">TEXT(M638,"MMMM")</f>
        <v>noviembre</v>
      </c>
    </row>
    <row r="639" customFormat="false" ht="14.25" hidden="false" customHeight="false" outlineLevel="0" collapsed="false">
      <c r="A639" s="1" t="n">
        <v>6</v>
      </c>
      <c r="B639" s="1" t="s">
        <v>1089</v>
      </c>
      <c r="C639" s="1" t="s">
        <v>20</v>
      </c>
      <c r="D639" s="1" t="s">
        <v>1090</v>
      </c>
      <c r="E639" s="2" t="n">
        <v>444326337</v>
      </c>
      <c r="H639" s="3" t="n">
        <v>1400</v>
      </c>
      <c r="I639" s="26" t="n">
        <v>1400</v>
      </c>
      <c r="M639" s="5" t="s">
        <v>1075</v>
      </c>
      <c r="N639" s="33" t="n">
        <f aca="false">DAY(M639)</f>
        <v>11</v>
      </c>
      <c r="O639" s="33" t="str">
        <f aca="false">TEXT(M639,"DDDD")</f>
        <v>martes</v>
      </c>
      <c r="P639" s="6" t="n">
        <f aca="false">MONTH(M639)</f>
        <v>11</v>
      </c>
      <c r="Q639" s="26" t="str">
        <f aca="false">TEXT(M639,"MMMM")</f>
        <v>noviembre</v>
      </c>
      <c r="R639" s="1" t="n">
        <v>444326337</v>
      </c>
      <c r="S639" s="1" t="n">
        <v>30968</v>
      </c>
    </row>
    <row r="640" customFormat="false" ht="14.25" hidden="false" customHeight="false" outlineLevel="0" collapsed="false">
      <c r="A640" s="1" t="n">
        <v>5</v>
      </c>
      <c r="B640" s="1" t="s">
        <v>1091</v>
      </c>
      <c r="C640" s="1" t="s">
        <v>20</v>
      </c>
      <c r="D640" s="1" t="s">
        <v>1092</v>
      </c>
      <c r="E640" s="2" t="n">
        <v>444325238</v>
      </c>
      <c r="H640" s="3" t="n">
        <v>1201</v>
      </c>
      <c r="I640" s="26" t="n">
        <v>1200</v>
      </c>
      <c r="K640" s="1" t="n">
        <v>1</v>
      </c>
      <c r="M640" s="5" t="s">
        <v>1075</v>
      </c>
      <c r="N640" s="33" t="n">
        <f aca="false">DAY(M640)</f>
        <v>11</v>
      </c>
      <c r="O640" s="33" t="str">
        <f aca="false">TEXT(M640,"DDDD")</f>
        <v>martes</v>
      </c>
      <c r="P640" s="6" t="n">
        <f aca="false">MONTH(M640)</f>
        <v>11</v>
      </c>
      <c r="Q640" s="26" t="str">
        <f aca="false">TEXT(M640,"MMMM")</f>
        <v>noviembre</v>
      </c>
      <c r="R640" s="1" t="n">
        <v>444325238</v>
      </c>
      <c r="S640" s="1" t="n">
        <v>10873</v>
      </c>
    </row>
    <row r="641" customFormat="false" ht="14.25" hidden="false" customHeight="false" outlineLevel="0" collapsed="false">
      <c r="A641" s="1" t="n">
        <v>5</v>
      </c>
      <c r="B641" s="1" t="s">
        <v>1093</v>
      </c>
      <c r="C641" s="1" t="s">
        <v>20</v>
      </c>
      <c r="D641" s="1" t="s">
        <v>1094</v>
      </c>
      <c r="E641" s="2" t="n">
        <v>444324774</v>
      </c>
      <c r="H641" s="3" t="n">
        <v>1800</v>
      </c>
      <c r="I641" s="26" t="n">
        <v>1200</v>
      </c>
      <c r="K641" s="1" t="n">
        <v>600</v>
      </c>
      <c r="M641" s="5" t="s">
        <v>1075</v>
      </c>
      <c r="N641" s="33" t="n">
        <f aca="false">DAY(M641)</f>
        <v>11</v>
      </c>
      <c r="O641" s="33" t="str">
        <f aca="false">TEXT(M641,"DDDD")</f>
        <v>martes</v>
      </c>
      <c r="P641" s="6" t="n">
        <f aca="false">MONTH(M641)</f>
        <v>11</v>
      </c>
      <c r="Q641" s="26" t="str">
        <f aca="false">TEXT(M641,"MMMM")</f>
        <v>noviembre</v>
      </c>
    </row>
    <row r="642" customFormat="false" ht="14.25" hidden="false" customHeight="false" outlineLevel="0" collapsed="false">
      <c r="A642" s="1" t="n">
        <v>5</v>
      </c>
      <c r="B642" s="1" t="s">
        <v>1095</v>
      </c>
      <c r="C642" s="1" t="s">
        <v>20</v>
      </c>
      <c r="D642" s="1" t="s">
        <v>1096</v>
      </c>
      <c r="E642" s="2" t="n">
        <v>444324064</v>
      </c>
      <c r="H642" s="3" t="n">
        <v>3040</v>
      </c>
      <c r="I642" s="26" t="n">
        <v>1200</v>
      </c>
      <c r="K642" s="1" t="n">
        <v>1840</v>
      </c>
      <c r="M642" s="5" t="s">
        <v>1075</v>
      </c>
      <c r="N642" s="33" t="n">
        <f aca="false">DAY(M642)</f>
        <v>11</v>
      </c>
      <c r="O642" s="33" t="str">
        <f aca="false">TEXT(M642,"DDDD")</f>
        <v>martes</v>
      </c>
      <c r="P642" s="6" t="n">
        <f aca="false">MONTH(M642)</f>
        <v>11</v>
      </c>
      <c r="Q642" s="26" t="str">
        <f aca="false">TEXT(M642,"MMMM")</f>
        <v>noviembre</v>
      </c>
    </row>
    <row r="643" customFormat="false" ht="14.25" hidden="false" customHeight="false" outlineLevel="0" collapsed="false">
      <c r="A643" s="1" t="n">
        <v>5</v>
      </c>
      <c r="B643" s="1" t="s">
        <v>1097</v>
      </c>
      <c r="C643" s="1" t="s">
        <v>20</v>
      </c>
      <c r="D643" s="1" t="s">
        <v>1098</v>
      </c>
      <c r="E643" s="2" t="n">
        <v>444326673</v>
      </c>
      <c r="H643" s="3" t="n">
        <v>2600</v>
      </c>
      <c r="I643" s="26" t="n">
        <v>1200</v>
      </c>
      <c r="K643" s="1" t="n">
        <v>1400</v>
      </c>
      <c r="M643" s="5" t="s">
        <v>1075</v>
      </c>
      <c r="N643" s="33" t="n">
        <f aca="false">DAY(M643)</f>
        <v>11</v>
      </c>
      <c r="O643" s="33" t="str">
        <f aca="false">TEXT(M643,"DDDD")</f>
        <v>martes</v>
      </c>
      <c r="P643" s="6" t="n">
        <f aca="false">MONTH(M643)</f>
        <v>11</v>
      </c>
      <c r="Q643" s="26" t="str">
        <f aca="false">TEXT(M643,"MMMM")</f>
        <v>noviembre</v>
      </c>
    </row>
    <row r="644" customFormat="false" ht="14.25" hidden="false" customHeight="false" outlineLevel="0" collapsed="false">
      <c r="A644" s="1" t="n">
        <v>4</v>
      </c>
      <c r="B644" s="1" t="s">
        <v>1099</v>
      </c>
      <c r="C644" s="1" t="s">
        <v>20</v>
      </c>
      <c r="D644" s="1" t="s">
        <v>1100</v>
      </c>
      <c r="E644" s="2" t="n">
        <v>444323347</v>
      </c>
      <c r="H644" s="3" t="n">
        <v>1850</v>
      </c>
      <c r="I644" s="26" t="n">
        <v>1350</v>
      </c>
      <c r="K644" s="1" t="n">
        <v>500</v>
      </c>
      <c r="M644" s="5" t="s">
        <v>1075</v>
      </c>
      <c r="N644" s="33" t="n">
        <f aca="false">DAY(M644)</f>
        <v>11</v>
      </c>
      <c r="O644" s="33" t="str">
        <f aca="false">TEXT(M644,"DDDD")</f>
        <v>martes</v>
      </c>
      <c r="P644" s="6" t="n">
        <f aca="false">MONTH(M644)</f>
        <v>11</v>
      </c>
      <c r="Q644" s="26" t="str">
        <f aca="false">TEXT(M644,"MMMM")</f>
        <v>noviembre</v>
      </c>
    </row>
    <row r="645" customFormat="false" ht="14.25" hidden="false" customHeight="false" outlineLevel="0" collapsed="false">
      <c r="A645" s="1" t="n">
        <v>4</v>
      </c>
      <c r="B645" s="1" t="s">
        <v>1101</v>
      </c>
      <c r="C645" s="1" t="s">
        <v>38</v>
      </c>
      <c r="D645" s="1" t="s">
        <v>1102</v>
      </c>
      <c r="E645" s="2" t="n">
        <v>444323201</v>
      </c>
      <c r="H645" s="3" t="n">
        <v>2580</v>
      </c>
      <c r="I645" s="26" t="n">
        <v>1500</v>
      </c>
      <c r="K645" s="1" t="n">
        <v>1080</v>
      </c>
      <c r="M645" s="5" t="s">
        <v>1075</v>
      </c>
      <c r="N645" s="33" t="n">
        <f aca="false">DAY(M645)</f>
        <v>11</v>
      </c>
      <c r="O645" s="33" t="str">
        <f aca="false">TEXT(M645,"DDDD")</f>
        <v>martes</v>
      </c>
      <c r="P645" s="6" t="n">
        <f aca="false">MONTH(M645)</f>
        <v>11</v>
      </c>
      <c r="Q645" s="26" t="str">
        <f aca="false">TEXT(M645,"MMMM")</f>
        <v>noviembre</v>
      </c>
    </row>
    <row r="646" customFormat="false" ht="14.25" hidden="false" customHeight="false" outlineLevel="0" collapsed="false">
      <c r="A646" s="1" t="n">
        <v>11</v>
      </c>
      <c r="B646" s="1" t="s">
        <v>1103</v>
      </c>
      <c r="C646" s="1" t="s">
        <v>38</v>
      </c>
      <c r="D646" s="1" t="s">
        <v>847</v>
      </c>
      <c r="E646" s="2" t="n">
        <v>444498370</v>
      </c>
      <c r="F646" s="21" t="s">
        <v>847</v>
      </c>
      <c r="G646" s="1" t="n">
        <v>444500505</v>
      </c>
      <c r="H646" s="3" t="n">
        <v>3940</v>
      </c>
      <c r="I646" s="1" t="n">
        <v>2700</v>
      </c>
      <c r="J646" s="1" t="n">
        <v>0</v>
      </c>
      <c r="K646" s="1" t="n">
        <v>1240</v>
      </c>
      <c r="M646" s="5" t="s">
        <v>1104</v>
      </c>
      <c r="N646" s="33" t="n">
        <f aca="false">DAY(M646)</f>
        <v>12</v>
      </c>
      <c r="O646" s="33" t="str">
        <f aca="false">TEXT(M646,"DDDD")</f>
        <v>miércoles</v>
      </c>
      <c r="P646" s="6" t="n">
        <f aca="false">MONTH(M646)</f>
        <v>11</v>
      </c>
      <c r="Q646" s="26" t="str">
        <f aca="false">TEXT(M646,"MMMM")</f>
        <v>noviembre</v>
      </c>
    </row>
    <row r="647" customFormat="false" ht="14.25" hidden="false" customHeight="false" outlineLevel="0" collapsed="false">
      <c r="A647" s="1" t="n">
        <v>10</v>
      </c>
      <c r="B647" s="1" t="s">
        <v>1105</v>
      </c>
      <c r="C647" s="1" t="s">
        <v>38</v>
      </c>
      <c r="D647" s="1" t="s">
        <v>847</v>
      </c>
      <c r="E647" s="2" t="n">
        <v>444489802</v>
      </c>
      <c r="F647" s="21" t="s">
        <v>847</v>
      </c>
      <c r="G647" s="1" t="n">
        <v>444493135</v>
      </c>
      <c r="H647" s="3" t="n">
        <v>4660</v>
      </c>
      <c r="I647" s="1" t="n">
        <v>2800</v>
      </c>
      <c r="J647" s="1" t="n">
        <v>0</v>
      </c>
      <c r="K647" s="1" t="n">
        <v>1860</v>
      </c>
      <c r="M647" s="5" t="s">
        <v>1104</v>
      </c>
      <c r="N647" s="33" t="n">
        <f aca="false">DAY(M647)</f>
        <v>12</v>
      </c>
      <c r="O647" s="33" t="str">
        <f aca="false">TEXT(M647,"DDDD")</f>
        <v>miércoles</v>
      </c>
      <c r="P647" s="6" t="n">
        <f aca="false">MONTH(M647)</f>
        <v>11</v>
      </c>
      <c r="Q647" s="26" t="str">
        <f aca="false">TEXT(M647,"MMMM")</f>
        <v>noviembre</v>
      </c>
    </row>
    <row r="648" customFormat="false" ht="14.25" hidden="false" customHeight="false" outlineLevel="0" collapsed="false">
      <c r="A648" s="1" t="n">
        <v>9</v>
      </c>
      <c r="B648" s="1" t="s">
        <v>1106</v>
      </c>
      <c r="C648" s="1" t="s">
        <v>38</v>
      </c>
      <c r="D648" s="1" t="s">
        <v>512</v>
      </c>
      <c r="E648" s="2" t="n">
        <v>444481967</v>
      </c>
      <c r="H648" s="3" t="n">
        <v>2840</v>
      </c>
      <c r="I648" s="1" t="n">
        <v>1200</v>
      </c>
      <c r="J648" s="1" t="n">
        <v>0</v>
      </c>
      <c r="K648" s="1" t="n">
        <v>1640</v>
      </c>
      <c r="M648" s="5" t="s">
        <v>1104</v>
      </c>
      <c r="N648" s="33" t="n">
        <f aca="false">DAY(M648)</f>
        <v>12</v>
      </c>
      <c r="O648" s="33" t="str">
        <f aca="false">TEXT(M648,"DDDD")</f>
        <v>miércoles</v>
      </c>
      <c r="P648" s="6" t="n">
        <f aca="false">MONTH(M648)</f>
        <v>11</v>
      </c>
      <c r="Q648" s="26" t="str">
        <f aca="false">TEXT(M648,"MMMM")</f>
        <v>noviembre</v>
      </c>
    </row>
    <row r="649" customFormat="false" ht="14.25" hidden="false" customHeight="false" outlineLevel="0" collapsed="false">
      <c r="A649" s="1" t="n">
        <v>9</v>
      </c>
      <c r="B649" s="1" t="s">
        <v>1107</v>
      </c>
      <c r="C649" s="1" t="s">
        <v>38</v>
      </c>
      <c r="D649" s="1" t="s">
        <v>1108</v>
      </c>
      <c r="E649" s="2" t="n">
        <v>444477425</v>
      </c>
      <c r="H649" s="3" t="n">
        <v>3380</v>
      </c>
      <c r="I649" s="1" t="n">
        <v>1300</v>
      </c>
      <c r="J649" s="1" t="n">
        <v>0</v>
      </c>
      <c r="K649" s="1" t="n">
        <v>2080</v>
      </c>
      <c r="M649" s="5" t="s">
        <v>1104</v>
      </c>
      <c r="N649" s="33" t="n">
        <f aca="false">DAY(M649)</f>
        <v>12</v>
      </c>
      <c r="O649" s="33" t="str">
        <f aca="false">TEXT(M649,"DDDD")</f>
        <v>miércoles</v>
      </c>
      <c r="P649" s="6" t="n">
        <f aca="false">MONTH(M649)</f>
        <v>11</v>
      </c>
      <c r="Q649" s="26" t="str">
        <f aca="false">TEXT(M649,"MMMM")</f>
        <v>noviembre</v>
      </c>
    </row>
    <row r="650" customFormat="false" ht="14.25" hidden="false" customHeight="false" outlineLevel="0" collapsed="false">
      <c r="A650" s="1" t="n">
        <v>8</v>
      </c>
      <c r="B650" s="1" t="s">
        <v>1109</v>
      </c>
      <c r="C650" s="1" t="s">
        <v>140</v>
      </c>
      <c r="D650" s="1" t="s">
        <v>55</v>
      </c>
      <c r="E650" s="2" t="n">
        <v>444475089</v>
      </c>
      <c r="H650" s="3" t="n">
        <v>1550</v>
      </c>
      <c r="I650" s="1" t="n">
        <v>1200</v>
      </c>
      <c r="J650" s="1" t="n">
        <v>0</v>
      </c>
      <c r="K650" s="1" t="n">
        <v>350</v>
      </c>
      <c r="M650" s="5" t="s">
        <v>1104</v>
      </c>
      <c r="N650" s="33" t="n">
        <f aca="false">DAY(M650)</f>
        <v>12</v>
      </c>
      <c r="O650" s="33" t="str">
        <f aca="false">TEXT(M650,"DDDD")</f>
        <v>miércoles</v>
      </c>
      <c r="P650" s="6" t="n">
        <f aca="false">MONTH(M650)</f>
        <v>11</v>
      </c>
      <c r="Q650" s="26" t="str">
        <f aca="false">TEXT(M650,"MMMM")</f>
        <v>noviembre</v>
      </c>
    </row>
    <row r="651" customFormat="false" ht="14.25" hidden="false" customHeight="false" outlineLevel="0" collapsed="false">
      <c r="A651" s="1" t="n">
        <v>8</v>
      </c>
      <c r="B651" s="1" t="s">
        <v>1110</v>
      </c>
      <c r="C651" s="1" t="s">
        <v>38</v>
      </c>
      <c r="D651" s="1" t="s">
        <v>274</v>
      </c>
      <c r="E651" s="2" t="n">
        <v>444468892</v>
      </c>
      <c r="H651" s="3" t="n">
        <v>1200</v>
      </c>
      <c r="I651" s="1" t="n">
        <v>1200</v>
      </c>
      <c r="J651" s="1" t="n">
        <v>0</v>
      </c>
      <c r="K651" s="1" t="n">
        <v>0</v>
      </c>
      <c r="M651" s="5" t="s">
        <v>1104</v>
      </c>
      <c r="N651" s="33" t="n">
        <f aca="false">DAY(M651)</f>
        <v>12</v>
      </c>
      <c r="O651" s="33" t="str">
        <f aca="false">TEXT(M651,"DDDD")</f>
        <v>miércoles</v>
      </c>
      <c r="P651" s="6" t="n">
        <f aca="false">MONTH(M651)</f>
        <v>11</v>
      </c>
      <c r="Q651" s="26" t="str">
        <f aca="false">TEXT(M651,"MMMM")</f>
        <v>noviembre</v>
      </c>
    </row>
    <row r="652" customFormat="false" ht="14.25" hidden="false" customHeight="false" outlineLevel="0" collapsed="false">
      <c r="A652" s="1" t="n">
        <v>7</v>
      </c>
      <c r="B652" s="1" t="s">
        <v>1111</v>
      </c>
      <c r="C652" s="1" t="s">
        <v>38</v>
      </c>
      <c r="D652" s="1" t="s">
        <v>928</v>
      </c>
      <c r="E652" s="2" t="n">
        <v>444463998</v>
      </c>
      <c r="F652" s="21" t="s">
        <v>928</v>
      </c>
      <c r="G652" s="1" t="n">
        <v>444459011</v>
      </c>
      <c r="H652" s="3" t="n">
        <v>2620</v>
      </c>
      <c r="I652" s="1" t="n">
        <v>1800</v>
      </c>
      <c r="J652" s="1" t="n">
        <v>0</v>
      </c>
      <c r="K652" s="1" t="n">
        <v>820</v>
      </c>
      <c r="M652" s="5" t="s">
        <v>1104</v>
      </c>
      <c r="N652" s="33" t="n">
        <f aca="false">DAY(M652)</f>
        <v>12</v>
      </c>
      <c r="O652" s="33" t="str">
        <f aca="false">TEXT(M652,"DDDD")</f>
        <v>miércoles</v>
      </c>
      <c r="P652" s="6" t="n">
        <f aca="false">MONTH(M652)</f>
        <v>11</v>
      </c>
      <c r="Q652" s="26" t="str">
        <f aca="false">TEXT(M652,"MMMM")</f>
        <v>noviembre</v>
      </c>
    </row>
    <row r="653" customFormat="false" ht="14.25" hidden="false" customHeight="false" outlineLevel="0" collapsed="false">
      <c r="A653" s="1" t="n">
        <v>7</v>
      </c>
      <c r="B653" s="1" t="s">
        <v>1112</v>
      </c>
      <c r="C653" s="1" t="s">
        <v>38</v>
      </c>
      <c r="D653" s="1" t="s">
        <v>1113</v>
      </c>
      <c r="E653" s="2" t="n">
        <v>444461948</v>
      </c>
      <c r="H653" s="3" t="n">
        <v>1200</v>
      </c>
      <c r="I653" s="1" t="n">
        <v>1200</v>
      </c>
      <c r="J653" s="1" t="n">
        <v>0</v>
      </c>
      <c r="K653" s="1" t="n">
        <v>0</v>
      </c>
      <c r="M653" s="5" t="s">
        <v>1104</v>
      </c>
      <c r="N653" s="33" t="n">
        <f aca="false">DAY(M653)</f>
        <v>12</v>
      </c>
      <c r="O653" s="33" t="str">
        <f aca="false">TEXT(M653,"DDDD")</f>
        <v>miércoles</v>
      </c>
      <c r="P653" s="6" t="n">
        <f aca="false">MONTH(M653)</f>
        <v>11</v>
      </c>
      <c r="Q653" s="26" t="str">
        <f aca="false">TEXT(M653,"MMMM")</f>
        <v>noviembre</v>
      </c>
    </row>
    <row r="654" customFormat="false" ht="14.25" hidden="false" customHeight="false" outlineLevel="0" collapsed="false">
      <c r="A654" s="1" t="n">
        <v>12</v>
      </c>
      <c r="B654" s="1" t="s">
        <v>1114</v>
      </c>
      <c r="C654" s="1" t="s">
        <v>20</v>
      </c>
      <c r="D654" s="1" t="s">
        <v>1115</v>
      </c>
      <c r="E654" s="2" t="n">
        <v>444627356</v>
      </c>
      <c r="F654" s="21" t="s">
        <v>825</v>
      </c>
      <c r="G654" s="1" t="n">
        <v>444627455</v>
      </c>
      <c r="H654" s="3" t="n">
        <v>2840</v>
      </c>
      <c r="I654" s="1" t="n">
        <v>2100</v>
      </c>
      <c r="J654" s="1" t="n">
        <v>0</v>
      </c>
      <c r="K654" s="1" t="n">
        <v>740</v>
      </c>
      <c r="M654" s="5" t="s">
        <v>1116</v>
      </c>
      <c r="N654" s="33" t="n">
        <f aca="false">DAY(M654)</f>
        <v>13</v>
      </c>
      <c r="O654" s="33" t="str">
        <f aca="false">TEXT(M654,"DDDD")</f>
        <v>jueves</v>
      </c>
      <c r="P654" s="6" t="n">
        <f aca="false">MONTH(M654)</f>
        <v>11</v>
      </c>
      <c r="Q654" s="26" t="str">
        <f aca="false">TEXT(M654,"MMMM")</f>
        <v>noviembre</v>
      </c>
    </row>
    <row r="655" customFormat="false" ht="14.25" hidden="false" customHeight="false" outlineLevel="0" collapsed="false">
      <c r="A655" s="1" t="n">
        <v>12</v>
      </c>
      <c r="B655" s="1" t="s">
        <v>1117</v>
      </c>
      <c r="C655" s="1" t="s">
        <v>20</v>
      </c>
      <c r="D655" s="1" t="s">
        <v>82</v>
      </c>
      <c r="E655" s="2" t="n">
        <v>444620954</v>
      </c>
      <c r="F655" s="21" t="s">
        <v>82</v>
      </c>
      <c r="G655" s="1" t="n">
        <v>444622306</v>
      </c>
      <c r="H655" s="3" t="n">
        <v>1800</v>
      </c>
      <c r="I655" s="1" t="n">
        <v>1800</v>
      </c>
      <c r="J655" s="1" t="n">
        <v>0</v>
      </c>
      <c r="K655" s="1" t="n">
        <v>0</v>
      </c>
      <c r="M655" s="5" t="s">
        <v>1116</v>
      </c>
      <c r="N655" s="33" t="n">
        <f aca="false">DAY(M655)</f>
        <v>13</v>
      </c>
      <c r="O655" s="33" t="str">
        <f aca="false">TEXT(M655,"DDDD")</f>
        <v>jueves</v>
      </c>
      <c r="P655" s="6" t="n">
        <f aca="false">MONTH(M655)</f>
        <v>11</v>
      </c>
      <c r="Q655" s="26" t="str">
        <f aca="false">TEXT(M655,"MMMM")</f>
        <v>noviembre</v>
      </c>
    </row>
    <row r="656" customFormat="false" ht="14.25" hidden="false" customHeight="false" outlineLevel="0" collapsed="false">
      <c r="A656" s="1" t="n">
        <v>12</v>
      </c>
      <c r="B656" s="1" t="s">
        <v>1118</v>
      </c>
      <c r="C656" s="1" t="s">
        <v>20</v>
      </c>
      <c r="D656" s="1" t="s">
        <v>1119</v>
      </c>
      <c r="E656" s="2" t="n">
        <v>444615926</v>
      </c>
      <c r="H656" s="3" t="n">
        <v>1600</v>
      </c>
      <c r="I656" s="1" t="n">
        <v>1600</v>
      </c>
      <c r="J656" s="1" t="n">
        <v>0</v>
      </c>
      <c r="K656" s="1" t="n">
        <v>0</v>
      </c>
      <c r="M656" s="5" t="s">
        <v>1116</v>
      </c>
      <c r="N656" s="33" t="n">
        <f aca="false">DAY(M656)</f>
        <v>13</v>
      </c>
      <c r="O656" s="33" t="str">
        <f aca="false">TEXT(M656,"DDDD")</f>
        <v>jueves</v>
      </c>
      <c r="P656" s="6" t="n">
        <f aca="false">MONTH(M656)</f>
        <v>11</v>
      </c>
      <c r="Q656" s="26" t="str">
        <f aca="false">TEXT(M656,"MMMM")</f>
        <v>noviembre</v>
      </c>
    </row>
    <row r="657" customFormat="false" ht="14.25" hidden="false" customHeight="false" outlineLevel="0" collapsed="false">
      <c r="A657" s="1" t="n">
        <v>11</v>
      </c>
      <c r="B657" s="1" t="s">
        <v>1120</v>
      </c>
      <c r="C657" s="1" t="s">
        <v>20</v>
      </c>
      <c r="D657" s="1" t="s">
        <v>468</v>
      </c>
      <c r="E657" s="2" t="n">
        <v>444609818</v>
      </c>
      <c r="H657" s="3" t="n">
        <v>1700</v>
      </c>
      <c r="I657" s="1" t="n">
        <v>1200</v>
      </c>
      <c r="J657" s="1" t="n">
        <v>0</v>
      </c>
      <c r="K657" s="1" t="n">
        <v>500</v>
      </c>
      <c r="M657" s="5" t="s">
        <v>1116</v>
      </c>
      <c r="N657" s="33" t="n">
        <f aca="false">DAY(M657)</f>
        <v>13</v>
      </c>
      <c r="O657" s="33" t="str">
        <f aca="false">TEXT(M657,"DDDD")</f>
        <v>jueves</v>
      </c>
      <c r="P657" s="6" t="n">
        <f aca="false">MONTH(M657)</f>
        <v>11</v>
      </c>
      <c r="Q657" s="26" t="str">
        <f aca="false">TEXT(M657,"MMMM")</f>
        <v>noviembre</v>
      </c>
    </row>
    <row r="658" customFormat="false" ht="14.25" hidden="false" customHeight="false" outlineLevel="0" collapsed="false">
      <c r="A658" s="1" t="n">
        <v>11</v>
      </c>
      <c r="B658" s="1" t="s">
        <v>1121</v>
      </c>
      <c r="C658" s="1" t="s">
        <v>20</v>
      </c>
      <c r="D658" s="1" t="s">
        <v>61</v>
      </c>
      <c r="E658" s="2" t="n">
        <v>444600529</v>
      </c>
      <c r="H658" s="3" t="n">
        <v>2300</v>
      </c>
      <c r="I658" s="1" t="n">
        <v>1200</v>
      </c>
      <c r="J658" s="1" t="n">
        <v>0</v>
      </c>
      <c r="K658" s="1" t="n">
        <v>1100</v>
      </c>
      <c r="M658" s="5" t="s">
        <v>1116</v>
      </c>
      <c r="N658" s="33" t="n">
        <f aca="false">DAY(M658)</f>
        <v>13</v>
      </c>
      <c r="O658" s="33" t="str">
        <f aca="false">TEXT(M658,"DDDD")</f>
        <v>jueves</v>
      </c>
      <c r="P658" s="6" t="n">
        <f aca="false">MONTH(M658)</f>
        <v>11</v>
      </c>
      <c r="Q658" s="26" t="str">
        <f aca="false">TEXT(M658,"MMMM")</f>
        <v>noviembre</v>
      </c>
    </row>
    <row r="659" customFormat="false" ht="14.25" hidden="false" customHeight="false" outlineLevel="0" collapsed="false">
      <c r="A659" s="1" t="n">
        <v>11</v>
      </c>
      <c r="B659" s="1" t="s">
        <v>1122</v>
      </c>
      <c r="C659" s="1" t="s">
        <v>20</v>
      </c>
      <c r="D659" s="1" t="s">
        <v>1123</v>
      </c>
      <c r="E659" s="2" t="n">
        <v>444590619</v>
      </c>
      <c r="H659" s="3" t="n">
        <v>3770</v>
      </c>
      <c r="I659" s="1" t="n">
        <v>1200</v>
      </c>
      <c r="J659" s="1" t="n">
        <v>0</v>
      </c>
      <c r="K659" s="1" t="n">
        <v>2570</v>
      </c>
      <c r="M659" s="5" t="s">
        <v>1116</v>
      </c>
      <c r="N659" s="33" t="n">
        <f aca="false">DAY(M659)</f>
        <v>13</v>
      </c>
      <c r="O659" s="33" t="str">
        <f aca="false">TEXT(M659,"DDDD")</f>
        <v>jueves</v>
      </c>
      <c r="P659" s="6" t="n">
        <f aca="false">MONTH(M659)</f>
        <v>11</v>
      </c>
      <c r="Q659" s="26" t="str">
        <f aca="false">TEXT(M659,"MMMM")</f>
        <v>noviembre</v>
      </c>
    </row>
    <row r="660" customFormat="false" ht="14.25" hidden="false" customHeight="false" outlineLevel="0" collapsed="false">
      <c r="A660" s="1" t="n">
        <v>11</v>
      </c>
      <c r="B660" s="1" t="s">
        <v>1124</v>
      </c>
      <c r="C660" s="1" t="s">
        <v>20</v>
      </c>
      <c r="D660" s="1" t="s">
        <v>134</v>
      </c>
      <c r="E660" s="2" t="n">
        <v>444589958</v>
      </c>
      <c r="H660" s="3" t="n">
        <v>2860</v>
      </c>
      <c r="I660" s="1" t="n">
        <v>1200</v>
      </c>
      <c r="J660" s="1" t="n">
        <v>0</v>
      </c>
      <c r="K660" s="1" t="n">
        <v>1660</v>
      </c>
      <c r="M660" s="5" t="s">
        <v>1116</v>
      </c>
      <c r="N660" s="33" t="n">
        <f aca="false">DAY(M660)</f>
        <v>13</v>
      </c>
      <c r="O660" s="33" t="str">
        <f aca="false">TEXT(M660,"DDDD")</f>
        <v>jueves</v>
      </c>
      <c r="P660" s="6" t="n">
        <f aca="false">MONTH(M660)</f>
        <v>11</v>
      </c>
      <c r="Q660" s="26" t="str">
        <f aca="false">TEXT(M660,"MMMM")</f>
        <v>noviembre</v>
      </c>
    </row>
    <row r="661" customFormat="false" ht="14.25" hidden="false" customHeight="false" outlineLevel="0" collapsed="false">
      <c r="A661" s="1" t="n">
        <v>10</v>
      </c>
      <c r="B661" s="1" t="s">
        <v>1125</v>
      </c>
      <c r="C661" s="1" t="s">
        <v>38</v>
      </c>
      <c r="D661" s="1" t="s">
        <v>1126</v>
      </c>
      <c r="E661" s="2" t="n">
        <v>444585112</v>
      </c>
      <c r="H661" s="3" t="n">
        <v>3260</v>
      </c>
      <c r="I661" s="1" t="n">
        <v>1800</v>
      </c>
      <c r="J661" s="1" t="n">
        <v>0</v>
      </c>
      <c r="K661" s="1" t="n">
        <v>1460</v>
      </c>
      <c r="M661" s="5" t="s">
        <v>1116</v>
      </c>
      <c r="N661" s="33" t="n">
        <f aca="false">DAY(M661)</f>
        <v>13</v>
      </c>
      <c r="O661" s="33" t="str">
        <f aca="false">TEXT(M661,"DDDD")</f>
        <v>jueves</v>
      </c>
      <c r="P661" s="6" t="n">
        <f aca="false">MONTH(M661)</f>
        <v>11</v>
      </c>
      <c r="Q661" s="26" t="str">
        <f aca="false">TEXT(M661,"MMMM")</f>
        <v>noviembre</v>
      </c>
      <c r="R661" s="21" t="s">
        <v>1126</v>
      </c>
      <c r="S661" s="1" t="n">
        <v>30891.5</v>
      </c>
    </row>
    <row r="662" customFormat="false" ht="14.25" hidden="false" customHeight="false" outlineLevel="0" collapsed="false">
      <c r="A662" s="1" t="n">
        <v>8</v>
      </c>
      <c r="B662" s="1" t="s">
        <v>1127</v>
      </c>
      <c r="C662" s="1" t="s">
        <v>38</v>
      </c>
      <c r="D662" s="1" t="s">
        <v>1128</v>
      </c>
      <c r="E662" s="2" t="n">
        <v>444565805</v>
      </c>
      <c r="H662" s="3" t="n">
        <v>2990</v>
      </c>
      <c r="I662" s="1" t="n">
        <v>1950</v>
      </c>
      <c r="J662" s="1" t="n">
        <v>0</v>
      </c>
      <c r="K662" s="1" t="n">
        <v>1040</v>
      </c>
      <c r="M662" s="5" t="s">
        <v>1116</v>
      </c>
      <c r="N662" s="33" t="n">
        <f aca="false">DAY(M662)</f>
        <v>13</v>
      </c>
      <c r="O662" s="33" t="str">
        <f aca="false">TEXT(M662,"DDDD")</f>
        <v>jueves</v>
      </c>
      <c r="P662" s="6" t="n">
        <f aca="false">MONTH(M662)</f>
        <v>11</v>
      </c>
      <c r="Q662" s="26" t="str">
        <f aca="false">TEXT(M662,"MMMM")</f>
        <v>noviembre</v>
      </c>
    </row>
    <row r="663" customFormat="false" ht="14.25" hidden="false" customHeight="false" outlineLevel="0" collapsed="false">
      <c r="A663" s="1" t="n">
        <v>8</v>
      </c>
      <c r="B663" s="1" t="s">
        <v>1129</v>
      </c>
      <c r="C663" s="1" t="s">
        <v>20</v>
      </c>
      <c r="D663" s="1" t="s">
        <v>1130</v>
      </c>
      <c r="E663" s="2" t="n">
        <v>444561253</v>
      </c>
      <c r="H663" s="3" t="n">
        <v>2940</v>
      </c>
      <c r="I663" s="1" t="n">
        <v>1200</v>
      </c>
      <c r="J663" s="1" t="n">
        <v>0</v>
      </c>
      <c r="K663" s="1" t="n">
        <v>1740</v>
      </c>
      <c r="M663" s="5" t="s">
        <v>1116</v>
      </c>
      <c r="N663" s="33" t="n">
        <f aca="false">DAY(M663)</f>
        <v>13</v>
      </c>
      <c r="O663" s="33" t="str">
        <f aca="false">TEXT(M663,"DDDD")</f>
        <v>jueves</v>
      </c>
      <c r="P663" s="6" t="n">
        <f aca="false">MONTH(M663)</f>
        <v>11</v>
      </c>
      <c r="Q663" s="26" t="str">
        <f aca="false">TEXT(M663,"MMMM")</f>
        <v>noviembre</v>
      </c>
    </row>
    <row r="664" customFormat="false" ht="14.25" hidden="false" customHeight="false" outlineLevel="0" collapsed="false">
      <c r="A664" s="1" t="n">
        <v>8</v>
      </c>
      <c r="B664" s="1" t="s">
        <v>1131</v>
      </c>
      <c r="C664" s="1" t="s">
        <v>20</v>
      </c>
      <c r="D664" s="1" t="s">
        <v>1132</v>
      </c>
      <c r="E664" s="2" t="n">
        <v>444557047</v>
      </c>
      <c r="H664" s="3" t="n">
        <v>2380</v>
      </c>
      <c r="I664" s="1" t="n">
        <v>1200</v>
      </c>
      <c r="J664" s="1" t="n">
        <v>0</v>
      </c>
      <c r="K664" s="1" t="n">
        <v>1180</v>
      </c>
      <c r="M664" s="5" t="s">
        <v>1116</v>
      </c>
      <c r="N664" s="33" t="n">
        <f aca="false">DAY(M664)</f>
        <v>13</v>
      </c>
      <c r="O664" s="33" t="str">
        <f aca="false">TEXT(M664,"DDDD")</f>
        <v>jueves</v>
      </c>
      <c r="P664" s="6" t="n">
        <f aca="false">MONTH(M664)</f>
        <v>11</v>
      </c>
      <c r="Q664" s="26" t="str">
        <f aca="false">TEXT(M664,"MMMM")</f>
        <v>noviembre</v>
      </c>
    </row>
    <row r="665" customFormat="false" ht="14.25" hidden="false" customHeight="false" outlineLevel="0" collapsed="false">
      <c r="A665" s="1" t="n">
        <v>8</v>
      </c>
      <c r="B665" s="1" t="s">
        <v>1133</v>
      </c>
      <c r="C665" s="1" t="s">
        <v>20</v>
      </c>
      <c r="D665" s="1" t="s">
        <v>1134</v>
      </c>
      <c r="E665" s="2" t="n">
        <v>444552901</v>
      </c>
      <c r="H665" s="3" t="n">
        <v>3000</v>
      </c>
      <c r="I665" s="1" t="n">
        <v>1200</v>
      </c>
      <c r="J665" s="1" t="n">
        <v>0</v>
      </c>
      <c r="K665" s="1" t="n">
        <v>1800</v>
      </c>
      <c r="M665" s="5" t="s">
        <v>1116</v>
      </c>
      <c r="N665" s="33" t="n">
        <f aca="false">DAY(M665)</f>
        <v>13</v>
      </c>
      <c r="O665" s="33" t="str">
        <f aca="false">TEXT(M665,"DDDD")</f>
        <v>jueves</v>
      </c>
      <c r="P665" s="6" t="n">
        <f aca="false">MONTH(M665)</f>
        <v>11</v>
      </c>
      <c r="Q665" s="26" t="str">
        <f aca="false">TEXT(M665,"MMMM")</f>
        <v>noviembre</v>
      </c>
    </row>
    <row r="666" customFormat="false" ht="14.25" hidden="false" customHeight="false" outlineLevel="0" collapsed="false">
      <c r="A666" s="1" t="n">
        <v>8</v>
      </c>
      <c r="B666" s="1" t="s">
        <v>1135</v>
      </c>
      <c r="C666" s="1" t="s">
        <v>20</v>
      </c>
      <c r="D666" s="1" t="s">
        <v>1136</v>
      </c>
      <c r="E666" s="2" t="n">
        <v>444548670</v>
      </c>
      <c r="H666" s="3" t="n">
        <v>2880</v>
      </c>
      <c r="I666" s="1" t="n">
        <v>1600</v>
      </c>
      <c r="J666" s="1" t="n">
        <v>0</v>
      </c>
      <c r="K666" s="1" t="n">
        <v>1280</v>
      </c>
      <c r="M666" s="5" t="s">
        <v>1116</v>
      </c>
      <c r="N666" s="33" t="n">
        <f aca="false">DAY(M666)</f>
        <v>13</v>
      </c>
      <c r="O666" s="33" t="str">
        <f aca="false">TEXT(M666,"DDDD")</f>
        <v>jueves</v>
      </c>
      <c r="P666" s="6" t="n">
        <f aca="false">MONTH(M666)</f>
        <v>11</v>
      </c>
      <c r="Q666" s="26" t="str">
        <f aca="false">TEXT(M666,"MMMM")</f>
        <v>noviembre</v>
      </c>
    </row>
    <row r="667" customFormat="false" ht="14.25" hidden="false" customHeight="false" outlineLevel="0" collapsed="false">
      <c r="A667" s="1" t="n">
        <v>7</v>
      </c>
      <c r="B667" s="1" t="s">
        <v>1137</v>
      </c>
      <c r="C667" s="1" t="s">
        <v>20</v>
      </c>
      <c r="D667" s="1" t="s">
        <v>1079</v>
      </c>
      <c r="E667" s="2" t="n">
        <v>444546464</v>
      </c>
      <c r="H667" s="3" t="n">
        <v>2660</v>
      </c>
      <c r="I667" s="1" t="n">
        <v>1200</v>
      </c>
      <c r="J667" s="1" t="n">
        <v>0</v>
      </c>
      <c r="K667" s="1" t="n">
        <v>1460</v>
      </c>
      <c r="M667" s="5" t="s">
        <v>1116</v>
      </c>
      <c r="N667" s="33" t="n">
        <f aca="false">DAY(M667)</f>
        <v>13</v>
      </c>
      <c r="O667" s="33" t="str">
        <f aca="false">TEXT(M667,"DDDD")</f>
        <v>jueves</v>
      </c>
      <c r="P667" s="6" t="n">
        <f aca="false">MONTH(M667)</f>
        <v>11</v>
      </c>
      <c r="Q667" s="26" t="str">
        <f aca="false">TEXT(M667,"MMMM")</f>
        <v>noviembre</v>
      </c>
      <c r="R667" s="21" t="s">
        <v>1079</v>
      </c>
      <c r="S667" s="1" t="n">
        <v>15212</v>
      </c>
    </row>
    <row r="668" customFormat="false" ht="14.25" hidden="false" customHeight="false" outlineLevel="0" collapsed="false">
      <c r="A668" s="1" t="n">
        <v>7</v>
      </c>
      <c r="B668" s="1" t="s">
        <v>1138</v>
      </c>
      <c r="C668" s="1" t="s">
        <v>20</v>
      </c>
      <c r="D668" s="1" t="s">
        <v>1139</v>
      </c>
      <c r="E668" s="2" t="n">
        <v>444544876</v>
      </c>
      <c r="H668" s="3" t="n">
        <v>2680</v>
      </c>
      <c r="I668" s="1" t="n">
        <v>1200</v>
      </c>
      <c r="J668" s="1" t="n">
        <v>0</v>
      </c>
      <c r="K668" s="1" t="n">
        <v>1480</v>
      </c>
      <c r="M668" s="5" t="s">
        <v>1116</v>
      </c>
      <c r="N668" s="33" t="n">
        <f aca="false">DAY(M668)</f>
        <v>13</v>
      </c>
      <c r="O668" s="33" t="str">
        <f aca="false">TEXT(M668,"DDDD")</f>
        <v>jueves</v>
      </c>
      <c r="P668" s="6" t="n">
        <f aca="false">MONTH(M668)</f>
        <v>11</v>
      </c>
      <c r="Q668" s="26" t="str">
        <f aca="false">TEXT(M668,"MMMM")</f>
        <v>noviembre</v>
      </c>
    </row>
    <row r="669" customFormat="false" ht="14.25" hidden="false" customHeight="false" outlineLevel="0" collapsed="false">
      <c r="A669" s="1" t="n">
        <v>7</v>
      </c>
      <c r="B669" s="1" t="s">
        <v>1140</v>
      </c>
      <c r="C669" s="1" t="s">
        <v>20</v>
      </c>
      <c r="D669" s="1" t="s">
        <v>1141</v>
      </c>
      <c r="E669" s="2" t="n">
        <v>444543203</v>
      </c>
      <c r="H669" s="3" t="n">
        <v>2300</v>
      </c>
      <c r="I669" s="1" t="n">
        <v>1200</v>
      </c>
      <c r="J669" s="1" t="n">
        <v>0</v>
      </c>
      <c r="K669" s="1" t="n">
        <v>1100</v>
      </c>
      <c r="M669" s="5" t="s">
        <v>1116</v>
      </c>
      <c r="N669" s="33" t="n">
        <f aca="false">DAY(M669)</f>
        <v>13</v>
      </c>
      <c r="O669" s="33" t="str">
        <f aca="false">TEXT(M669,"DDDD")</f>
        <v>jueves</v>
      </c>
      <c r="P669" s="6" t="n">
        <f aca="false">MONTH(M669)</f>
        <v>11</v>
      </c>
      <c r="Q669" s="26" t="str">
        <f aca="false">TEXT(M669,"MMMM")</f>
        <v>noviembre</v>
      </c>
    </row>
    <row r="670" customFormat="false" ht="14.25" hidden="false" customHeight="false" outlineLevel="0" collapsed="false">
      <c r="A670" s="1" t="n">
        <v>6</v>
      </c>
      <c r="B670" s="1" t="s">
        <v>1142</v>
      </c>
      <c r="C670" s="1" t="s">
        <v>20</v>
      </c>
      <c r="D670" s="1" t="s">
        <v>1132</v>
      </c>
      <c r="E670" s="2" t="n">
        <v>444539004</v>
      </c>
      <c r="H670" s="3" t="n">
        <v>1200</v>
      </c>
      <c r="I670" s="1" t="n">
        <v>1200</v>
      </c>
      <c r="J670" s="1" t="n">
        <v>0</v>
      </c>
      <c r="K670" s="1" t="n">
        <v>0</v>
      </c>
      <c r="M670" s="5" t="s">
        <v>1116</v>
      </c>
      <c r="N670" s="33" t="n">
        <f aca="false">DAY(M670)</f>
        <v>13</v>
      </c>
      <c r="O670" s="33" t="str">
        <f aca="false">TEXT(M670,"DDDD")</f>
        <v>jueves</v>
      </c>
      <c r="P670" s="6" t="n">
        <f aca="false">MONTH(M670)</f>
        <v>11</v>
      </c>
      <c r="Q670" s="26" t="str">
        <f aca="false">TEXT(M670,"MMMM")</f>
        <v>noviembre</v>
      </c>
    </row>
    <row r="671" customFormat="false" ht="14.25" hidden="false" customHeight="false" outlineLevel="0" collapsed="false">
      <c r="A671" s="1" t="n">
        <v>5</v>
      </c>
      <c r="B671" s="1" t="s">
        <v>1143</v>
      </c>
      <c r="C671" s="1" t="s">
        <v>38</v>
      </c>
      <c r="D671" s="1" t="s">
        <v>847</v>
      </c>
      <c r="E671" s="2" t="n">
        <v>444533209</v>
      </c>
      <c r="H671" s="3" t="n">
        <v>2300</v>
      </c>
      <c r="I671" s="1" t="n">
        <v>2300</v>
      </c>
      <c r="J671" s="1" t="n">
        <v>0</v>
      </c>
      <c r="K671" s="1" t="n">
        <v>0</v>
      </c>
      <c r="M671" s="5" t="s">
        <v>1116</v>
      </c>
      <c r="N671" s="33" t="n">
        <f aca="false">DAY(M671)</f>
        <v>13</v>
      </c>
      <c r="O671" s="33" t="str">
        <f aca="false">TEXT(M671,"DDDD")</f>
        <v>jueves</v>
      </c>
      <c r="P671" s="6" t="n">
        <f aca="false">MONTH(M671)</f>
        <v>11</v>
      </c>
      <c r="Q671" s="26" t="str">
        <f aca="false">TEXT(M671,"MMMM")</f>
        <v>noviembre</v>
      </c>
    </row>
    <row r="672" customFormat="false" ht="14.25" hidden="false" customHeight="false" outlineLevel="0" collapsed="false">
      <c r="A672" s="1" t="n">
        <v>5</v>
      </c>
      <c r="B672" s="1" t="s">
        <v>1144</v>
      </c>
      <c r="C672" s="1" t="s">
        <v>38</v>
      </c>
      <c r="D672" s="1" t="s">
        <v>1145</v>
      </c>
      <c r="E672" s="2" t="n">
        <v>444530915</v>
      </c>
      <c r="F672" s="21" t="s">
        <v>1145</v>
      </c>
      <c r="G672" s="1" t="n">
        <v>444531012</v>
      </c>
      <c r="H672" s="3" t="n">
        <v>3710</v>
      </c>
      <c r="I672" s="1" t="n">
        <v>1800</v>
      </c>
      <c r="J672" s="1" t="n">
        <v>0</v>
      </c>
      <c r="K672" s="1" t="n">
        <v>1910</v>
      </c>
      <c r="M672" s="5" t="s">
        <v>1116</v>
      </c>
      <c r="N672" s="33" t="n">
        <f aca="false">DAY(M672)</f>
        <v>13</v>
      </c>
      <c r="O672" s="33" t="str">
        <f aca="false">TEXT(M672,"DDDD")</f>
        <v>jueves</v>
      </c>
      <c r="P672" s="6" t="n">
        <f aca="false">MONTH(M672)</f>
        <v>11</v>
      </c>
      <c r="Q672" s="26" t="str">
        <f aca="false">TEXT(M672,"MMMM")</f>
        <v>noviembre</v>
      </c>
    </row>
    <row r="673" customFormat="false" ht="14.25" hidden="false" customHeight="false" outlineLevel="0" collapsed="false">
      <c r="A673" s="1" t="n">
        <v>4</v>
      </c>
      <c r="B673" s="1" t="s">
        <v>1146</v>
      </c>
      <c r="C673" s="1" t="s">
        <v>20</v>
      </c>
      <c r="D673" s="1" t="s">
        <v>565</v>
      </c>
      <c r="E673" s="2" t="n">
        <v>444531601</v>
      </c>
      <c r="H673" s="3" t="n">
        <v>2500</v>
      </c>
      <c r="I673" s="1" t="n">
        <v>1200</v>
      </c>
      <c r="J673" s="1" t="n">
        <v>0</v>
      </c>
      <c r="K673" s="1" t="n">
        <v>1300</v>
      </c>
      <c r="M673" s="5" t="s">
        <v>1116</v>
      </c>
      <c r="N673" s="33" t="n">
        <f aca="false">DAY(M673)</f>
        <v>13</v>
      </c>
      <c r="O673" s="33" t="str">
        <f aca="false">TEXT(M673,"DDDD")</f>
        <v>jueves</v>
      </c>
      <c r="P673" s="6" t="n">
        <f aca="false">MONTH(M673)</f>
        <v>11</v>
      </c>
      <c r="Q673" s="26" t="str">
        <f aca="false">TEXT(M673,"MMMM")</f>
        <v>noviembre</v>
      </c>
    </row>
    <row r="674" customFormat="false" ht="14.25" hidden="false" customHeight="false" outlineLevel="0" collapsed="false">
      <c r="A674" s="1" t="n">
        <v>4</v>
      </c>
      <c r="B674" s="1" t="s">
        <v>1147</v>
      </c>
      <c r="C674" s="1" t="s">
        <v>38</v>
      </c>
      <c r="D674" s="1" t="s">
        <v>366</v>
      </c>
      <c r="E674" s="2" t="n">
        <v>444531249</v>
      </c>
      <c r="H674" s="3" t="n">
        <v>1900</v>
      </c>
      <c r="I674" s="1" t="n">
        <v>1900</v>
      </c>
      <c r="J674" s="1" t="n">
        <v>0</v>
      </c>
      <c r="K674" s="1" t="n">
        <v>0</v>
      </c>
      <c r="M674" s="5" t="s">
        <v>1116</v>
      </c>
      <c r="N674" s="33" t="n">
        <f aca="false">DAY(M674)</f>
        <v>13</v>
      </c>
      <c r="O674" s="33" t="str">
        <f aca="false">TEXT(M674,"DDDD")</f>
        <v>jueves</v>
      </c>
      <c r="P674" s="6" t="n">
        <f aca="false">MONTH(M674)</f>
        <v>11</v>
      </c>
      <c r="Q674" s="26" t="str">
        <f aca="false">TEXT(M674,"MMMM")</f>
        <v>noviembre</v>
      </c>
    </row>
    <row r="675" customFormat="false" ht="14.25" hidden="false" customHeight="false" outlineLevel="0" collapsed="false">
      <c r="A675" s="1" t="n">
        <v>4</v>
      </c>
      <c r="B675" s="1" t="s">
        <v>1148</v>
      </c>
      <c r="C675" s="1" t="s">
        <v>38</v>
      </c>
      <c r="D675" s="1" t="s">
        <v>366</v>
      </c>
      <c r="E675" s="2" t="n">
        <v>445065400</v>
      </c>
      <c r="H675" s="3" t="n">
        <v>1450</v>
      </c>
      <c r="I675" s="1" t="n">
        <v>1450</v>
      </c>
      <c r="J675" s="1" t="n">
        <v>0</v>
      </c>
      <c r="K675" s="1" t="n">
        <v>0</v>
      </c>
      <c r="M675" s="5" t="n">
        <v>45978</v>
      </c>
      <c r="N675" s="33" t="n">
        <f aca="false">DAY(M675)</f>
        <v>17</v>
      </c>
      <c r="O675" s="33" t="str">
        <f aca="false">TEXT(M675,"DDDD")</f>
        <v>lunes</v>
      </c>
      <c r="P675" s="6" t="n">
        <f aca="false">MONTH(M675)</f>
        <v>11</v>
      </c>
      <c r="Q675" s="26" t="str">
        <f aca="false">TEXT(M675,"MMMM")</f>
        <v>noviembre</v>
      </c>
    </row>
    <row r="676" customFormat="false" ht="14.25" hidden="false" customHeight="false" outlineLevel="0" collapsed="false">
      <c r="A676" s="1" t="n">
        <v>5</v>
      </c>
      <c r="B676" s="1" t="s">
        <v>1149</v>
      </c>
      <c r="C676" s="1" t="s">
        <v>38</v>
      </c>
      <c r="D676" s="1" t="s">
        <v>1150</v>
      </c>
      <c r="E676" s="2" t="n">
        <v>445065174</v>
      </c>
      <c r="H676" s="3" t="n">
        <v>2600</v>
      </c>
      <c r="I676" s="1" t="n">
        <v>2600</v>
      </c>
      <c r="J676" s="1" t="n">
        <v>0</v>
      </c>
      <c r="K676" s="1" t="n">
        <v>0</v>
      </c>
      <c r="M676" s="5" t="n">
        <v>45978</v>
      </c>
      <c r="N676" s="33" t="n">
        <f aca="false">DAY(M676)</f>
        <v>17</v>
      </c>
      <c r="O676" s="33" t="str">
        <f aca="false">TEXT(M676,"DDDD")</f>
        <v>lunes</v>
      </c>
      <c r="P676" s="6" t="n">
        <f aca="false">MONTH(M676)</f>
        <v>11</v>
      </c>
      <c r="Q676" s="26" t="str">
        <f aca="false">TEXT(M676,"MMMM")</f>
        <v>noviembre</v>
      </c>
    </row>
    <row r="677" customFormat="false" ht="14.25" hidden="false" customHeight="false" outlineLevel="0" collapsed="false">
      <c r="A677" s="1" t="n">
        <v>5</v>
      </c>
      <c r="B677" s="1" t="s">
        <v>1151</v>
      </c>
      <c r="C677" s="1" t="s">
        <v>20</v>
      </c>
      <c r="D677" s="1" t="s">
        <v>1152</v>
      </c>
      <c r="E677" s="2" t="n">
        <v>445066434</v>
      </c>
      <c r="H677" s="3" t="n">
        <v>1480</v>
      </c>
      <c r="I677" s="1" t="n">
        <v>1200</v>
      </c>
      <c r="J677" s="1" t="n">
        <v>0</v>
      </c>
      <c r="K677" s="1" t="n">
        <v>280</v>
      </c>
      <c r="M677" s="5" t="n">
        <v>45978</v>
      </c>
      <c r="N677" s="33" t="n">
        <f aca="false">DAY(M677)</f>
        <v>17</v>
      </c>
      <c r="O677" s="33" t="str">
        <f aca="false">TEXT(M677,"DDDD")</f>
        <v>lunes</v>
      </c>
      <c r="P677" s="6" t="n">
        <f aca="false">MONTH(M677)</f>
        <v>11</v>
      </c>
      <c r="Q677" s="26" t="str">
        <f aca="false">TEXT(M677,"MMMM")</f>
        <v>noviembre</v>
      </c>
    </row>
    <row r="678" customFormat="false" ht="14.25" hidden="false" customHeight="false" outlineLevel="0" collapsed="false">
      <c r="A678" s="1" t="n">
        <v>5</v>
      </c>
      <c r="B678" s="1" t="s">
        <v>1153</v>
      </c>
      <c r="C678" s="1" t="s">
        <v>20</v>
      </c>
      <c r="D678" s="1" t="s">
        <v>1154</v>
      </c>
      <c r="E678" s="2" t="n">
        <v>445066775</v>
      </c>
      <c r="H678" s="3" t="n">
        <v>1660</v>
      </c>
      <c r="I678" s="1" t="n">
        <v>1200</v>
      </c>
      <c r="J678" s="1" t="n">
        <v>0</v>
      </c>
      <c r="K678" s="1" t="n">
        <v>460</v>
      </c>
      <c r="M678" s="5" t="n">
        <v>45978</v>
      </c>
      <c r="N678" s="33" t="n">
        <f aca="false">DAY(M678)</f>
        <v>17</v>
      </c>
      <c r="O678" s="33" t="str">
        <f aca="false">TEXT(M678,"DDDD")</f>
        <v>lunes</v>
      </c>
      <c r="P678" s="6" t="n">
        <f aca="false">MONTH(M678)</f>
        <v>11</v>
      </c>
      <c r="Q678" s="26" t="str">
        <f aca="false">TEXT(M678,"MMMM")</f>
        <v>noviembre</v>
      </c>
      <c r="S678" s="1" t="n">
        <v>7890</v>
      </c>
    </row>
    <row r="679" customFormat="false" ht="14.25" hidden="false" customHeight="false" outlineLevel="0" collapsed="false">
      <c r="A679" s="1" t="n">
        <v>5</v>
      </c>
      <c r="B679" s="1" t="s">
        <v>1155</v>
      </c>
      <c r="C679" s="1" t="s">
        <v>20</v>
      </c>
      <c r="D679" s="1" t="s">
        <v>1152</v>
      </c>
      <c r="E679" s="2" t="n">
        <v>445067403</v>
      </c>
      <c r="H679" s="3" t="n">
        <v>2240</v>
      </c>
      <c r="I679" s="1" t="n">
        <v>1200</v>
      </c>
      <c r="J679" s="1" t="n">
        <v>0</v>
      </c>
      <c r="K679" s="1" t="n">
        <v>1040</v>
      </c>
      <c r="M679" s="5" t="n">
        <v>45978</v>
      </c>
      <c r="N679" s="33" t="n">
        <f aca="false">DAY(M679)</f>
        <v>17</v>
      </c>
      <c r="O679" s="33" t="str">
        <f aca="false">TEXT(M679,"DDDD")</f>
        <v>lunes</v>
      </c>
      <c r="P679" s="6" t="n">
        <f aca="false">MONTH(M679)</f>
        <v>11</v>
      </c>
      <c r="Q679" s="26" t="str">
        <f aca="false">TEXT(M679,"MMMM")</f>
        <v>noviembre</v>
      </c>
      <c r="S679" s="1" t="n">
        <v>10662</v>
      </c>
    </row>
    <row r="680" customFormat="false" ht="14.25" hidden="false" customHeight="false" outlineLevel="0" collapsed="false">
      <c r="A680" s="1" t="n">
        <v>5</v>
      </c>
      <c r="B680" s="1" t="s">
        <v>1156</v>
      </c>
      <c r="C680" s="1" t="s">
        <v>20</v>
      </c>
      <c r="D680" s="1" t="s">
        <v>464</v>
      </c>
      <c r="E680" s="2" t="n">
        <v>445067900</v>
      </c>
      <c r="H680" s="3" t="n">
        <v>1500</v>
      </c>
      <c r="I680" s="1" t="n">
        <v>1200</v>
      </c>
      <c r="J680" s="1" t="n">
        <v>0</v>
      </c>
      <c r="K680" s="1" t="n">
        <v>300</v>
      </c>
      <c r="M680" s="5" t="n">
        <v>45978</v>
      </c>
      <c r="N680" s="33" t="n">
        <f aca="false">DAY(M680)</f>
        <v>17</v>
      </c>
      <c r="O680" s="33" t="str">
        <f aca="false">TEXT(M680,"DDDD")</f>
        <v>lunes</v>
      </c>
      <c r="P680" s="6" t="n">
        <f aca="false">MONTH(M680)</f>
        <v>11</v>
      </c>
      <c r="Q680" s="26" t="str">
        <f aca="false">TEXT(M680,"MMMM")</f>
        <v>noviembre</v>
      </c>
    </row>
    <row r="681" customFormat="false" ht="14.25" hidden="false" customHeight="false" outlineLevel="0" collapsed="false">
      <c r="A681" s="1" t="n">
        <v>6</v>
      </c>
      <c r="B681" s="1" t="s">
        <v>1157</v>
      </c>
      <c r="C681" s="1" t="s">
        <v>140</v>
      </c>
      <c r="D681" s="1" t="s">
        <v>49</v>
      </c>
      <c r="E681" s="2" t="n">
        <v>445067961</v>
      </c>
      <c r="H681" s="3" t="n">
        <v>1770</v>
      </c>
      <c r="I681" s="1" t="n">
        <v>1350</v>
      </c>
      <c r="J681" s="1" t="n">
        <v>0</v>
      </c>
      <c r="K681" s="1" t="n">
        <v>420</v>
      </c>
      <c r="M681" s="5" t="n">
        <v>45978</v>
      </c>
      <c r="N681" s="33" t="n">
        <f aca="false">DAY(M681)</f>
        <v>17</v>
      </c>
      <c r="O681" s="33" t="str">
        <f aca="false">TEXT(M681,"DDDD")</f>
        <v>lunes</v>
      </c>
      <c r="P681" s="6" t="n">
        <f aca="false">MONTH(M681)</f>
        <v>11</v>
      </c>
      <c r="Q681" s="26" t="str">
        <f aca="false">TEXT(M681,"MMMM")</f>
        <v>noviembre</v>
      </c>
    </row>
    <row r="682" customFormat="false" ht="14.25" hidden="false" customHeight="false" outlineLevel="0" collapsed="false">
      <c r="A682" s="1" t="n">
        <v>6</v>
      </c>
      <c r="B682" s="1" t="s">
        <v>1158</v>
      </c>
      <c r="C682" s="1" t="s">
        <v>20</v>
      </c>
      <c r="D682" s="1" t="s">
        <v>1159</v>
      </c>
      <c r="E682" s="2" t="n">
        <v>445070572</v>
      </c>
      <c r="H682" s="3" t="n">
        <v>1200</v>
      </c>
      <c r="I682" s="1" t="n">
        <v>1200</v>
      </c>
      <c r="J682" s="1" t="n">
        <v>0</v>
      </c>
      <c r="K682" s="1" t="n">
        <v>0</v>
      </c>
      <c r="M682" s="5" t="n">
        <v>45978</v>
      </c>
      <c r="N682" s="33" t="n">
        <f aca="false">DAY(M682)</f>
        <v>17</v>
      </c>
      <c r="O682" s="33" t="str">
        <f aca="false">TEXT(M682,"DDDD")</f>
        <v>lunes</v>
      </c>
      <c r="P682" s="6" t="n">
        <f aca="false">MONTH(M682)</f>
        <v>11</v>
      </c>
      <c r="Q682" s="26" t="str">
        <f aca="false">TEXT(M682,"MMMM")</f>
        <v>noviembre</v>
      </c>
    </row>
    <row r="683" customFormat="false" ht="14.25" hidden="false" customHeight="false" outlineLevel="0" collapsed="false">
      <c r="A683" s="1" t="n">
        <v>6</v>
      </c>
      <c r="B683" s="1" t="s">
        <v>1160</v>
      </c>
      <c r="C683" s="1" t="s">
        <v>38</v>
      </c>
      <c r="D683" s="1" t="s">
        <v>928</v>
      </c>
      <c r="E683" s="2" t="n">
        <v>445071802</v>
      </c>
      <c r="H683" s="3" t="n">
        <v>3090</v>
      </c>
      <c r="I683" s="1" t="n">
        <v>2050</v>
      </c>
      <c r="J683" s="1" t="n">
        <v>0</v>
      </c>
      <c r="K683" s="1" t="n">
        <v>1040</v>
      </c>
      <c r="M683" s="5" t="n">
        <v>45978</v>
      </c>
      <c r="N683" s="33" t="n">
        <f aca="false">DAY(M683)</f>
        <v>17</v>
      </c>
      <c r="O683" s="33" t="str">
        <f aca="false">TEXT(M683,"DDDD")</f>
        <v>lunes</v>
      </c>
      <c r="P683" s="6" t="n">
        <f aca="false">MONTH(M683)</f>
        <v>11</v>
      </c>
      <c r="Q683" s="26" t="str">
        <f aca="false">TEXT(M683,"MMMM")</f>
        <v>noviembre</v>
      </c>
    </row>
    <row r="684" customFormat="false" ht="14.25" hidden="false" customHeight="false" outlineLevel="0" collapsed="false">
      <c r="A684" s="1" t="n">
        <v>7</v>
      </c>
      <c r="B684" s="1" t="s">
        <v>1161</v>
      </c>
      <c r="C684" s="1" t="s">
        <v>20</v>
      </c>
      <c r="D684" s="1" t="s">
        <v>1162</v>
      </c>
      <c r="E684" s="2" t="n">
        <v>445074055</v>
      </c>
      <c r="H684" s="3" t="n">
        <v>1520</v>
      </c>
      <c r="I684" s="1" t="n">
        <v>1200</v>
      </c>
      <c r="J684" s="1" t="n">
        <v>0</v>
      </c>
      <c r="K684" s="1" t="n">
        <v>320</v>
      </c>
      <c r="M684" s="5" t="n">
        <v>45978</v>
      </c>
      <c r="N684" s="33" t="n">
        <f aca="false">DAY(M684)</f>
        <v>17</v>
      </c>
      <c r="O684" s="33" t="str">
        <f aca="false">TEXT(M684,"DDDD")</f>
        <v>lunes</v>
      </c>
      <c r="P684" s="6" t="n">
        <f aca="false">MONTH(M684)</f>
        <v>11</v>
      </c>
      <c r="Q684" s="26" t="str">
        <f aca="false">TEXT(M684,"MMMM")</f>
        <v>noviembre</v>
      </c>
      <c r="R684" s="1" t="n">
        <v>445074055</v>
      </c>
      <c r="S684" s="1" t="n">
        <v>5600</v>
      </c>
    </row>
    <row r="685" customFormat="false" ht="14.25" hidden="false" customHeight="false" outlineLevel="0" collapsed="false">
      <c r="A685" s="1" t="n">
        <v>7</v>
      </c>
      <c r="B685" s="1" t="s">
        <v>1163</v>
      </c>
      <c r="C685" s="1" t="s">
        <v>20</v>
      </c>
      <c r="D685" s="1" t="s">
        <v>1164</v>
      </c>
      <c r="E685" s="2" t="n">
        <v>445075258</v>
      </c>
      <c r="F685" s="21" t="s">
        <v>1165</v>
      </c>
      <c r="G685" s="1" t="n">
        <v>445075448</v>
      </c>
      <c r="H685" s="3" t="n">
        <v>4940</v>
      </c>
      <c r="I685" s="1" t="n">
        <v>2100</v>
      </c>
      <c r="J685" s="1" t="n">
        <v>0</v>
      </c>
      <c r="K685" s="1" t="n">
        <v>2840</v>
      </c>
      <c r="M685" s="5" t="n">
        <v>45978</v>
      </c>
      <c r="N685" s="33" t="n">
        <f aca="false">DAY(M685)</f>
        <v>17</v>
      </c>
      <c r="O685" s="33" t="str">
        <f aca="false">TEXT(M685,"DDDD")</f>
        <v>lunes</v>
      </c>
      <c r="P685" s="6" t="n">
        <f aca="false">MONTH(M685)</f>
        <v>11</v>
      </c>
      <c r="Q685" s="26" t="str">
        <f aca="false">TEXT(M685,"MMMM")</f>
        <v>noviembre</v>
      </c>
      <c r="R685" s="1" t="n">
        <v>445075258</v>
      </c>
      <c r="S685" s="1" t="n">
        <v>12322</v>
      </c>
    </row>
    <row r="686" customFormat="false" ht="14.25" hidden="false" customHeight="false" outlineLevel="0" collapsed="false">
      <c r="A686" s="1" t="n">
        <v>7</v>
      </c>
      <c r="B686" s="1" t="s">
        <v>1166</v>
      </c>
      <c r="C686" s="1" t="s">
        <v>20</v>
      </c>
      <c r="D686" s="1" t="s">
        <v>692</v>
      </c>
      <c r="E686" s="2" t="n">
        <v>445078167</v>
      </c>
      <c r="H686" s="3" t="n">
        <v>2920</v>
      </c>
      <c r="I686" s="1" t="n">
        <v>1200</v>
      </c>
      <c r="J686" s="1" t="n">
        <v>0</v>
      </c>
      <c r="K686" s="1" t="n">
        <v>1720</v>
      </c>
      <c r="M686" s="5" t="n">
        <v>45978</v>
      </c>
      <c r="N686" s="33" t="n">
        <f aca="false">DAY(M686)</f>
        <v>17</v>
      </c>
      <c r="O686" s="33" t="str">
        <f aca="false">TEXT(M686,"DDDD")</f>
        <v>lunes</v>
      </c>
      <c r="P686" s="6" t="n">
        <f aca="false">MONTH(M686)</f>
        <v>11</v>
      </c>
      <c r="Q686" s="26" t="str">
        <f aca="false">TEXT(M686,"MMMM")</f>
        <v>noviembre</v>
      </c>
    </row>
    <row r="687" customFormat="false" ht="14.25" hidden="false" customHeight="false" outlineLevel="0" collapsed="false">
      <c r="A687" s="1" t="n">
        <v>7</v>
      </c>
      <c r="B687" s="1" t="s">
        <v>1167</v>
      </c>
      <c r="C687" s="1" t="s">
        <v>20</v>
      </c>
      <c r="D687" s="1" t="s">
        <v>1168</v>
      </c>
      <c r="E687" s="2" t="n">
        <v>445082464</v>
      </c>
      <c r="H687" s="3" t="n">
        <v>1200</v>
      </c>
      <c r="I687" s="1" t="n">
        <v>1200</v>
      </c>
      <c r="J687" s="1" t="n">
        <v>0</v>
      </c>
      <c r="K687" s="1" t="n">
        <v>0</v>
      </c>
      <c r="M687" s="5" t="n">
        <v>45978</v>
      </c>
      <c r="N687" s="33" t="n">
        <f aca="false">DAY(M687)</f>
        <v>17</v>
      </c>
      <c r="O687" s="33" t="str">
        <f aca="false">TEXT(M687,"DDDD")</f>
        <v>lunes</v>
      </c>
      <c r="P687" s="6" t="n">
        <f aca="false">MONTH(M687)</f>
        <v>11</v>
      </c>
      <c r="Q687" s="26" t="str">
        <f aca="false">TEXT(M687,"MMMM")</f>
        <v>noviembre</v>
      </c>
    </row>
    <row r="688" customFormat="false" ht="14.25" hidden="false" customHeight="false" outlineLevel="0" collapsed="false">
      <c r="A688" s="1" t="n">
        <v>7</v>
      </c>
      <c r="B688" s="1" t="s">
        <v>1169</v>
      </c>
      <c r="C688" s="1" t="s">
        <v>20</v>
      </c>
      <c r="D688" s="1" t="s">
        <v>1170</v>
      </c>
      <c r="E688" s="2" t="n">
        <v>445084902</v>
      </c>
      <c r="H688" s="3" t="n">
        <v>2880</v>
      </c>
      <c r="I688" s="1" t="n">
        <v>1200</v>
      </c>
      <c r="J688" s="1" t="n">
        <v>0</v>
      </c>
      <c r="K688" s="1" t="n">
        <v>1680</v>
      </c>
      <c r="M688" s="5" t="n">
        <v>45978</v>
      </c>
      <c r="N688" s="33" t="n">
        <f aca="false">DAY(M688)</f>
        <v>17</v>
      </c>
      <c r="O688" s="33" t="str">
        <f aca="false">TEXT(M688,"DDDD")</f>
        <v>lunes</v>
      </c>
      <c r="P688" s="6" t="n">
        <f aca="false">MONTH(M688)</f>
        <v>11</v>
      </c>
      <c r="Q688" s="26" t="str">
        <f aca="false">TEXT(M688,"MMMM")</f>
        <v>noviembre</v>
      </c>
    </row>
    <row r="689" customFormat="false" ht="14.25" hidden="false" customHeight="false" outlineLevel="0" collapsed="false">
      <c r="A689" s="1" t="n">
        <v>11</v>
      </c>
      <c r="B689" s="1" t="s">
        <v>1171</v>
      </c>
      <c r="C689" s="1" t="s">
        <v>20</v>
      </c>
      <c r="D689" s="1" t="s">
        <v>1172</v>
      </c>
      <c r="E689" s="2" t="n">
        <v>445217297</v>
      </c>
      <c r="H689" s="3" t="n">
        <v>2200</v>
      </c>
      <c r="I689" s="1" t="n">
        <v>1200</v>
      </c>
      <c r="J689" s="1" t="n">
        <v>0</v>
      </c>
      <c r="K689" s="1" t="n">
        <v>1000</v>
      </c>
      <c r="M689" s="5" t="n">
        <v>45979</v>
      </c>
      <c r="N689" s="33" t="n">
        <f aca="false">DAY(M689)</f>
        <v>18</v>
      </c>
      <c r="O689" s="33" t="str">
        <f aca="false">TEXT(M689,"DDDD")</f>
        <v>martes</v>
      </c>
      <c r="P689" s="6" t="n">
        <f aca="false">MONTH(M689)</f>
        <v>11</v>
      </c>
      <c r="Q689" s="26" t="str">
        <f aca="false">TEXT(M689,"MMMM")</f>
        <v>noviembre</v>
      </c>
    </row>
    <row r="690" customFormat="false" ht="14.25" hidden="false" customHeight="false" outlineLevel="0" collapsed="false">
      <c r="A690" s="1" t="n">
        <v>11</v>
      </c>
      <c r="B690" s="1" t="s">
        <v>1173</v>
      </c>
      <c r="C690" s="1" t="s">
        <v>20</v>
      </c>
      <c r="D690" s="1" t="s">
        <v>1174</v>
      </c>
      <c r="E690" s="2" t="n">
        <v>445223612</v>
      </c>
      <c r="H690" s="3" t="n">
        <v>2760</v>
      </c>
      <c r="I690" s="1" t="n">
        <v>1200</v>
      </c>
      <c r="J690" s="1" t="n">
        <v>0</v>
      </c>
      <c r="K690" s="1" t="n">
        <v>1560</v>
      </c>
      <c r="M690" s="5" t="n">
        <v>45979</v>
      </c>
      <c r="N690" s="33" t="n">
        <f aca="false">DAY(M690)</f>
        <v>18</v>
      </c>
      <c r="O690" s="33" t="str">
        <f aca="false">TEXT(M690,"DDDD")</f>
        <v>martes</v>
      </c>
      <c r="P690" s="6" t="n">
        <f aca="false">MONTH(M690)</f>
        <v>11</v>
      </c>
      <c r="Q690" s="26" t="str">
        <f aca="false">TEXT(M690,"MMMM")</f>
        <v>noviembre</v>
      </c>
    </row>
    <row r="691" customFormat="false" ht="14.25" hidden="false" customHeight="false" outlineLevel="0" collapsed="false">
      <c r="A691" s="1" t="n">
        <v>11</v>
      </c>
      <c r="B691" s="1" t="s">
        <v>1105</v>
      </c>
      <c r="C691" s="1" t="s">
        <v>20</v>
      </c>
      <c r="D691" s="1" t="s">
        <v>228</v>
      </c>
      <c r="E691" s="2" t="n">
        <v>445223030</v>
      </c>
      <c r="H691" s="3" t="n">
        <v>1950</v>
      </c>
      <c r="I691" s="1" t="n">
        <v>1200</v>
      </c>
      <c r="J691" s="1" t="n">
        <v>0</v>
      </c>
      <c r="K691" s="1" t="n">
        <v>750</v>
      </c>
      <c r="M691" s="5" t="n">
        <v>45979</v>
      </c>
      <c r="N691" s="33" t="n">
        <f aca="false">DAY(M691)</f>
        <v>18</v>
      </c>
      <c r="O691" s="33" t="str">
        <f aca="false">TEXT(M691,"DDDD")</f>
        <v>martes</v>
      </c>
      <c r="P691" s="6" t="n">
        <f aca="false">MONTH(M691)</f>
        <v>11</v>
      </c>
      <c r="Q691" s="26" t="str">
        <f aca="false">TEXT(M691,"MMMM")</f>
        <v>noviembre</v>
      </c>
    </row>
    <row r="692" customFormat="false" ht="14.25" hidden="false" customHeight="false" outlineLevel="0" collapsed="false">
      <c r="A692" s="1" t="n">
        <v>11</v>
      </c>
      <c r="B692" s="1" t="s">
        <v>1120</v>
      </c>
      <c r="C692" s="1" t="s">
        <v>20</v>
      </c>
      <c r="D692" s="1" t="s">
        <v>150</v>
      </c>
      <c r="E692" s="2" t="n">
        <v>445229089</v>
      </c>
      <c r="F692" s="21" t="s">
        <v>150</v>
      </c>
      <c r="G692" s="1" t="n">
        <v>445229583</v>
      </c>
      <c r="H692" s="3" t="n">
        <v>4640</v>
      </c>
      <c r="I692" s="1" t="n">
        <v>1800</v>
      </c>
      <c r="J692" s="1" t="n">
        <v>0</v>
      </c>
      <c r="K692" s="1" t="n">
        <v>2840</v>
      </c>
      <c r="M692" s="5" t="n">
        <v>45979</v>
      </c>
      <c r="N692" s="33" t="n">
        <f aca="false">DAY(M692)</f>
        <v>18</v>
      </c>
      <c r="O692" s="33" t="str">
        <f aca="false">TEXT(M692,"DDDD")</f>
        <v>martes</v>
      </c>
      <c r="P692" s="6" t="n">
        <f aca="false">MONTH(M692)</f>
        <v>11</v>
      </c>
      <c r="Q692" s="26" t="str">
        <f aca="false">TEXT(M692,"MMMM")</f>
        <v>noviembre</v>
      </c>
    </row>
    <row r="693" customFormat="false" ht="14.25" hidden="false" customHeight="false" outlineLevel="0" collapsed="false">
      <c r="A693" s="1" t="n">
        <v>12</v>
      </c>
      <c r="B693" s="1" t="s">
        <v>1175</v>
      </c>
      <c r="C693" s="1" t="s">
        <v>20</v>
      </c>
      <c r="D693" s="1" t="s">
        <v>1176</v>
      </c>
      <c r="E693" s="2" t="n">
        <v>445235007</v>
      </c>
      <c r="F693" s="21" t="s">
        <v>1177</v>
      </c>
      <c r="G693" s="1" t="n">
        <v>445235188</v>
      </c>
      <c r="H693" s="3" t="n">
        <v>3000</v>
      </c>
      <c r="I693" s="1" t="n">
        <v>2600</v>
      </c>
      <c r="J693" s="1" t="n">
        <v>0</v>
      </c>
      <c r="K693" s="1" t="n">
        <v>400</v>
      </c>
      <c r="M693" s="5" t="n">
        <v>45979</v>
      </c>
      <c r="N693" s="33" t="n">
        <f aca="false">DAY(M693)</f>
        <v>18</v>
      </c>
      <c r="O693" s="33" t="str">
        <f aca="false">TEXT(M693,"DDDD")</f>
        <v>martes</v>
      </c>
      <c r="P693" s="6" t="n">
        <f aca="false">MONTH(M693)</f>
        <v>11</v>
      </c>
      <c r="Q693" s="26" t="str">
        <f aca="false">TEXT(M693,"MMMM")</f>
        <v>noviembre</v>
      </c>
    </row>
    <row r="694" customFormat="false" ht="14.25" hidden="false" customHeight="false" outlineLevel="0" collapsed="false">
      <c r="A694" s="1" t="n">
        <v>8</v>
      </c>
      <c r="B694" s="1" t="s">
        <v>1178</v>
      </c>
      <c r="C694" s="1" t="s">
        <v>20</v>
      </c>
      <c r="D694" s="1" t="s">
        <v>1179</v>
      </c>
      <c r="H694" s="3" t="n">
        <v>1900</v>
      </c>
      <c r="I694" s="1" t="n">
        <v>1200</v>
      </c>
      <c r="J694" s="1" t="n">
        <v>0</v>
      </c>
      <c r="K694" s="1" t="n">
        <v>700</v>
      </c>
      <c r="M694" s="5" t="s">
        <v>1180</v>
      </c>
      <c r="N694" s="33" t="n">
        <f aca="false">DAY(M694)</f>
        <v>19</v>
      </c>
      <c r="O694" s="33" t="str">
        <f aca="false">TEXT(M694,"DDDD")</f>
        <v>miércoles</v>
      </c>
      <c r="P694" s="6" t="n">
        <f aca="false">MONTH(M694)</f>
        <v>11</v>
      </c>
      <c r="Q694" s="26" t="str">
        <f aca="false">TEXT(M694,"MMMM")</f>
        <v>noviembre</v>
      </c>
    </row>
    <row r="695" customFormat="false" ht="14.25" hidden="false" customHeight="false" outlineLevel="0" collapsed="false">
      <c r="A695" s="1" t="n">
        <v>8</v>
      </c>
      <c r="B695" s="1" t="s">
        <v>1181</v>
      </c>
      <c r="C695" s="1" t="s">
        <v>20</v>
      </c>
      <c r="D695" s="1" t="s">
        <v>1182</v>
      </c>
      <c r="E695" s="2" t="n">
        <v>445265366</v>
      </c>
      <c r="H695" s="3" t="n">
        <v>1200</v>
      </c>
      <c r="I695" s="1" t="n">
        <v>1200</v>
      </c>
      <c r="J695" s="1" t="n">
        <v>0</v>
      </c>
      <c r="K695" s="1" t="n">
        <v>0</v>
      </c>
      <c r="M695" s="5" t="s">
        <v>1180</v>
      </c>
      <c r="N695" s="33" t="n">
        <f aca="false">DAY(M695)</f>
        <v>19</v>
      </c>
      <c r="O695" s="33" t="str">
        <f aca="false">TEXT(M695,"DDDD")</f>
        <v>miércoles</v>
      </c>
      <c r="P695" s="6" t="n">
        <f aca="false">MONTH(M695)</f>
        <v>11</v>
      </c>
      <c r="Q695" s="26" t="str">
        <f aca="false">TEXT(M695,"MMMM")</f>
        <v>noviembre</v>
      </c>
    </row>
    <row r="696" customFormat="false" ht="14.25" hidden="false" customHeight="false" outlineLevel="0" collapsed="false">
      <c r="A696" s="1" t="n">
        <v>8</v>
      </c>
      <c r="B696" s="1" t="s">
        <v>1183</v>
      </c>
      <c r="C696" s="1" t="s">
        <v>20</v>
      </c>
      <c r="D696" s="1" t="s">
        <v>93</v>
      </c>
      <c r="E696" s="2" t="n">
        <v>445282040</v>
      </c>
      <c r="H696" s="3" t="n">
        <v>1200</v>
      </c>
      <c r="I696" s="1" t="n">
        <v>1200</v>
      </c>
      <c r="J696" s="1" t="n">
        <v>0</v>
      </c>
      <c r="K696" s="1" t="n">
        <v>0</v>
      </c>
      <c r="M696" s="5" t="s">
        <v>1180</v>
      </c>
      <c r="N696" s="33" t="n">
        <f aca="false">DAY(M696)</f>
        <v>19</v>
      </c>
      <c r="O696" s="33" t="str">
        <f aca="false">TEXT(M696,"DDDD")</f>
        <v>miércoles</v>
      </c>
      <c r="P696" s="6" t="n">
        <f aca="false">MONTH(M696)</f>
        <v>11</v>
      </c>
      <c r="Q696" s="26" t="str">
        <f aca="false">TEXT(M696,"MMMM")</f>
        <v>noviembre</v>
      </c>
    </row>
    <row r="697" customFormat="false" ht="14.25" hidden="false" customHeight="false" outlineLevel="0" collapsed="false">
      <c r="A697" s="1" t="n">
        <v>8</v>
      </c>
      <c r="B697" s="1" t="s">
        <v>1184</v>
      </c>
      <c r="C697" s="1" t="s">
        <v>140</v>
      </c>
      <c r="D697" s="1" t="s">
        <v>1185</v>
      </c>
      <c r="E697" s="2" t="n">
        <v>445285303</v>
      </c>
      <c r="H697" s="3" t="n">
        <v>1620</v>
      </c>
      <c r="I697" s="1" t="n">
        <v>1200</v>
      </c>
      <c r="J697" s="1" t="n">
        <v>0</v>
      </c>
      <c r="K697" s="1" t="n">
        <v>420</v>
      </c>
      <c r="M697" s="5" t="s">
        <v>1180</v>
      </c>
      <c r="N697" s="33" t="n">
        <f aca="false">DAY(M697)</f>
        <v>19</v>
      </c>
      <c r="O697" s="33" t="str">
        <f aca="false">TEXT(M697,"DDDD")</f>
        <v>miércoles</v>
      </c>
      <c r="P697" s="6" t="n">
        <f aca="false">MONTH(M697)</f>
        <v>11</v>
      </c>
      <c r="Q697" s="26" t="str">
        <f aca="false">TEXT(M697,"MMMM")</f>
        <v>noviembre</v>
      </c>
    </row>
    <row r="698" customFormat="false" ht="14.25" hidden="false" customHeight="false" outlineLevel="0" collapsed="false">
      <c r="A698" s="1" t="n">
        <v>8</v>
      </c>
      <c r="B698" s="1" t="s">
        <v>1186</v>
      </c>
      <c r="C698" s="1" t="s">
        <v>20</v>
      </c>
      <c r="D698" s="1" t="s">
        <v>478</v>
      </c>
      <c r="E698" s="2" t="n">
        <v>445287965</v>
      </c>
      <c r="F698" s="21" t="s">
        <v>967</v>
      </c>
      <c r="G698" s="1" t="n">
        <v>445287734</v>
      </c>
      <c r="H698" s="3" t="n">
        <v>3060</v>
      </c>
      <c r="I698" s="1" t="n">
        <v>2100</v>
      </c>
      <c r="J698" s="1" t="n">
        <v>0</v>
      </c>
      <c r="K698" s="1" t="n">
        <v>960</v>
      </c>
      <c r="M698" s="5" t="s">
        <v>1180</v>
      </c>
      <c r="N698" s="33" t="n">
        <f aca="false">DAY(M698)</f>
        <v>19</v>
      </c>
      <c r="O698" s="33" t="str">
        <f aca="false">TEXT(M698,"DDDD")</f>
        <v>miércoles</v>
      </c>
      <c r="P698" s="6" t="n">
        <f aca="false">MONTH(M698)</f>
        <v>11</v>
      </c>
      <c r="Q698" s="26" t="str">
        <f aca="false">TEXT(M698,"MMMM")</f>
        <v>noviembre</v>
      </c>
      <c r="R698" s="1" t="n">
        <v>445287965</v>
      </c>
      <c r="S698" s="1" t="n">
        <v>12730</v>
      </c>
    </row>
    <row r="699" customFormat="false" ht="14.25" hidden="false" customHeight="false" outlineLevel="0" collapsed="false">
      <c r="A699" s="1" t="n">
        <v>9</v>
      </c>
      <c r="B699" s="1" t="s">
        <v>1187</v>
      </c>
      <c r="C699" s="1" t="s">
        <v>20</v>
      </c>
      <c r="D699" s="1" t="s">
        <v>1188</v>
      </c>
      <c r="E699" s="2" t="n">
        <v>445293386</v>
      </c>
      <c r="H699" s="3" t="n">
        <v>2500</v>
      </c>
      <c r="I699" s="1" t="n">
        <v>1200</v>
      </c>
      <c r="J699" s="1" t="n">
        <v>0</v>
      </c>
      <c r="K699" s="1" t="n">
        <v>1300</v>
      </c>
      <c r="M699" s="5" t="s">
        <v>1180</v>
      </c>
      <c r="N699" s="33" t="n">
        <f aca="false">DAY(M699)</f>
        <v>19</v>
      </c>
      <c r="O699" s="33" t="str">
        <f aca="false">TEXT(M699,"DDDD")</f>
        <v>miércoles</v>
      </c>
      <c r="P699" s="6" t="n">
        <f aca="false">MONTH(M699)</f>
        <v>11</v>
      </c>
      <c r="Q699" s="26" t="str">
        <f aca="false">TEXT(M699,"MMMM")</f>
        <v>noviembre</v>
      </c>
    </row>
    <row r="700" customFormat="false" ht="14.25" hidden="false" customHeight="false" outlineLevel="0" collapsed="false">
      <c r="A700" s="1" t="n">
        <v>11</v>
      </c>
      <c r="B700" s="1" t="s">
        <v>1189</v>
      </c>
      <c r="C700" s="1" t="s">
        <v>20</v>
      </c>
      <c r="D700" s="1" t="s">
        <v>1190</v>
      </c>
      <c r="E700" s="2" t="n">
        <v>445330144</v>
      </c>
      <c r="H700" s="3" t="n">
        <v>2140</v>
      </c>
      <c r="I700" s="1" t="n">
        <v>1200</v>
      </c>
      <c r="J700" s="1" t="n">
        <v>0</v>
      </c>
      <c r="K700" s="1" t="n">
        <v>940</v>
      </c>
      <c r="M700" s="5" t="n">
        <v>45980</v>
      </c>
      <c r="N700" s="33" t="n">
        <f aca="false">DAY(M700)</f>
        <v>19</v>
      </c>
      <c r="O700" s="33" t="str">
        <f aca="false">TEXT(M700,"DDDD")</f>
        <v>miércoles</v>
      </c>
      <c r="P700" s="6" t="n">
        <f aca="false">MONTH(M700)</f>
        <v>11</v>
      </c>
      <c r="Q700" s="26" t="str">
        <f aca="false">TEXT(M700,"MMMM")</f>
        <v>noviembre</v>
      </c>
    </row>
    <row r="701" customFormat="false" ht="14.25" hidden="false" customHeight="false" outlineLevel="0" collapsed="false">
      <c r="A701" s="1" t="n">
        <v>12</v>
      </c>
      <c r="B701" s="1" t="s">
        <v>1191</v>
      </c>
      <c r="C701" s="1" t="s">
        <v>20</v>
      </c>
      <c r="D701" s="1" t="s">
        <v>1192</v>
      </c>
      <c r="E701" s="2" t="n">
        <v>445340845</v>
      </c>
      <c r="H701" s="3" t="n">
        <v>2780</v>
      </c>
      <c r="I701" s="1" t="n">
        <v>1200</v>
      </c>
      <c r="J701" s="1" t="n">
        <v>0</v>
      </c>
      <c r="K701" s="1" t="n">
        <v>1580</v>
      </c>
      <c r="M701" s="5" t="n">
        <v>45980</v>
      </c>
      <c r="N701" s="33" t="n">
        <f aca="false">DAY(M701)</f>
        <v>19</v>
      </c>
      <c r="O701" s="33" t="str">
        <f aca="false">TEXT(M701,"DDDD")</f>
        <v>miércoles</v>
      </c>
      <c r="P701" s="6" t="n">
        <f aca="false">MONTH(M701)</f>
        <v>11</v>
      </c>
      <c r="Q701" s="26" t="str">
        <f aca="false">TEXT(M701,"MMMM")</f>
        <v>noviembre</v>
      </c>
    </row>
    <row r="702" customFormat="false" ht="14.25" hidden="false" customHeight="false" outlineLevel="0" collapsed="false">
      <c r="A702" s="1" t="n">
        <v>12</v>
      </c>
      <c r="B702" s="1" t="s">
        <v>1193</v>
      </c>
      <c r="C702" s="1" t="s">
        <v>20</v>
      </c>
      <c r="D702" s="1" t="s">
        <v>1194</v>
      </c>
      <c r="E702" s="2" t="n">
        <v>445346433</v>
      </c>
      <c r="H702" s="3" t="n">
        <v>2350</v>
      </c>
      <c r="I702" s="1" t="n">
        <v>1950</v>
      </c>
      <c r="J702" s="1" t="n">
        <v>0</v>
      </c>
      <c r="K702" s="1" t="n">
        <v>400</v>
      </c>
      <c r="M702" s="5" t="n">
        <v>45980</v>
      </c>
      <c r="N702" s="33" t="n">
        <f aca="false">DAY(M702)</f>
        <v>19</v>
      </c>
      <c r="O702" s="33" t="str">
        <f aca="false">TEXT(M702,"DDDD")</f>
        <v>miércoles</v>
      </c>
      <c r="P702" s="6" t="n">
        <f aca="false">MONTH(M702)</f>
        <v>11</v>
      </c>
      <c r="Q702" s="26" t="str">
        <f aca="false">TEXT(M702,"MMMM")</f>
        <v>noviembre</v>
      </c>
    </row>
    <row r="703" customFormat="false" ht="14.25" hidden="false" customHeight="false" outlineLevel="0" collapsed="false">
      <c r="A703" s="1" t="n">
        <v>12</v>
      </c>
      <c r="B703" s="1" t="s">
        <v>1195</v>
      </c>
      <c r="C703" s="1" t="s">
        <v>20</v>
      </c>
      <c r="D703" s="1" t="s">
        <v>1196</v>
      </c>
      <c r="E703" s="2" t="n">
        <v>445350571</v>
      </c>
      <c r="F703" s="21" t="s">
        <v>79</v>
      </c>
      <c r="G703" s="1" t="n">
        <v>445350808</v>
      </c>
      <c r="H703" s="3" t="n">
        <v>3070</v>
      </c>
      <c r="I703" s="1" t="n">
        <v>2750</v>
      </c>
      <c r="J703" s="1" t="n">
        <v>0</v>
      </c>
      <c r="K703" s="1" t="n">
        <v>320</v>
      </c>
      <c r="M703" s="5" t="n">
        <v>45980</v>
      </c>
      <c r="N703" s="33" t="n">
        <f aca="false">DAY(M703)</f>
        <v>19</v>
      </c>
      <c r="O703" s="33" t="str">
        <f aca="false">TEXT(M703,"DDDD")</f>
        <v>miércoles</v>
      </c>
      <c r="P703" s="6" t="n">
        <f aca="false">MONTH(M703)</f>
        <v>11</v>
      </c>
      <c r="Q703" s="26" t="str">
        <f aca="false">TEXT(M703,"MMMM")</f>
        <v>noviembre</v>
      </c>
    </row>
    <row r="704" customFormat="false" ht="14.25" hidden="false" customHeight="false" outlineLevel="0" collapsed="false">
      <c r="A704" s="1" t="n">
        <v>6</v>
      </c>
      <c r="B704" s="1" t="s">
        <v>1197</v>
      </c>
      <c r="C704" s="1" t="s">
        <v>140</v>
      </c>
      <c r="D704" s="1" t="s">
        <v>55</v>
      </c>
      <c r="E704" s="2" t="n">
        <v>445261332</v>
      </c>
      <c r="H704" s="3" t="n">
        <v>6200</v>
      </c>
      <c r="I704" s="1" t="n">
        <v>1200</v>
      </c>
      <c r="J704" s="1" t="n">
        <v>0</v>
      </c>
      <c r="K704" s="1" t="n">
        <v>5000</v>
      </c>
      <c r="M704" s="5" t="n">
        <v>45980</v>
      </c>
      <c r="N704" s="33" t="n">
        <f aca="false">DAY(M704)</f>
        <v>19</v>
      </c>
      <c r="O704" s="33" t="str">
        <f aca="false">TEXT(M704,"DDDD")</f>
        <v>miércoles</v>
      </c>
      <c r="P704" s="6" t="n">
        <f aca="false">MONTH(M704)</f>
        <v>11</v>
      </c>
      <c r="Q704" s="26" t="str">
        <f aca="false">TEXT(M704,"MMMM")</f>
        <v>noviembre</v>
      </c>
    </row>
    <row r="705" customFormat="false" ht="14.25" hidden="false" customHeight="false" outlineLevel="0" collapsed="false">
      <c r="A705" s="1" t="n">
        <v>5</v>
      </c>
      <c r="B705" s="1" t="s">
        <v>1198</v>
      </c>
      <c r="C705" s="1" t="s">
        <v>20</v>
      </c>
      <c r="D705" s="1" t="s">
        <v>1199</v>
      </c>
      <c r="E705" s="2" t="n">
        <v>445260728</v>
      </c>
      <c r="H705" s="3" t="n">
        <v>2400</v>
      </c>
      <c r="I705" s="1" t="n">
        <v>1200</v>
      </c>
      <c r="J705" s="1" t="n">
        <v>0</v>
      </c>
      <c r="K705" s="1" t="n">
        <v>1200</v>
      </c>
      <c r="M705" s="5" t="n">
        <v>45980</v>
      </c>
      <c r="N705" s="33" t="n">
        <f aca="false">DAY(M705)</f>
        <v>19</v>
      </c>
      <c r="O705" s="33" t="str">
        <f aca="false">TEXT(M705,"DDDD")</f>
        <v>miércoles</v>
      </c>
      <c r="P705" s="6" t="n">
        <f aca="false">MONTH(M705)</f>
        <v>11</v>
      </c>
      <c r="Q705" s="26" t="str">
        <f aca="false">TEXT(M705,"MMMM")</f>
        <v>noviembre</v>
      </c>
    </row>
    <row r="706" customFormat="false" ht="14.25" hidden="false" customHeight="false" outlineLevel="0" collapsed="false">
      <c r="A706" s="1" t="n">
        <v>5</v>
      </c>
      <c r="B706" s="1" t="s">
        <v>1200</v>
      </c>
      <c r="C706" s="1" t="s">
        <v>140</v>
      </c>
      <c r="D706" s="1" t="s">
        <v>49</v>
      </c>
      <c r="E706" s="2" t="n">
        <v>445259943</v>
      </c>
      <c r="H706" s="3" t="n">
        <v>1200</v>
      </c>
      <c r="I706" s="1" t="n">
        <v>1200</v>
      </c>
      <c r="J706" s="1" t="n">
        <v>0</v>
      </c>
      <c r="K706" s="1" t="n">
        <v>0</v>
      </c>
      <c r="M706" s="5" t="n">
        <v>45980</v>
      </c>
      <c r="N706" s="33" t="n">
        <f aca="false">DAY(M706)</f>
        <v>19</v>
      </c>
      <c r="O706" s="33" t="str">
        <f aca="false">TEXT(M706,"DDDD")</f>
        <v>miércoles</v>
      </c>
      <c r="P706" s="6" t="n">
        <f aca="false">MONTH(M706)</f>
        <v>11</v>
      </c>
      <c r="Q706" s="26" t="str">
        <f aca="false">TEXT(M706,"MMMM")</f>
        <v>noviembre</v>
      </c>
    </row>
    <row r="707" customFormat="false" ht="14.25" hidden="false" customHeight="false" outlineLevel="0" collapsed="false">
      <c r="A707" s="1" t="n">
        <v>5</v>
      </c>
      <c r="B707" s="1" t="s">
        <v>1201</v>
      </c>
      <c r="C707" s="1" t="s">
        <v>20</v>
      </c>
      <c r="D707" s="1" t="s">
        <v>1084</v>
      </c>
      <c r="E707" s="2" t="n">
        <v>445259236</v>
      </c>
      <c r="H707" s="3" t="n">
        <v>2180</v>
      </c>
      <c r="I707" s="1" t="n">
        <v>1200</v>
      </c>
      <c r="J707" s="1" t="n">
        <v>0</v>
      </c>
      <c r="K707" s="1" t="n">
        <v>980</v>
      </c>
      <c r="M707" s="5" t="n">
        <v>45980</v>
      </c>
      <c r="N707" s="33" t="n">
        <f aca="false">DAY(M707)</f>
        <v>19</v>
      </c>
      <c r="O707" s="33" t="str">
        <f aca="false">TEXT(M707,"DDDD")</f>
        <v>miércoles</v>
      </c>
      <c r="P707" s="6" t="n">
        <f aca="false">MONTH(M707)</f>
        <v>11</v>
      </c>
      <c r="Q707" s="26" t="str">
        <f aca="false">TEXT(M707,"MMMM")</f>
        <v>noviembre</v>
      </c>
    </row>
    <row r="708" customFormat="false" ht="14.25" hidden="false" customHeight="false" outlineLevel="0" collapsed="false">
      <c r="A708" s="1" t="n">
        <v>4</v>
      </c>
      <c r="B708" s="1" t="s">
        <v>1202</v>
      </c>
      <c r="C708" s="1" t="s">
        <v>20</v>
      </c>
      <c r="D708" s="1" t="s">
        <v>600</v>
      </c>
      <c r="E708" s="2" t="n">
        <v>445258143</v>
      </c>
      <c r="F708" s="21" t="s">
        <v>600</v>
      </c>
      <c r="G708" s="1" t="n">
        <v>445258168</v>
      </c>
      <c r="H708" s="3" t="n">
        <v>3510</v>
      </c>
      <c r="I708" s="1" t="n">
        <v>2300</v>
      </c>
      <c r="J708" s="1" t="n">
        <v>0</v>
      </c>
      <c r="K708" s="1" t="n">
        <v>1210</v>
      </c>
      <c r="M708" s="5" t="n">
        <v>45980</v>
      </c>
      <c r="N708" s="33" t="n">
        <f aca="false">DAY(M708)</f>
        <v>19</v>
      </c>
      <c r="O708" s="33" t="str">
        <f aca="false">TEXT(M708,"DDDD")</f>
        <v>miércoles</v>
      </c>
      <c r="P708" s="6" t="n">
        <f aca="false">MONTH(M708)</f>
        <v>11</v>
      </c>
      <c r="Q708" s="26" t="str">
        <f aca="false">TEXT(M708,"MMMM")</f>
        <v>noviembre</v>
      </c>
      <c r="R708" s="1" t="n">
        <v>445258143</v>
      </c>
      <c r="S708" s="1" t="n">
        <v>11943</v>
      </c>
    </row>
    <row r="709" customFormat="false" ht="14.25" hidden="false" customHeight="false" outlineLevel="0" collapsed="false">
      <c r="A709" s="1" t="n">
        <v>4</v>
      </c>
      <c r="B709" s="1" t="s">
        <v>1203</v>
      </c>
      <c r="C709" s="1" t="s">
        <v>20</v>
      </c>
      <c r="D709" s="1" t="s">
        <v>89</v>
      </c>
      <c r="E709" s="2" t="n">
        <v>445258087</v>
      </c>
      <c r="H709" s="3" t="n">
        <v>2460</v>
      </c>
      <c r="I709" s="1" t="n">
        <v>1500</v>
      </c>
      <c r="J709" s="1" t="n">
        <v>0</v>
      </c>
      <c r="K709" s="1" t="n">
        <v>960</v>
      </c>
      <c r="M709" s="5" t="n">
        <v>45980</v>
      </c>
      <c r="N709" s="33" t="n">
        <f aca="false">DAY(M709)</f>
        <v>19</v>
      </c>
      <c r="O709" s="33" t="str">
        <f aca="false">TEXT(M709,"DDDD")</f>
        <v>miércoles</v>
      </c>
      <c r="P709" s="6" t="n">
        <f aca="false">MONTH(M709)</f>
        <v>11</v>
      </c>
      <c r="Q709" s="26" t="str">
        <f aca="false">TEXT(M709,"MMMM")</f>
        <v>noviembre</v>
      </c>
    </row>
    <row r="710" customFormat="false" ht="14.25" hidden="false" customHeight="false" outlineLevel="0" collapsed="false">
      <c r="A710" s="1" t="n">
        <v>3</v>
      </c>
      <c r="B710" s="1" t="s">
        <v>1204</v>
      </c>
      <c r="C710" s="1" t="s">
        <v>20</v>
      </c>
      <c r="D710" s="1" t="s">
        <v>1205</v>
      </c>
      <c r="E710" s="2" t="n">
        <v>445257948</v>
      </c>
      <c r="H710" s="3" t="n">
        <v>1900</v>
      </c>
      <c r="I710" s="1" t="n">
        <v>1200</v>
      </c>
      <c r="J710" s="1" t="n">
        <v>0</v>
      </c>
      <c r="K710" s="1" t="n">
        <v>700</v>
      </c>
      <c r="M710" s="5" t="n">
        <v>45980</v>
      </c>
      <c r="N710" s="33" t="n">
        <f aca="false">DAY(M710)</f>
        <v>19</v>
      </c>
      <c r="O710" s="33" t="str">
        <f aca="false">TEXT(M710,"DDDD")</f>
        <v>miércoles</v>
      </c>
      <c r="P710" s="6" t="n">
        <f aca="false">MONTH(M710)</f>
        <v>11</v>
      </c>
      <c r="Q710" s="26" t="str">
        <f aca="false">TEXT(M710,"MMMM")</f>
        <v>noviembre</v>
      </c>
      <c r="R710" s="1" t="n">
        <v>445257948</v>
      </c>
      <c r="S710" s="1" t="n">
        <v>8280</v>
      </c>
    </row>
    <row r="711" customFormat="false" ht="14.25" hidden="false" customHeight="false" outlineLevel="0" collapsed="false">
      <c r="A711" s="1" t="n">
        <v>3</v>
      </c>
      <c r="B711" s="1" t="s">
        <v>1206</v>
      </c>
      <c r="C711" s="1" t="s">
        <v>38</v>
      </c>
      <c r="D711" s="1" t="s">
        <v>1207</v>
      </c>
      <c r="E711" s="2" t="n">
        <v>445257758</v>
      </c>
      <c r="H711" s="3" t="n">
        <v>1900</v>
      </c>
      <c r="I711" s="1" t="n">
        <v>1900</v>
      </c>
      <c r="J711" s="1" t="n">
        <v>0</v>
      </c>
      <c r="K711" s="1" t="n">
        <v>0</v>
      </c>
      <c r="M711" s="5" t="n">
        <v>45980</v>
      </c>
      <c r="N711" s="33" t="n">
        <f aca="false">DAY(M711)</f>
        <v>19</v>
      </c>
      <c r="O711" s="33" t="str">
        <f aca="false">TEXT(M711,"DDDD")</f>
        <v>miércoles</v>
      </c>
      <c r="P711" s="6" t="n">
        <f aca="false">MONTH(M711)</f>
        <v>11</v>
      </c>
      <c r="Q711" s="26" t="str">
        <f aca="false">TEXT(M711,"MMMM")</f>
        <v>noviembre</v>
      </c>
    </row>
    <row r="712" customFormat="false" ht="14.25" hidden="false" customHeight="false" outlineLevel="0" collapsed="false">
      <c r="A712" s="1" t="n">
        <v>3</v>
      </c>
      <c r="B712" s="1" t="s">
        <v>1208</v>
      </c>
      <c r="C712" s="1" t="s">
        <v>20</v>
      </c>
      <c r="D712" s="1" t="s">
        <v>150</v>
      </c>
      <c r="E712" s="2" t="n">
        <v>445257459</v>
      </c>
      <c r="H712" s="3" t="n">
        <v>2840</v>
      </c>
      <c r="I712" s="1" t="n">
        <v>1200</v>
      </c>
      <c r="J712" s="1" t="n">
        <v>0</v>
      </c>
      <c r="K712" s="1" t="n">
        <v>1640</v>
      </c>
      <c r="M712" s="5" t="n">
        <v>45980</v>
      </c>
      <c r="N712" s="33" t="n">
        <f aca="false">DAY(M712)</f>
        <v>19</v>
      </c>
      <c r="O712" s="33" t="str">
        <f aca="false">TEXT(M712,"DDDD")</f>
        <v>miércoles</v>
      </c>
      <c r="P712" s="6" t="n">
        <f aca="false">MONTH(M712)</f>
        <v>11</v>
      </c>
      <c r="Q712" s="26" t="str">
        <f aca="false">TEXT(M712,"MMMM")</f>
        <v>noviembre</v>
      </c>
    </row>
    <row r="713" customFormat="false" ht="14.25" hidden="false" customHeight="false" outlineLevel="0" collapsed="false">
      <c r="A713" s="1" t="n">
        <v>2</v>
      </c>
      <c r="B713" s="1" t="s">
        <v>1209</v>
      </c>
      <c r="C713" s="1" t="s">
        <v>38</v>
      </c>
      <c r="D713" s="1" t="s">
        <v>1210</v>
      </c>
      <c r="E713" s="2" t="n">
        <v>445256418</v>
      </c>
      <c r="H713" s="3" t="n">
        <v>1400</v>
      </c>
      <c r="I713" s="1" t="n">
        <v>1400</v>
      </c>
      <c r="J713" s="1" t="n">
        <v>0</v>
      </c>
      <c r="K713" s="1" t="n">
        <v>0</v>
      </c>
      <c r="M713" s="5" t="n">
        <v>45980</v>
      </c>
      <c r="N713" s="33" t="n">
        <f aca="false">DAY(M713)</f>
        <v>19</v>
      </c>
      <c r="O713" s="33" t="str">
        <f aca="false">TEXT(M713,"DDDD")</f>
        <v>miércoles</v>
      </c>
      <c r="P713" s="6" t="n">
        <f aca="false">MONTH(M713)</f>
        <v>11</v>
      </c>
      <c r="Q713" s="26" t="str">
        <f aca="false">TEXT(M713,"MMMM")</f>
        <v>noviembre</v>
      </c>
    </row>
    <row r="714" customFormat="false" ht="14.25" hidden="false" customHeight="false" outlineLevel="0" collapsed="false">
      <c r="A714" s="1" t="n">
        <v>1</v>
      </c>
      <c r="B714" s="1" t="s">
        <v>1211</v>
      </c>
      <c r="C714" s="1" t="s">
        <v>20</v>
      </c>
      <c r="D714" s="1" t="s">
        <v>150</v>
      </c>
      <c r="E714" s="2" t="n">
        <v>445254565</v>
      </c>
      <c r="H714" s="3" t="n">
        <v>2200</v>
      </c>
      <c r="I714" s="1" t="n">
        <v>1200</v>
      </c>
      <c r="J714" s="1" t="n">
        <v>0</v>
      </c>
      <c r="K714" s="1" t="n">
        <v>1000</v>
      </c>
      <c r="M714" s="5" t="n">
        <v>45980</v>
      </c>
      <c r="N714" s="33" t="n">
        <f aca="false">DAY(M714)</f>
        <v>19</v>
      </c>
      <c r="O714" s="33" t="str">
        <f aca="false">TEXT(M714,"DDDD")</f>
        <v>miércoles</v>
      </c>
      <c r="P714" s="6" t="n">
        <f aca="false">MONTH(M714)</f>
        <v>11</v>
      </c>
      <c r="Q714" s="26" t="str">
        <f aca="false">TEXT(M714,"MMMM")</f>
        <v>noviembre</v>
      </c>
    </row>
    <row r="715" customFormat="false" ht="14.25" hidden="false" customHeight="false" outlineLevel="0" collapsed="false">
      <c r="A715" s="1" t="n">
        <v>1</v>
      </c>
      <c r="B715" s="1" t="s">
        <v>1212</v>
      </c>
      <c r="C715" s="1" t="s">
        <v>20</v>
      </c>
      <c r="D715" s="1" t="s">
        <v>82</v>
      </c>
      <c r="E715" s="2" t="n">
        <v>445252350</v>
      </c>
      <c r="H715" s="3" t="n">
        <v>2080</v>
      </c>
      <c r="I715" s="1" t="n">
        <v>1200</v>
      </c>
      <c r="J715" s="1" t="n">
        <v>0</v>
      </c>
      <c r="K715" s="1" t="n">
        <v>880</v>
      </c>
      <c r="M715" s="5" t="n">
        <v>45980</v>
      </c>
      <c r="N715" s="33" t="n">
        <f aca="false">DAY(M715)</f>
        <v>19</v>
      </c>
      <c r="O715" s="33" t="str">
        <f aca="false">TEXT(M715,"DDDD")</f>
        <v>miércoles</v>
      </c>
      <c r="P715" s="6" t="n">
        <f aca="false">MONTH(M715)</f>
        <v>11</v>
      </c>
      <c r="Q715" s="26" t="str">
        <f aca="false">TEXT(M715,"MMMM")</f>
        <v>noviembre</v>
      </c>
      <c r="R715" s="1" t="n">
        <v>445252350</v>
      </c>
      <c r="S715" s="1" t="n">
        <v>16760</v>
      </c>
    </row>
    <row r="716" customFormat="false" ht="14.25" hidden="false" customHeight="false" outlineLevel="0" collapsed="false">
      <c r="A716" s="21" t="n">
        <v>12</v>
      </c>
      <c r="B716" s="21" t="s">
        <v>1213</v>
      </c>
      <c r="C716" s="21" t="s">
        <v>20</v>
      </c>
      <c r="D716" s="21" t="s">
        <v>82</v>
      </c>
      <c r="E716" s="45" t="n">
        <v>446052851</v>
      </c>
      <c r="F716" s="21" t="s">
        <v>82</v>
      </c>
      <c r="G716" s="21" t="n">
        <v>446054113</v>
      </c>
      <c r="H716" s="21" t="n">
        <v>3100</v>
      </c>
      <c r="I716" s="21" t="n">
        <v>2100</v>
      </c>
      <c r="J716" s="21" t="n">
        <v>0</v>
      </c>
      <c r="K716" s="21" t="n">
        <v>1000</v>
      </c>
      <c r="L716" s="46"/>
      <c r="M716" s="47" t="s">
        <v>1214</v>
      </c>
      <c r="N716" s="33" t="n">
        <f aca="false">DAY(M716)</f>
        <v>25</v>
      </c>
      <c r="O716" s="33" t="str">
        <f aca="false">TEXT(M716,"DDDD")</f>
        <v>martes</v>
      </c>
      <c r="P716" s="6" t="n">
        <f aca="false">MONTH(M716)</f>
        <v>11</v>
      </c>
      <c r="Q716" s="26" t="str">
        <f aca="false">TEXT(M716,"MMMM")</f>
        <v>noviembre</v>
      </c>
    </row>
    <row r="717" customFormat="false" ht="14.25" hidden="false" customHeight="false" outlineLevel="0" collapsed="false">
      <c r="A717" s="21" t="n">
        <v>12</v>
      </c>
      <c r="B717" s="21" t="s">
        <v>1118</v>
      </c>
      <c r="C717" s="21" t="s">
        <v>20</v>
      </c>
      <c r="D717" s="21" t="s">
        <v>1215</v>
      </c>
      <c r="E717" s="45" t="n">
        <v>446047298</v>
      </c>
      <c r="H717" s="21" t="n">
        <v>2450</v>
      </c>
      <c r="I717" s="21" t="n">
        <v>2450</v>
      </c>
      <c r="J717" s="21" t="n">
        <v>0</v>
      </c>
      <c r="K717" s="21" t="n">
        <v>0</v>
      </c>
      <c r="L717" s="46"/>
      <c r="M717" s="47" t="s">
        <v>1214</v>
      </c>
      <c r="N717" s="33" t="n">
        <f aca="false">DAY(M717)</f>
        <v>25</v>
      </c>
      <c r="O717" s="33" t="str">
        <f aca="false">TEXT(M717,"DDDD")</f>
        <v>martes</v>
      </c>
      <c r="P717" s="6" t="n">
        <f aca="false">MONTH(M717)</f>
        <v>11</v>
      </c>
      <c r="Q717" s="26" t="str">
        <f aca="false">TEXT(M717,"MMMM")</f>
        <v>noviembre</v>
      </c>
    </row>
    <row r="718" customFormat="false" ht="14.25" hidden="false" customHeight="false" outlineLevel="0" collapsed="false">
      <c r="A718" s="21" t="n">
        <v>11</v>
      </c>
      <c r="B718" s="21" t="s">
        <v>1216</v>
      </c>
      <c r="C718" s="21" t="s">
        <v>38</v>
      </c>
      <c r="D718" s="21" t="s">
        <v>1217</v>
      </c>
      <c r="E718" s="45" t="n">
        <v>446042953</v>
      </c>
      <c r="H718" s="21" t="n">
        <v>1830</v>
      </c>
      <c r="I718" s="21" t="n">
        <v>1200</v>
      </c>
      <c r="J718" s="21" t="n">
        <v>0</v>
      </c>
      <c r="K718" s="21" t="n">
        <v>630</v>
      </c>
      <c r="L718" s="46"/>
      <c r="M718" s="47" t="s">
        <v>1214</v>
      </c>
      <c r="N718" s="33" t="n">
        <f aca="false">DAY(M718)</f>
        <v>25</v>
      </c>
      <c r="O718" s="33" t="str">
        <f aca="false">TEXT(M718,"DDDD")</f>
        <v>martes</v>
      </c>
      <c r="P718" s="6" t="n">
        <f aca="false">MONTH(M718)</f>
        <v>11</v>
      </c>
      <c r="Q718" s="26" t="str">
        <f aca="false">TEXT(M718,"MMMM")</f>
        <v>noviembre</v>
      </c>
    </row>
    <row r="719" customFormat="false" ht="14.25" hidden="false" customHeight="false" outlineLevel="0" collapsed="false">
      <c r="A719" s="21" t="n">
        <v>11</v>
      </c>
      <c r="B719" s="21" t="s">
        <v>1218</v>
      </c>
      <c r="C719" s="21" t="s">
        <v>20</v>
      </c>
      <c r="D719" s="21" t="s">
        <v>478</v>
      </c>
      <c r="E719" s="45" t="n">
        <v>446041626</v>
      </c>
      <c r="H719" s="21" t="n">
        <v>1200</v>
      </c>
      <c r="I719" s="21" t="n">
        <v>1200</v>
      </c>
      <c r="J719" s="21" t="n">
        <v>0</v>
      </c>
      <c r="K719" s="21" t="n">
        <v>0</v>
      </c>
      <c r="L719" s="46"/>
      <c r="M719" s="47" t="s">
        <v>1214</v>
      </c>
      <c r="N719" s="33" t="n">
        <f aca="false">DAY(M719)</f>
        <v>25</v>
      </c>
      <c r="O719" s="33" t="str">
        <f aca="false">TEXT(M719,"DDDD")</f>
        <v>martes</v>
      </c>
      <c r="P719" s="6" t="n">
        <f aca="false">MONTH(M719)</f>
        <v>11</v>
      </c>
      <c r="Q719" s="26" t="str">
        <f aca="false">TEXT(M719,"MMMM")</f>
        <v>noviembre</v>
      </c>
    </row>
    <row r="720" customFormat="false" ht="14.25" hidden="false" customHeight="false" outlineLevel="0" collapsed="false">
      <c r="A720" s="21" t="n">
        <v>11</v>
      </c>
      <c r="B720" s="21" t="s">
        <v>1219</v>
      </c>
      <c r="C720" s="21" t="s">
        <v>20</v>
      </c>
      <c r="D720" s="21" t="s">
        <v>825</v>
      </c>
      <c r="E720" s="45" t="n">
        <v>446034760</v>
      </c>
      <c r="H720" s="21" t="n">
        <v>1200</v>
      </c>
      <c r="I720" s="21" t="n">
        <v>1200</v>
      </c>
      <c r="J720" s="21" t="n">
        <v>0</v>
      </c>
      <c r="K720" s="21" t="n">
        <v>0</v>
      </c>
      <c r="L720" s="46"/>
      <c r="M720" s="47" t="s">
        <v>1214</v>
      </c>
      <c r="N720" s="33" t="n">
        <f aca="false">DAY(M720)</f>
        <v>25</v>
      </c>
      <c r="O720" s="33" t="str">
        <f aca="false">TEXT(M720,"DDDD")</f>
        <v>martes</v>
      </c>
      <c r="P720" s="6" t="n">
        <f aca="false">MONTH(M720)</f>
        <v>11</v>
      </c>
      <c r="Q720" s="26" t="str">
        <f aca="false">TEXT(M720,"MMMM")</f>
        <v>noviembre</v>
      </c>
    </row>
    <row r="721" customFormat="false" ht="14.25" hidden="false" customHeight="false" outlineLevel="0" collapsed="false">
      <c r="A721" s="21" t="n">
        <v>11</v>
      </c>
      <c r="B721" s="21" t="s">
        <v>1220</v>
      </c>
      <c r="C721" s="21" t="s">
        <v>20</v>
      </c>
      <c r="D721" s="21" t="s">
        <v>1221</v>
      </c>
      <c r="E721" s="45" t="n">
        <v>446030648</v>
      </c>
      <c r="H721" s="21" t="n">
        <v>2550</v>
      </c>
      <c r="I721" s="21" t="n">
        <v>1200</v>
      </c>
      <c r="J721" s="21" t="n">
        <v>0</v>
      </c>
      <c r="K721" s="21" t="n">
        <v>1350</v>
      </c>
      <c r="L721" s="46"/>
      <c r="M721" s="47" t="s">
        <v>1214</v>
      </c>
      <c r="N721" s="33" t="n">
        <f aca="false">DAY(M721)</f>
        <v>25</v>
      </c>
      <c r="O721" s="33" t="str">
        <f aca="false">TEXT(M721,"DDDD")</f>
        <v>martes</v>
      </c>
      <c r="P721" s="6" t="n">
        <f aca="false">MONTH(M721)</f>
        <v>11</v>
      </c>
      <c r="Q721" s="26" t="str">
        <f aca="false">TEXT(M721,"MMMM")</f>
        <v>noviembre</v>
      </c>
    </row>
    <row r="722" customFormat="false" ht="14.25" hidden="false" customHeight="false" outlineLevel="0" collapsed="false">
      <c r="A722" s="21" t="n">
        <v>11</v>
      </c>
      <c r="B722" s="21" t="s">
        <v>1222</v>
      </c>
      <c r="C722" s="21" t="s">
        <v>38</v>
      </c>
      <c r="D722" s="21" t="s">
        <v>1223</v>
      </c>
      <c r="E722" s="45" t="n">
        <v>446027453</v>
      </c>
      <c r="H722" s="21" t="n">
        <v>2950</v>
      </c>
      <c r="I722" s="21" t="n">
        <v>1350</v>
      </c>
      <c r="J722" s="21" t="n">
        <v>0</v>
      </c>
      <c r="K722" s="21" t="n">
        <v>1600</v>
      </c>
      <c r="L722" s="46"/>
      <c r="M722" s="47" t="s">
        <v>1214</v>
      </c>
      <c r="N722" s="33" t="n">
        <f aca="false">DAY(M722)</f>
        <v>25</v>
      </c>
      <c r="O722" s="33" t="str">
        <f aca="false">TEXT(M722,"DDDD")</f>
        <v>martes</v>
      </c>
      <c r="P722" s="6" t="n">
        <f aca="false">MONTH(M722)</f>
        <v>11</v>
      </c>
      <c r="Q722" s="26" t="str">
        <f aca="false">TEXT(M722,"MMMM")</f>
        <v>noviembre</v>
      </c>
    </row>
    <row r="723" customFormat="false" ht="14.25" hidden="false" customHeight="false" outlineLevel="0" collapsed="false">
      <c r="A723" s="21" t="n">
        <v>11</v>
      </c>
      <c r="B723" s="21" t="s">
        <v>1224</v>
      </c>
      <c r="C723" s="21" t="s">
        <v>140</v>
      </c>
      <c r="D723" s="21" t="s">
        <v>1225</v>
      </c>
      <c r="E723" s="45" t="n">
        <v>446025575</v>
      </c>
      <c r="H723" s="21" t="n">
        <v>1740</v>
      </c>
      <c r="I723" s="21" t="n">
        <v>1250</v>
      </c>
      <c r="J723" s="21" t="n">
        <v>0</v>
      </c>
      <c r="K723" s="21" t="n">
        <v>490</v>
      </c>
      <c r="L723" s="46"/>
      <c r="M723" s="47" t="s">
        <v>1214</v>
      </c>
      <c r="N723" s="33" t="n">
        <f aca="false">DAY(M723)</f>
        <v>25</v>
      </c>
      <c r="O723" s="33" t="str">
        <f aca="false">TEXT(M723,"DDDD")</f>
        <v>martes</v>
      </c>
      <c r="P723" s="6" t="n">
        <f aca="false">MONTH(M723)</f>
        <v>11</v>
      </c>
      <c r="Q723" s="26" t="str">
        <f aca="false">TEXT(M723,"MMMM")</f>
        <v>noviembre</v>
      </c>
    </row>
    <row r="724" customFormat="false" ht="14.25" hidden="false" customHeight="false" outlineLevel="0" collapsed="false">
      <c r="A724" s="1" t="n">
        <v>12</v>
      </c>
      <c r="B724" s="1" t="s">
        <v>1226</v>
      </c>
      <c r="C724" s="1" t="s">
        <v>20</v>
      </c>
      <c r="D724" s="1" t="s">
        <v>76</v>
      </c>
      <c r="E724" s="2" t="n">
        <v>446407070</v>
      </c>
      <c r="H724" s="3" t="n">
        <v>3550</v>
      </c>
      <c r="I724" s="1" t="n">
        <v>1750</v>
      </c>
      <c r="J724" s="1" t="n">
        <v>0</v>
      </c>
      <c r="K724" s="1" t="n">
        <v>1800</v>
      </c>
      <c r="M724" s="5" t="s">
        <v>1227</v>
      </c>
      <c r="N724" s="33" t="n">
        <f aca="false">DAY(M724)</f>
        <v>28</v>
      </c>
      <c r="O724" s="33" t="str">
        <f aca="false">TEXT(M724,"DDDD")</f>
        <v>viernes</v>
      </c>
      <c r="P724" s="6" t="n">
        <f aca="false">MONTH(M724)</f>
        <v>11</v>
      </c>
      <c r="Q724" s="26" t="str">
        <f aca="false">TEXT(M724,"MMMM")</f>
        <v>noviembre</v>
      </c>
    </row>
    <row r="725" customFormat="false" ht="14.25" hidden="false" customHeight="false" outlineLevel="0" collapsed="false">
      <c r="A725" s="1" t="n">
        <v>12</v>
      </c>
      <c r="B725" s="1" t="s">
        <v>1228</v>
      </c>
      <c r="C725" s="1" t="s">
        <v>20</v>
      </c>
      <c r="D725" s="1" t="s">
        <v>468</v>
      </c>
      <c r="E725" s="2" t="n">
        <v>446405740</v>
      </c>
      <c r="H725" s="3" t="n">
        <v>2900</v>
      </c>
      <c r="I725" s="1" t="n">
        <v>1200</v>
      </c>
      <c r="J725" s="1" t="n">
        <v>0</v>
      </c>
      <c r="K725" s="1" t="n">
        <v>1700</v>
      </c>
      <c r="M725" s="5" t="s">
        <v>1227</v>
      </c>
      <c r="N725" s="33" t="n">
        <f aca="false">DAY(M725)</f>
        <v>28</v>
      </c>
      <c r="O725" s="33" t="str">
        <f aca="false">TEXT(M725,"DDDD")</f>
        <v>viernes</v>
      </c>
      <c r="P725" s="6" t="n">
        <f aca="false">MONTH(M725)</f>
        <v>11</v>
      </c>
      <c r="Q725" s="26" t="str">
        <f aca="false">TEXT(M725,"MMMM")</f>
        <v>noviembre</v>
      </c>
    </row>
    <row r="726" customFormat="false" ht="14.25" hidden="false" customHeight="false" outlineLevel="0" collapsed="false">
      <c r="A726" s="1" t="n">
        <v>12</v>
      </c>
      <c r="B726" s="1" t="s">
        <v>1229</v>
      </c>
      <c r="C726" s="1" t="s">
        <v>20</v>
      </c>
      <c r="D726" s="1" t="s">
        <v>468</v>
      </c>
      <c r="E726" s="2" t="n">
        <v>446400689</v>
      </c>
      <c r="H726" s="3" t="n">
        <v>2000</v>
      </c>
      <c r="I726" s="1" t="n">
        <v>1200</v>
      </c>
      <c r="J726" s="1" t="n">
        <v>0</v>
      </c>
      <c r="K726" s="1" t="n">
        <v>800</v>
      </c>
      <c r="M726" s="5" t="s">
        <v>1227</v>
      </c>
      <c r="N726" s="33" t="n">
        <f aca="false">DAY(M726)</f>
        <v>28</v>
      </c>
      <c r="O726" s="33" t="str">
        <f aca="false">TEXT(M726,"DDDD")</f>
        <v>viernes</v>
      </c>
      <c r="P726" s="6" t="n">
        <f aca="false">MONTH(M726)</f>
        <v>11</v>
      </c>
      <c r="Q726" s="26" t="str">
        <f aca="false">TEXT(M726,"MMMM")</f>
        <v>noviembre</v>
      </c>
    </row>
    <row r="727" customFormat="false" ht="14.25" hidden="false" customHeight="false" outlineLevel="0" collapsed="false">
      <c r="A727" s="1" t="n">
        <v>12</v>
      </c>
      <c r="B727" s="1" t="s">
        <v>1230</v>
      </c>
      <c r="C727" s="1" t="s">
        <v>20</v>
      </c>
      <c r="D727" s="1" t="s">
        <v>1123</v>
      </c>
      <c r="E727" s="2" t="n">
        <v>446383862</v>
      </c>
      <c r="H727" s="3" t="n">
        <v>2860</v>
      </c>
      <c r="I727" s="1" t="n">
        <v>1400</v>
      </c>
      <c r="J727" s="1" t="n">
        <v>0</v>
      </c>
      <c r="K727" s="1" t="n">
        <v>1460</v>
      </c>
      <c r="M727" s="5" t="s">
        <v>1227</v>
      </c>
      <c r="N727" s="33" t="n">
        <f aca="false">DAY(M727)</f>
        <v>28</v>
      </c>
      <c r="O727" s="33" t="str">
        <f aca="false">TEXT(M727,"DDDD")</f>
        <v>viernes</v>
      </c>
      <c r="P727" s="6" t="n">
        <f aca="false">MONTH(M727)</f>
        <v>11</v>
      </c>
      <c r="Q727" s="26" t="str">
        <f aca="false">TEXT(M727,"MMMM")</f>
        <v>noviembre</v>
      </c>
    </row>
    <row r="728" customFormat="false" ht="14.25" hidden="false" customHeight="false" outlineLevel="0" collapsed="false">
      <c r="A728" s="1" t="n">
        <v>11</v>
      </c>
      <c r="B728" s="1" t="s">
        <v>1231</v>
      </c>
      <c r="C728" s="1" t="s">
        <v>20</v>
      </c>
      <c r="D728" s="1" t="s">
        <v>1232</v>
      </c>
      <c r="E728" s="2" t="n">
        <v>446373316</v>
      </c>
      <c r="H728" s="3" t="n">
        <v>3960</v>
      </c>
      <c r="I728" s="1" t="n">
        <v>2300</v>
      </c>
      <c r="J728" s="1" t="n">
        <v>0</v>
      </c>
      <c r="K728" s="1" t="n">
        <v>1660</v>
      </c>
      <c r="M728" s="5" t="s">
        <v>1227</v>
      </c>
      <c r="N728" s="33" t="n">
        <f aca="false">DAY(M728)</f>
        <v>28</v>
      </c>
      <c r="O728" s="33" t="str">
        <f aca="false">TEXT(M728,"DDDD")</f>
        <v>viernes</v>
      </c>
      <c r="P728" s="6" t="n">
        <f aca="false">MONTH(M728)</f>
        <v>11</v>
      </c>
      <c r="Q728" s="26" t="str">
        <f aca="false">TEXT(M728,"MMMM")</f>
        <v>noviembre</v>
      </c>
    </row>
    <row r="729" customFormat="false" ht="14.25" hidden="false" customHeight="false" outlineLevel="0" collapsed="false">
      <c r="A729" s="1" t="n">
        <v>11</v>
      </c>
      <c r="B729" s="1" t="s">
        <v>1233</v>
      </c>
      <c r="C729" s="1" t="s">
        <v>20</v>
      </c>
      <c r="D729" s="1" t="s">
        <v>526</v>
      </c>
      <c r="E729" s="2" t="n">
        <v>446361037</v>
      </c>
      <c r="H729" s="3" t="n">
        <v>1950</v>
      </c>
      <c r="I729" s="1" t="n">
        <v>1250</v>
      </c>
      <c r="J729" s="1" t="n">
        <v>0</v>
      </c>
      <c r="K729" s="1" t="n">
        <v>700</v>
      </c>
      <c r="M729" s="5" t="s">
        <v>1227</v>
      </c>
      <c r="N729" s="33" t="n">
        <f aca="false">DAY(M729)</f>
        <v>28</v>
      </c>
      <c r="O729" s="33" t="str">
        <f aca="false">TEXT(M729,"DDDD")</f>
        <v>viernes</v>
      </c>
      <c r="P729" s="6" t="n">
        <f aca="false">MONTH(M729)</f>
        <v>11</v>
      </c>
      <c r="Q729" s="26" t="str">
        <f aca="false">TEXT(M729,"MMMM")</f>
        <v>noviembre</v>
      </c>
    </row>
    <row r="730" customFormat="false" ht="14.25" hidden="false" customHeight="false" outlineLevel="0" collapsed="false">
      <c r="A730" s="1" t="n">
        <v>11</v>
      </c>
      <c r="B730" s="1" t="s">
        <v>1234</v>
      </c>
      <c r="C730" s="1" t="s">
        <v>20</v>
      </c>
      <c r="D730" s="1" t="s">
        <v>1235</v>
      </c>
      <c r="E730" s="2" t="n">
        <v>446354323</v>
      </c>
      <c r="F730" s="21" t="s">
        <v>1236</v>
      </c>
      <c r="G730" s="1" t="n">
        <v>446353603</v>
      </c>
      <c r="H730" s="3" t="n">
        <v>4220</v>
      </c>
      <c r="I730" s="1" t="n">
        <v>1800</v>
      </c>
      <c r="J730" s="1" t="n">
        <v>0</v>
      </c>
      <c r="K730" s="1" t="n">
        <v>2420</v>
      </c>
      <c r="M730" s="5" t="s">
        <v>1227</v>
      </c>
      <c r="N730" s="33" t="n">
        <f aca="false">DAY(M730)</f>
        <v>28</v>
      </c>
      <c r="O730" s="33" t="str">
        <f aca="false">TEXT(M730,"DDDD")</f>
        <v>viernes</v>
      </c>
      <c r="P730" s="6" t="n">
        <f aca="false">MONTH(M730)</f>
        <v>11</v>
      </c>
      <c r="Q730" s="26" t="str">
        <f aca="false">TEXT(M730,"MMMM")</f>
        <v>noviembre</v>
      </c>
    </row>
    <row r="731" customFormat="false" ht="14.25" hidden="false" customHeight="false" outlineLevel="0" collapsed="false">
      <c r="A731" s="1" t="n">
        <v>12</v>
      </c>
      <c r="B731" s="1" t="s">
        <v>1237</v>
      </c>
      <c r="C731" s="1" t="s">
        <v>20</v>
      </c>
      <c r="D731" s="1" t="s">
        <v>1238</v>
      </c>
      <c r="E731" s="2" t="n">
        <v>446551867</v>
      </c>
      <c r="H731" s="3" t="n">
        <v>3601</v>
      </c>
      <c r="I731" s="1" t="n">
        <v>2541</v>
      </c>
      <c r="J731" s="1" t="n">
        <v>0</v>
      </c>
      <c r="K731" s="1" t="n">
        <v>1060</v>
      </c>
      <c r="M731" s="5" t="s">
        <v>1239</v>
      </c>
      <c r="N731" s="33" t="n">
        <f aca="false">DAY(M731)</f>
        <v>29</v>
      </c>
      <c r="O731" s="33" t="str">
        <f aca="false">TEXT(M731,"DDDD")</f>
        <v>sábado</v>
      </c>
      <c r="P731" s="6" t="n">
        <f aca="false">MONTH(M731)</f>
        <v>11</v>
      </c>
      <c r="Q731" s="26" t="str">
        <f aca="false">TEXT(M731,"MMMM")</f>
        <v>noviembre</v>
      </c>
    </row>
    <row r="732" customFormat="false" ht="14.25" hidden="false" customHeight="false" outlineLevel="0" collapsed="false">
      <c r="A732" s="1" t="n">
        <v>12</v>
      </c>
      <c r="B732" s="1" t="s">
        <v>1240</v>
      </c>
      <c r="C732" s="1" t="s">
        <v>38</v>
      </c>
      <c r="D732" s="1" t="s">
        <v>1241</v>
      </c>
      <c r="E732" s="2" t="n">
        <v>446548680</v>
      </c>
      <c r="H732" s="3" t="n">
        <v>2304.4</v>
      </c>
      <c r="I732" s="1" t="n">
        <v>1764.4</v>
      </c>
      <c r="J732" s="1" t="n">
        <v>0</v>
      </c>
      <c r="K732" s="1" t="n">
        <v>540</v>
      </c>
      <c r="M732" s="5" t="s">
        <v>1239</v>
      </c>
      <c r="N732" s="33" t="n">
        <f aca="false">DAY(M732)</f>
        <v>29</v>
      </c>
      <c r="O732" s="33" t="str">
        <f aca="false">TEXT(M732,"DDDD")</f>
        <v>sábado</v>
      </c>
      <c r="P732" s="6" t="n">
        <f aca="false">MONTH(M732)</f>
        <v>11</v>
      </c>
      <c r="Q732" s="26" t="str">
        <f aca="false">TEXT(M732,"MMMM")</f>
        <v>noviembre</v>
      </c>
    </row>
    <row r="733" customFormat="false" ht="14.25" hidden="false" customHeight="false" outlineLevel="0" collapsed="false">
      <c r="A733" s="1" t="n">
        <v>12</v>
      </c>
      <c r="B733" s="1" t="s">
        <v>1242</v>
      </c>
      <c r="C733" s="1" t="s">
        <v>20</v>
      </c>
      <c r="D733" s="1" t="s">
        <v>1243</v>
      </c>
      <c r="E733" s="2" t="n">
        <v>446541558</v>
      </c>
      <c r="H733" s="3" t="n">
        <v>3700</v>
      </c>
      <c r="I733" s="1" t="n">
        <v>3700</v>
      </c>
      <c r="J733" s="1" t="n">
        <v>0</v>
      </c>
      <c r="K733" s="1" t="n">
        <v>0</v>
      </c>
      <c r="M733" s="5" t="s">
        <v>1239</v>
      </c>
      <c r="N733" s="33" t="n">
        <f aca="false">DAY(M733)</f>
        <v>29</v>
      </c>
      <c r="O733" s="33" t="str">
        <f aca="false">TEXT(M733,"DDDD")</f>
        <v>sábado</v>
      </c>
      <c r="P733" s="6" t="n">
        <f aca="false">MONTH(M733)</f>
        <v>11</v>
      </c>
      <c r="Q733" s="26" t="str">
        <f aca="false">TEXT(M733,"MMMM")</f>
        <v>noviembre</v>
      </c>
    </row>
    <row r="734" customFormat="false" ht="14.25" hidden="false" customHeight="false" outlineLevel="0" collapsed="false">
      <c r="A734" s="1" t="n">
        <v>12</v>
      </c>
      <c r="B734" s="1" t="s">
        <v>1230</v>
      </c>
      <c r="C734" s="1" t="s">
        <v>38</v>
      </c>
      <c r="D734" s="1" t="s">
        <v>1244</v>
      </c>
      <c r="E734" s="2" t="n">
        <v>446537934</v>
      </c>
      <c r="H734" s="3" t="n">
        <v>2741</v>
      </c>
      <c r="I734" s="1" t="n">
        <v>2541</v>
      </c>
      <c r="J734" s="1" t="n">
        <v>0</v>
      </c>
      <c r="K734" s="1" t="n">
        <v>200</v>
      </c>
      <c r="M734" s="5" t="s">
        <v>1239</v>
      </c>
      <c r="N734" s="33" t="n">
        <f aca="false">DAY(M734)</f>
        <v>29</v>
      </c>
      <c r="O734" s="33" t="str">
        <f aca="false">TEXT(M734,"DDDD")</f>
        <v>sábado</v>
      </c>
      <c r="P734" s="6" t="n">
        <f aca="false">MONTH(M734)</f>
        <v>11</v>
      </c>
      <c r="Q734" s="26" t="str">
        <f aca="false">TEXT(M734,"MMMM")</f>
        <v>noviembre</v>
      </c>
    </row>
    <row r="735" customFormat="false" ht="14.25" hidden="false" customHeight="false" outlineLevel="0" collapsed="false">
      <c r="A735" s="1" t="n">
        <v>12</v>
      </c>
      <c r="B735" s="1" t="s">
        <v>1245</v>
      </c>
      <c r="C735" s="1" t="s">
        <v>38</v>
      </c>
      <c r="D735" s="1" t="s">
        <v>1246</v>
      </c>
      <c r="E735" s="2" t="n">
        <v>446498982</v>
      </c>
      <c r="H735" s="3" t="n">
        <v>4910</v>
      </c>
      <c r="I735" s="1" t="n">
        <v>3050</v>
      </c>
      <c r="J735" s="1" t="n">
        <v>0</v>
      </c>
      <c r="K735" s="1" t="n">
        <v>1860</v>
      </c>
      <c r="M735" s="5" t="s">
        <v>1239</v>
      </c>
      <c r="N735" s="33" t="n">
        <f aca="false">DAY(M735)</f>
        <v>29</v>
      </c>
      <c r="O735" s="33" t="str">
        <f aca="false">TEXT(M735,"DDDD")</f>
        <v>sábado</v>
      </c>
      <c r="P735" s="6" t="n">
        <f aca="false">MONTH(M735)</f>
        <v>11</v>
      </c>
      <c r="Q735" s="26" t="str">
        <f aca="false">TEXT(M735,"MMMM")</f>
        <v>noviembre</v>
      </c>
    </row>
    <row r="736" customFormat="false" ht="14.25" hidden="false" customHeight="false" outlineLevel="0" collapsed="false">
      <c r="A736" s="1" t="n">
        <v>11</v>
      </c>
      <c r="B736" s="1" t="s">
        <v>1247</v>
      </c>
      <c r="C736" s="1" t="s">
        <v>38</v>
      </c>
      <c r="D736" s="1" t="s">
        <v>1248</v>
      </c>
      <c r="E736" s="2" t="n">
        <v>446520095</v>
      </c>
      <c r="H736" s="3" t="n">
        <v>3981</v>
      </c>
      <c r="I736" s="1" t="n">
        <v>2541</v>
      </c>
      <c r="J736" s="1" t="n">
        <v>0</v>
      </c>
      <c r="K736" s="1" t="n">
        <v>1440</v>
      </c>
      <c r="M736" s="5" t="s">
        <v>1239</v>
      </c>
      <c r="N736" s="33" t="n">
        <f aca="false">DAY(M736)</f>
        <v>29</v>
      </c>
      <c r="O736" s="33" t="str">
        <f aca="false">TEXT(M736,"DDDD")</f>
        <v>sábado</v>
      </c>
      <c r="P736" s="6" t="n">
        <f aca="false">MONTH(M736)</f>
        <v>11</v>
      </c>
      <c r="Q736" s="26" t="str">
        <f aca="false">TEXT(M736,"MMMM")</f>
        <v>noviembre</v>
      </c>
    </row>
    <row r="737" customFormat="false" ht="14.25" hidden="false" customHeight="false" outlineLevel="0" collapsed="false">
      <c r="A737" s="1" t="n">
        <v>11</v>
      </c>
      <c r="B737" s="1" t="s">
        <v>1249</v>
      </c>
      <c r="C737" s="1" t="s">
        <v>20</v>
      </c>
      <c r="D737" s="1" t="s">
        <v>1250</v>
      </c>
      <c r="E737" s="2" t="n">
        <v>446506182</v>
      </c>
      <c r="F737" s="21" t="s">
        <v>1251</v>
      </c>
      <c r="G737" s="1" t="n">
        <v>446510833</v>
      </c>
      <c r="H737" s="3" t="n">
        <v>8710</v>
      </c>
      <c r="I737" s="1" t="n">
        <v>3450</v>
      </c>
      <c r="J737" s="1" t="n">
        <v>0</v>
      </c>
      <c r="K737" s="1" t="n">
        <v>5260</v>
      </c>
      <c r="M737" s="5" t="s">
        <v>1239</v>
      </c>
      <c r="N737" s="33" t="n">
        <f aca="false">DAY(M737)</f>
        <v>29</v>
      </c>
      <c r="O737" s="33" t="str">
        <f aca="false">TEXT(M737,"DDDD")</f>
        <v>sábado</v>
      </c>
      <c r="P737" s="6" t="n">
        <f aca="false">MONTH(M737)</f>
        <v>11</v>
      </c>
      <c r="Q737" s="26" t="str">
        <f aca="false">TEXT(M737,"MMMM")</f>
        <v>noviembre</v>
      </c>
    </row>
    <row r="738" customFormat="false" ht="14.25" hidden="false" customHeight="false" outlineLevel="0" collapsed="false">
      <c r="A738" s="1" t="n">
        <v>11</v>
      </c>
      <c r="B738" s="1" t="s">
        <v>1252</v>
      </c>
      <c r="C738" s="1" t="s">
        <v>20</v>
      </c>
      <c r="D738" s="1" t="s">
        <v>1253</v>
      </c>
      <c r="E738" s="2" t="n">
        <v>446498173</v>
      </c>
      <c r="H738" s="3" t="n">
        <v>5150</v>
      </c>
      <c r="I738" s="1" t="n">
        <v>4150</v>
      </c>
      <c r="J738" s="1" t="n">
        <v>0</v>
      </c>
      <c r="K738" s="1" t="n">
        <v>1000</v>
      </c>
      <c r="M738" s="5" t="s">
        <v>1239</v>
      </c>
      <c r="N738" s="33" t="n">
        <f aca="false">DAY(M738)</f>
        <v>29</v>
      </c>
      <c r="O738" s="33" t="str">
        <f aca="false">TEXT(M738,"DDDD")</f>
        <v>sábado</v>
      </c>
      <c r="P738" s="6" t="n">
        <f aca="false">MONTH(M738)</f>
        <v>11</v>
      </c>
      <c r="Q738" s="26" t="str">
        <f aca="false">TEXT(M738,"MMMM")</f>
        <v>noviembre</v>
      </c>
    </row>
    <row r="739" customFormat="false" ht="14.25" hidden="false" customHeight="false" outlineLevel="0" collapsed="false">
      <c r="A739" s="1" t="n">
        <v>11</v>
      </c>
      <c r="B739" s="1" t="s">
        <v>1254</v>
      </c>
      <c r="C739" s="1" t="s">
        <v>38</v>
      </c>
      <c r="D739" s="1" t="s">
        <v>1255</v>
      </c>
      <c r="E739" s="2" t="n">
        <v>446498025</v>
      </c>
      <c r="H739" s="3" t="n">
        <v>4141</v>
      </c>
      <c r="I739" s="1" t="n">
        <v>2541</v>
      </c>
      <c r="J739" s="1" t="n">
        <v>0</v>
      </c>
      <c r="K739" s="1" t="n">
        <v>1600</v>
      </c>
      <c r="M739" s="5" t="s">
        <v>1239</v>
      </c>
      <c r="N739" s="33" t="n">
        <f aca="false">DAY(M739)</f>
        <v>29</v>
      </c>
      <c r="O739" s="33" t="str">
        <f aca="false">TEXT(M739,"DDDD")</f>
        <v>sábado</v>
      </c>
      <c r="P739" s="6" t="n">
        <f aca="false">MONTH(M739)</f>
        <v>11</v>
      </c>
      <c r="Q739" s="26" t="str">
        <f aca="false">TEXT(M739,"MMMM")</f>
        <v>noviembre</v>
      </c>
    </row>
    <row r="740" customFormat="false" ht="14.25" hidden="false" customHeight="false" outlineLevel="0" collapsed="false">
      <c r="A740" s="1" t="n">
        <v>10</v>
      </c>
      <c r="B740" s="1" t="s">
        <v>1256</v>
      </c>
      <c r="C740" s="1" t="s">
        <v>38</v>
      </c>
      <c r="D740" s="1" t="s">
        <v>87</v>
      </c>
      <c r="E740" s="2" t="n">
        <v>446494489</v>
      </c>
      <c r="H740" s="3" t="n">
        <v>3750</v>
      </c>
      <c r="I740" s="1" t="n">
        <v>2950</v>
      </c>
      <c r="J740" s="1" t="n">
        <v>0</v>
      </c>
      <c r="K740" s="1" t="n">
        <v>800</v>
      </c>
      <c r="M740" s="5" t="s">
        <v>1239</v>
      </c>
      <c r="N740" s="33" t="n">
        <f aca="false">DAY(M740)</f>
        <v>29</v>
      </c>
      <c r="O740" s="33" t="str">
        <f aca="false">TEXT(M740,"DDDD")</f>
        <v>sábado</v>
      </c>
      <c r="P740" s="6" t="n">
        <f aca="false">MONTH(M740)</f>
        <v>11</v>
      </c>
      <c r="Q740" s="26" t="str">
        <f aca="false">TEXT(M740,"MMMM")</f>
        <v>noviembre</v>
      </c>
    </row>
    <row r="741" customFormat="false" ht="14.25" hidden="false" customHeight="false" outlineLevel="0" collapsed="false">
      <c r="A741" s="1" t="n">
        <v>10</v>
      </c>
      <c r="B741" s="1" t="s">
        <v>1257</v>
      </c>
      <c r="C741" s="1" t="s">
        <v>38</v>
      </c>
      <c r="D741" s="1" t="s">
        <v>1258</v>
      </c>
      <c r="E741" s="2" t="n">
        <v>446491066</v>
      </c>
      <c r="H741" s="3" t="n">
        <v>3341</v>
      </c>
      <c r="I741" s="1" t="n">
        <v>2541</v>
      </c>
      <c r="J741" s="1" t="n">
        <v>0</v>
      </c>
      <c r="K741" s="1" t="n">
        <v>800</v>
      </c>
      <c r="M741" s="5" t="s">
        <v>1239</v>
      </c>
      <c r="N741" s="33" t="n">
        <f aca="false">DAY(M741)</f>
        <v>29</v>
      </c>
      <c r="O741" s="33" t="str">
        <f aca="false">TEXT(M741,"DDDD")</f>
        <v>sábado</v>
      </c>
      <c r="P741" s="6" t="n">
        <f aca="false">MONTH(M741)</f>
        <v>11</v>
      </c>
      <c r="Q741" s="26" t="str">
        <f aca="false">TEXT(M741,"MMMM")</f>
        <v>noviembre</v>
      </c>
    </row>
    <row r="742" customFormat="false" ht="14.25" hidden="false" customHeight="false" outlineLevel="0" collapsed="false">
      <c r="A742" s="1" t="n">
        <v>10</v>
      </c>
      <c r="B742" s="1" t="s">
        <v>1259</v>
      </c>
      <c r="C742" s="1" t="s">
        <v>38</v>
      </c>
      <c r="D742" s="1" t="s">
        <v>31</v>
      </c>
      <c r="E742" s="2" t="n">
        <v>446486528</v>
      </c>
      <c r="F742" s="21" t="s">
        <v>1260</v>
      </c>
      <c r="H742" s="3" t="n">
        <v>5680</v>
      </c>
      <c r="I742" s="1" t="n">
        <v>3800</v>
      </c>
      <c r="J742" s="1" t="n">
        <v>0</v>
      </c>
      <c r="K742" s="1" t="n">
        <v>1880</v>
      </c>
      <c r="M742" s="5" t="s">
        <v>1239</v>
      </c>
      <c r="N742" s="33" t="n">
        <f aca="false">DAY(M742)</f>
        <v>29</v>
      </c>
      <c r="O742" s="33" t="str">
        <f aca="false">TEXT(M742,"DDDD")</f>
        <v>sábado</v>
      </c>
      <c r="P742" s="6" t="n">
        <f aca="false">MONTH(M742)</f>
        <v>11</v>
      </c>
      <c r="Q742" s="26" t="str">
        <f aca="false">TEXT(M742,"MMMM")</f>
        <v>noviembre</v>
      </c>
    </row>
    <row r="743" customFormat="false" ht="14.25" hidden="false" customHeight="false" outlineLevel="0" collapsed="false">
      <c r="A743" s="1" t="n">
        <v>10</v>
      </c>
      <c r="B743" s="1" t="s">
        <v>1261</v>
      </c>
      <c r="C743" s="1" t="s">
        <v>20</v>
      </c>
      <c r="D743" s="1" t="s">
        <v>1154</v>
      </c>
      <c r="E743" s="2" t="n">
        <v>446484279</v>
      </c>
      <c r="H743" s="3" t="n">
        <v>3100</v>
      </c>
      <c r="I743" s="1" t="n">
        <v>1200</v>
      </c>
      <c r="J743" s="1" t="n">
        <v>0</v>
      </c>
      <c r="K743" s="1" t="n">
        <v>1900</v>
      </c>
      <c r="M743" s="5" t="s">
        <v>1239</v>
      </c>
      <c r="N743" s="33" t="n">
        <f aca="false">DAY(M743)</f>
        <v>29</v>
      </c>
      <c r="O743" s="33" t="str">
        <f aca="false">TEXT(M743,"DDDD")</f>
        <v>sábado</v>
      </c>
      <c r="P743" s="6" t="n">
        <f aca="false">MONTH(M743)</f>
        <v>11</v>
      </c>
      <c r="Q743" s="26" t="str">
        <f aca="false">TEXT(M743,"MMMM")</f>
        <v>noviembre</v>
      </c>
    </row>
    <row r="744" customFormat="false" ht="14.25" hidden="false" customHeight="false" outlineLevel="0" collapsed="false">
      <c r="A744" s="1" t="n">
        <v>3</v>
      </c>
      <c r="B744" s="1" t="s">
        <v>1262</v>
      </c>
      <c r="C744" s="1" t="s">
        <v>38</v>
      </c>
      <c r="D744" s="1" t="s">
        <v>1067</v>
      </c>
      <c r="E744" s="2" t="n">
        <v>446428404</v>
      </c>
      <c r="H744" s="3" t="n">
        <v>3050</v>
      </c>
      <c r="I744" s="1" t="n">
        <v>2950</v>
      </c>
      <c r="J744" s="1" t="n">
        <v>0</v>
      </c>
      <c r="K744" s="1" t="n">
        <v>100</v>
      </c>
      <c r="M744" s="5" t="s">
        <v>1239</v>
      </c>
      <c r="N744" s="33" t="n">
        <f aca="false">DAY(M744)</f>
        <v>29</v>
      </c>
      <c r="O744" s="33" t="str">
        <f aca="false">TEXT(M744,"DDDD")</f>
        <v>sábado</v>
      </c>
      <c r="P744" s="6" t="n">
        <f aca="false">MONTH(M744)</f>
        <v>11</v>
      </c>
      <c r="Q744" s="26" t="str">
        <f aca="false">TEXT(M744,"MMMM")</f>
        <v>noviembre</v>
      </c>
    </row>
    <row r="745" customFormat="false" ht="14.25" hidden="false" customHeight="false" outlineLevel="0" collapsed="false">
      <c r="A745" s="1" t="n">
        <v>3</v>
      </c>
      <c r="B745" s="1" t="s">
        <v>1263</v>
      </c>
      <c r="C745" s="1" t="s">
        <v>20</v>
      </c>
      <c r="D745" s="1" t="s">
        <v>163</v>
      </c>
      <c r="E745" s="2" t="n">
        <v>446428217</v>
      </c>
      <c r="H745" s="3" t="n">
        <v>2040</v>
      </c>
      <c r="I745" s="1" t="n">
        <v>1200</v>
      </c>
      <c r="J745" s="1" t="n">
        <v>0</v>
      </c>
      <c r="K745" s="1" t="n">
        <v>840</v>
      </c>
      <c r="M745" s="5" t="s">
        <v>1239</v>
      </c>
      <c r="N745" s="33" t="n">
        <f aca="false">DAY(M745)</f>
        <v>29</v>
      </c>
      <c r="O745" s="33" t="str">
        <f aca="false">TEXT(M745,"DDDD")</f>
        <v>sábado</v>
      </c>
      <c r="P745" s="6" t="n">
        <f aca="false">MONTH(M745)</f>
        <v>11</v>
      </c>
      <c r="Q745" s="26" t="str">
        <f aca="false">TEXT(M745,"MMMM")</f>
        <v>noviembre</v>
      </c>
    </row>
    <row r="746" customFormat="false" ht="14.25" hidden="false" customHeight="false" outlineLevel="0" collapsed="false">
      <c r="A746" s="1" t="n">
        <v>3</v>
      </c>
      <c r="B746" s="1" t="s">
        <v>1264</v>
      </c>
      <c r="C746" s="1" t="s">
        <v>20</v>
      </c>
      <c r="D746" s="1" t="s">
        <v>85</v>
      </c>
      <c r="E746" s="2" t="n">
        <v>446427924</v>
      </c>
      <c r="H746" s="3" t="n">
        <v>3060</v>
      </c>
      <c r="I746" s="1" t="n">
        <v>1200</v>
      </c>
      <c r="J746" s="1" t="n">
        <v>0</v>
      </c>
      <c r="K746" s="1" t="n">
        <v>1860</v>
      </c>
      <c r="M746" s="5" t="s">
        <v>1239</v>
      </c>
      <c r="N746" s="33" t="n">
        <f aca="false">DAY(M746)</f>
        <v>29</v>
      </c>
      <c r="O746" s="33" t="str">
        <f aca="false">TEXT(M746,"DDDD")</f>
        <v>sábado</v>
      </c>
      <c r="P746" s="6" t="n">
        <f aca="false">MONTH(M746)</f>
        <v>11</v>
      </c>
      <c r="Q746" s="26" t="str">
        <f aca="false">TEXT(M746,"MMMM")</f>
        <v>noviembre</v>
      </c>
    </row>
    <row r="747" customFormat="false" ht="14.25" hidden="false" customHeight="false" outlineLevel="0" collapsed="false">
      <c r="A747" s="1" t="n">
        <v>3</v>
      </c>
      <c r="B747" s="1" t="s">
        <v>1265</v>
      </c>
      <c r="C747" s="1" t="s">
        <v>38</v>
      </c>
      <c r="D747" s="1" t="s">
        <v>1266</v>
      </c>
      <c r="E747" s="2" t="n">
        <v>446427756</v>
      </c>
      <c r="H747" s="3" t="n">
        <v>1980</v>
      </c>
      <c r="I747" s="1" t="n">
        <v>1200</v>
      </c>
      <c r="J747" s="1" t="n">
        <v>0</v>
      </c>
      <c r="K747" s="1" t="n">
        <v>780</v>
      </c>
      <c r="M747" s="5" t="s">
        <v>1239</v>
      </c>
      <c r="N747" s="33" t="n">
        <f aca="false">DAY(M747)</f>
        <v>29</v>
      </c>
      <c r="O747" s="33" t="str">
        <f aca="false">TEXT(M747,"DDDD")</f>
        <v>sábado</v>
      </c>
      <c r="P747" s="6" t="n">
        <f aca="false">MONTH(M747)</f>
        <v>11</v>
      </c>
      <c r="Q747" s="26" t="str">
        <f aca="false">TEXT(M747,"MMMM")</f>
        <v>noviembre</v>
      </c>
    </row>
    <row r="748" customFormat="false" ht="14.25" hidden="false" customHeight="false" outlineLevel="0" collapsed="false">
      <c r="A748" s="1" t="n">
        <v>2</v>
      </c>
      <c r="B748" s="1" t="s">
        <v>1267</v>
      </c>
      <c r="C748" s="1" t="s">
        <v>20</v>
      </c>
      <c r="D748" s="1" t="s">
        <v>163</v>
      </c>
      <c r="E748" s="2" t="n">
        <v>446427501</v>
      </c>
      <c r="H748" s="3" t="n">
        <v>1350</v>
      </c>
      <c r="I748" s="1" t="n">
        <v>1350</v>
      </c>
      <c r="J748" s="1" t="n">
        <v>0</v>
      </c>
      <c r="K748" s="1" t="n">
        <v>0</v>
      </c>
      <c r="M748" s="5" t="s">
        <v>1239</v>
      </c>
      <c r="N748" s="33" t="n">
        <f aca="false">DAY(M748)</f>
        <v>29</v>
      </c>
      <c r="O748" s="33" t="str">
        <f aca="false">TEXT(M748,"DDDD")</f>
        <v>sábado</v>
      </c>
      <c r="P748" s="6" t="n">
        <f aca="false">MONTH(M748)</f>
        <v>11</v>
      </c>
      <c r="Q748" s="26" t="str">
        <f aca="false">TEXT(M748,"MMMM")</f>
        <v>noviembre</v>
      </c>
    </row>
    <row r="749" customFormat="false" ht="14.25" hidden="false" customHeight="false" outlineLevel="0" collapsed="false">
      <c r="A749" s="1" t="n">
        <v>2</v>
      </c>
      <c r="B749" s="1" t="s">
        <v>1268</v>
      </c>
      <c r="C749" s="1" t="s">
        <v>20</v>
      </c>
      <c r="D749" s="1" t="s">
        <v>85</v>
      </c>
      <c r="E749" s="2" t="n">
        <v>446426866</v>
      </c>
      <c r="H749" s="3" t="n">
        <v>3060</v>
      </c>
      <c r="I749" s="1" t="n">
        <v>1200</v>
      </c>
      <c r="J749" s="1" t="n">
        <v>0</v>
      </c>
      <c r="K749" s="1" t="n">
        <v>1860</v>
      </c>
      <c r="M749" s="5" t="s">
        <v>1239</v>
      </c>
      <c r="N749" s="33" t="n">
        <f aca="false">DAY(M749)</f>
        <v>29</v>
      </c>
      <c r="O749" s="33" t="str">
        <f aca="false">TEXT(M749,"DDDD")</f>
        <v>sábado</v>
      </c>
      <c r="P749" s="6" t="n">
        <f aca="false">MONTH(M749)</f>
        <v>11</v>
      </c>
      <c r="Q749" s="26" t="str">
        <f aca="false">TEXT(M749,"MMMM")</f>
        <v>noviembre</v>
      </c>
    </row>
    <row r="750" customFormat="false" ht="14.25" hidden="false" customHeight="false" outlineLevel="0" collapsed="false">
      <c r="A750" s="1" t="n">
        <v>2</v>
      </c>
      <c r="B750" s="1" t="s">
        <v>1269</v>
      </c>
      <c r="C750" s="1" t="s">
        <v>20</v>
      </c>
      <c r="D750" s="1" t="s">
        <v>198</v>
      </c>
      <c r="E750" s="2" t="n">
        <v>446425344</v>
      </c>
      <c r="H750" s="3" t="n">
        <v>2920</v>
      </c>
      <c r="I750" s="1" t="n">
        <v>1200</v>
      </c>
      <c r="J750" s="1" t="n">
        <v>0</v>
      </c>
      <c r="K750" s="1" t="n">
        <v>1720</v>
      </c>
      <c r="M750" s="5" t="s">
        <v>1239</v>
      </c>
      <c r="N750" s="33" t="n">
        <f aca="false">DAY(M750)</f>
        <v>29</v>
      </c>
      <c r="O750" s="33" t="str">
        <f aca="false">TEXT(M750,"DDDD")</f>
        <v>sábado</v>
      </c>
      <c r="P750" s="6" t="n">
        <f aca="false">MONTH(M750)</f>
        <v>11</v>
      </c>
      <c r="Q750" s="26" t="str">
        <f aca="false">TEXT(M750,"MMMM")</f>
        <v>noviembre</v>
      </c>
      <c r="R750" s="21" t="s">
        <v>198</v>
      </c>
      <c r="S750" s="1" t="n">
        <v>27842</v>
      </c>
    </row>
    <row r="751" customFormat="false" ht="14.25" hidden="false" customHeight="false" outlineLevel="0" collapsed="false">
      <c r="A751" s="1" t="n">
        <v>1</v>
      </c>
      <c r="B751" s="1" t="s">
        <v>1270</v>
      </c>
      <c r="C751" s="1" t="s">
        <v>20</v>
      </c>
      <c r="D751" s="1" t="s">
        <v>82</v>
      </c>
      <c r="E751" s="2" t="n">
        <v>446419111</v>
      </c>
      <c r="H751" s="3" t="n">
        <v>2160</v>
      </c>
      <c r="I751" s="1" t="n">
        <v>1200</v>
      </c>
      <c r="J751" s="1" t="n">
        <v>0</v>
      </c>
      <c r="K751" s="1" t="n">
        <v>960</v>
      </c>
      <c r="M751" s="5" t="s">
        <v>1239</v>
      </c>
      <c r="N751" s="33" t="n">
        <f aca="false">DAY(M751)</f>
        <v>29</v>
      </c>
      <c r="O751" s="33" t="str">
        <f aca="false">TEXT(M751,"DDDD")</f>
        <v>sábado</v>
      </c>
      <c r="P751" s="6" t="n">
        <f aca="false">MONTH(M751)</f>
        <v>11</v>
      </c>
      <c r="Q751" s="26" t="str">
        <f aca="false">TEXT(M751,"MMMM")</f>
        <v>noviembre</v>
      </c>
    </row>
    <row r="752" customFormat="false" ht="14.25" hidden="false" customHeight="false" outlineLevel="0" collapsed="false">
      <c r="A752" s="1" t="n">
        <v>3</v>
      </c>
      <c r="B752" s="1" t="s">
        <v>1271</v>
      </c>
      <c r="C752" s="1" t="s">
        <v>20</v>
      </c>
      <c r="D752" s="1" t="s">
        <v>163</v>
      </c>
      <c r="E752" s="2" t="n">
        <v>446572098</v>
      </c>
      <c r="F752" s="21" t="s">
        <v>163</v>
      </c>
      <c r="G752" s="1" t="n">
        <v>446572223</v>
      </c>
      <c r="H752" s="3" t="n">
        <v>2050</v>
      </c>
      <c r="I752" s="1" t="n">
        <v>2050</v>
      </c>
      <c r="J752" s="1" t="n">
        <v>0</v>
      </c>
      <c r="K752" s="1" t="n">
        <v>0</v>
      </c>
      <c r="M752" s="5" t="s">
        <v>1272</v>
      </c>
      <c r="N752" s="33" t="n">
        <f aca="false">DAY(M752)</f>
        <v>30</v>
      </c>
      <c r="O752" s="33" t="str">
        <f aca="false">TEXT(M752,"DDDD")</f>
        <v>domingo</v>
      </c>
      <c r="P752" s="6" t="n">
        <f aca="false">MONTH(M752)</f>
        <v>11</v>
      </c>
      <c r="Q752" s="26" t="str">
        <f aca="false">TEXT(M752,"MMMM")</f>
        <v>noviembre</v>
      </c>
      <c r="R752" s="21" t="s">
        <v>163</v>
      </c>
      <c r="S752" s="1" t="n">
        <v>21400</v>
      </c>
    </row>
    <row r="753" customFormat="false" ht="14.25" hidden="false" customHeight="false" outlineLevel="0" collapsed="false">
      <c r="A753" s="1" t="n">
        <v>2</v>
      </c>
      <c r="B753" s="1" t="s">
        <v>1273</v>
      </c>
      <c r="C753" s="1" t="s">
        <v>20</v>
      </c>
      <c r="D753" s="1" t="s">
        <v>85</v>
      </c>
      <c r="E753" s="2" t="n">
        <v>446571830</v>
      </c>
      <c r="H753" s="3" t="n">
        <v>1720</v>
      </c>
      <c r="I753" s="1" t="n">
        <v>1200</v>
      </c>
      <c r="J753" s="1" t="n">
        <v>0</v>
      </c>
      <c r="K753" s="1" t="n">
        <v>520</v>
      </c>
      <c r="M753" s="5" t="s">
        <v>1272</v>
      </c>
      <c r="N753" s="33" t="n">
        <f aca="false">DAY(M753)</f>
        <v>30</v>
      </c>
      <c r="O753" s="33" t="str">
        <f aca="false">TEXT(M753,"DDDD")</f>
        <v>domingo</v>
      </c>
      <c r="P753" s="6" t="n">
        <f aca="false">MONTH(M753)</f>
        <v>11</v>
      </c>
      <c r="Q753" s="26" t="str">
        <f aca="false">TEXT(M753,"MMMM")</f>
        <v>noviembre</v>
      </c>
    </row>
    <row r="754" customFormat="false" ht="14.25" hidden="false" customHeight="false" outlineLevel="0" collapsed="false">
      <c r="A754" s="1" t="n">
        <v>1</v>
      </c>
      <c r="B754" s="1" t="s">
        <v>1274</v>
      </c>
      <c r="C754" s="1" t="s">
        <v>38</v>
      </c>
      <c r="D754" s="1" t="s">
        <v>1275</v>
      </c>
      <c r="E754" s="2" t="n">
        <v>446568763</v>
      </c>
      <c r="H754" s="3" t="n">
        <v>1301</v>
      </c>
      <c r="I754" s="1" t="n">
        <v>1300</v>
      </c>
      <c r="J754" s="1" t="n">
        <v>0</v>
      </c>
      <c r="K754" s="1" t="n">
        <v>1</v>
      </c>
      <c r="M754" s="5" t="s">
        <v>1272</v>
      </c>
      <c r="N754" s="33" t="n">
        <f aca="false">DAY(M754)</f>
        <v>30</v>
      </c>
      <c r="O754" s="33" t="str">
        <f aca="false">TEXT(M754,"DDDD")</f>
        <v>domingo</v>
      </c>
      <c r="P754" s="6" t="n">
        <f aca="false">MONTH(M754)</f>
        <v>11</v>
      </c>
      <c r="Q754" s="26" t="str">
        <f aca="false">TEXT(M754,"MMMM")</f>
        <v>noviembre</v>
      </c>
    </row>
    <row r="755" customFormat="false" ht="14.25" hidden="false" customHeight="false" outlineLevel="0" collapsed="false">
      <c r="A755" s="1" t="n">
        <v>1</v>
      </c>
      <c r="B755" s="1" t="s">
        <v>1276</v>
      </c>
      <c r="C755" s="1" t="s">
        <v>20</v>
      </c>
      <c r="D755" s="1" t="s">
        <v>1277</v>
      </c>
      <c r="E755" s="2" t="n">
        <v>446566968</v>
      </c>
      <c r="H755" s="3" t="n">
        <v>3380</v>
      </c>
      <c r="I755" s="1" t="n">
        <v>1500</v>
      </c>
      <c r="J755" s="1" t="n">
        <v>0</v>
      </c>
      <c r="K755" s="1" t="n">
        <v>1880</v>
      </c>
      <c r="M755" s="5" t="s">
        <v>1272</v>
      </c>
      <c r="N755" s="33" t="n">
        <f aca="false">DAY(M755)</f>
        <v>30</v>
      </c>
      <c r="O755" s="33" t="str">
        <f aca="false">TEXT(M755,"DDDD")</f>
        <v>domingo</v>
      </c>
      <c r="P755" s="6" t="n">
        <f aca="false">MONTH(M755)</f>
        <v>11</v>
      </c>
      <c r="Q755" s="26" t="str">
        <f aca="false">TEXT(M755,"MMMM")</f>
        <v>noviembre</v>
      </c>
    </row>
    <row r="756" customFormat="false" ht="14.25" hidden="false" customHeight="false" outlineLevel="0" collapsed="false">
      <c r="A756" s="1" t="n">
        <v>1</v>
      </c>
      <c r="B756" s="1" t="s">
        <v>1278</v>
      </c>
      <c r="C756" s="1" t="s">
        <v>38</v>
      </c>
      <c r="D756" s="1" t="s">
        <v>1279</v>
      </c>
      <c r="E756" s="2" t="n">
        <v>446565929</v>
      </c>
      <c r="H756" s="3" t="n">
        <v>2560</v>
      </c>
      <c r="I756" s="1" t="n">
        <v>1600</v>
      </c>
      <c r="J756" s="1" t="n">
        <v>0</v>
      </c>
      <c r="K756" s="1" t="n">
        <v>960</v>
      </c>
      <c r="M756" s="5" t="s">
        <v>1272</v>
      </c>
      <c r="N756" s="33" t="n">
        <f aca="false">DAY(M756)</f>
        <v>30</v>
      </c>
      <c r="O756" s="33" t="str">
        <f aca="false">TEXT(M756,"DDDD")</f>
        <v>domingo</v>
      </c>
      <c r="P756" s="6" t="n">
        <f aca="false">MONTH(M756)</f>
        <v>11</v>
      </c>
      <c r="Q756" s="26" t="str">
        <f aca="false">TEXT(M756,"MMMM")</f>
        <v>noviembre</v>
      </c>
    </row>
    <row r="757" customFormat="false" ht="14.25" hidden="false" customHeight="false" outlineLevel="0" collapsed="false">
      <c r="A757" s="1" t="n">
        <v>1</v>
      </c>
      <c r="B757" s="1" t="s">
        <v>1280</v>
      </c>
      <c r="C757" s="1" t="s">
        <v>38</v>
      </c>
      <c r="D757" s="1" t="s">
        <v>1279</v>
      </c>
      <c r="E757" s="2" t="n">
        <v>446564975</v>
      </c>
      <c r="H757" s="3" t="n">
        <v>1750</v>
      </c>
      <c r="I757" s="1" t="n">
        <v>1750</v>
      </c>
      <c r="J757" s="1" t="n">
        <v>0</v>
      </c>
      <c r="K757" s="1" t="n">
        <v>0</v>
      </c>
      <c r="M757" s="5" t="s">
        <v>1272</v>
      </c>
      <c r="N757" s="33" t="n">
        <f aca="false">DAY(M757)</f>
        <v>30</v>
      </c>
      <c r="O757" s="33" t="str">
        <f aca="false">TEXT(M757,"DDDD")</f>
        <v>domingo</v>
      </c>
      <c r="P757" s="6" t="n">
        <f aca="false">MONTH(M757)</f>
        <v>11</v>
      </c>
      <c r="Q757" s="26" t="str">
        <f aca="false">TEXT(M757,"MMMM")</f>
        <v>noviembre</v>
      </c>
    </row>
    <row r="758" customFormat="false" ht="14.25" hidden="false" customHeight="false" outlineLevel="0" collapsed="false">
      <c r="A758" s="1" t="n">
        <v>1</v>
      </c>
      <c r="B758" s="1" t="s">
        <v>1281</v>
      </c>
      <c r="C758" s="1" t="s">
        <v>20</v>
      </c>
      <c r="D758" s="1" t="s">
        <v>1277</v>
      </c>
      <c r="E758" s="2" t="n">
        <v>446562822</v>
      </c>
      <c r="H758" s="3" t="n">
        <v>1970</v>
      </c>
      <c r="I758" s="1" t="n">
        <v>1250</v>
      </c>
      <c r="J758" s="1" t="n">
        <v>0</v>
      </c>
      <c r="K758" s="1" t="n">
        <v>720</v>
      </c>
      <c r="M758" s="5" t="s">
        <v>1272</v>
      </c>
      <c r="N758" s="33" t="n">
        <f aca="false">DAY(M758)</f>
        <v>30</v>
      </c>
      <c r="O758" s="33" t="str">
        <f aca="false">TEXT(M758,"DDDD")</f>
        <v>domingo</v>
      </c>
      <c r="P758" s="6" t="n">
        <f aca="false">MONTH(M758)</f>
        <v>11</v>
      </c>
      <c r="Q758" s="26" t="str">
        <f aca="false">TEXT(M758,"MMMM")</f>
        <v>noviembre</v>
      </c>
    </row>
    <row r="759" customFormat="false" ht="14.25" hidden="false" customHeight="false" outlineLevel="0" collapsed="false">
      <c r="A759" s="1" t="n">
        <v>1</v>
      </c>
      <c r="B759" s="1" t="s">
        <v>1282</v>
      </c>
      <c r="C759" s="1" t="s">
        <v>38</v>
      </c>
      <c r="D759" s="1" t="s">
        <v>1275</v>
      </c>
      <c r="E759" s="2" t="n">
        <v>446557460</v>
      </c>
      <c r="F759" s="21" t="s">
        <v>1275</v>
      </c>
      <c r="G759" s="1" t="n">
        <v>446559175</v>
      </c>
      <c r="H759" s="3" t="n">
        <v>3002</v>
      </c>
      <c r="I759" s="1" t="n">
        <v>3000</v>
      </c>
      <c r="J759" s="1" t="n">
        <v>0</v>
      </c>
      <c r="K759" s="1" t="n">
        <v>2</v>
      </c>
      <c r="M759" s="5" t="s">
        <v>1272</v>
      </c>
      <c r="N759" s="33" t="n">
        <f aca="false">DAY(M759)</f>
        <v>30</v>
      </c>
      <c r="O759" s="33" t="str">
        <f aca="false">TEXT(M759,"DDDD")</f>
        <v>domingo</v>
      </c>
      <c r="P759" s="6" t="n">
        <f aca="false">MONTH(M759)</f>
        <v>11</v>
      </c>
      <c r="Q759" s="26" t="str">
        <f aca="false">TEXT(M759,"MMMM")</f>
        <v>noviembre</v>
      </c>
    </row>
    <row r="760" customFormat="false" ht="14.25" hidden="false" customHeight="false" outlineLevel="0" collapsed="false">
      <c r="A760" s="1" t="n">
        <v>12</v>
      </c>
      <c r="B760" s="1" t="s">
        <v>1283</v>
      </c>
      <c r="C760" s="1" t="s">
        <v>20</v>
      </c>
      <c r="D760" s="1" t="s">
        <v>1284</v>
      </c>
      <c r="E760" s="2" t="n">
        <v>447010810</v>
      </c>
      <c r="H760" s="3" t="n">
        <v>2800</v>
      </c>
      <c r="I760" s="1" t="n">
        <v>1200</v>
      </c>
      <c r="J760" s="1" t="n">
        <v>0</v>
      </c>
      <c r="K760" s="1" t="n">
        <v>1600</v>
      </c>
      <c r="M760" s="5" t="s">
        <v>1285</v>
      </c>
      <c r="N760" s="33" t="n">
        <f aca="false">DAY(M760)</f>
        <v>3</v>
      </c>
      <c r="O760" s="33" t="str">
        <f aca="false">TEXT(M760,"DDDD")</f>
        <v>miércoles</v>
      </c>
      <c r="P760" s="6" t="n">
        <f aca="false">MONTH(M760)</f>
        <v>12</v>
      </c>
      <c r="Q760" s="26" t="str">
        <f aca="false">TEXT(M760,"MMMM")</f>
        <v>diciembre</v>
      </c>
    </row>
    <row r="761" customFormat="false" ht="14.25" hidden="false" customHeight="false" outlineLevel="0" collapsed="false">
      <c r="A761" s="1" t="n">
        <v>12</v>
      </c>
      <c r="B761" s="1" t="s">
        <v>1286</v>
      </c>
      <c r="C761" s="1" t="s">
        <v>20</v>
      </c>
      <c r="D761" s="1" t="s">
        <v>57</v>
      </c>
      <c r="E761" s="2" t="n">
        <v>447029582</v>
      </c>
      <c r="F761" s="21" t="s">
        <v>508</v>
      </c>
      <c r="G761" s="1" t="n">
        <v>447029671</v>
      </c>
      <c r="H761" s="3" t="n">
        <v>2100</v>
      </c>
      <c r="I761" s="1" t="n">
        <v>2100</v>
      </c>
      <c r="J761" s="1" t="n">
        <v>0</v>
      </c>
      <c r="K761" s="1" t="n">
        <v>0</v>
      </c>
      <c r="M761" s="5" t="s">
        <v>1285</v>
      </c>
      <c r="N761" s="33" t="n">
        <f aca="false">DAY(M761)</f>
        <v>3</v>
      </c>
      <c r="O761" s="33" t="str">
        <f aca="false">TEXT(M761,"DDDD")</f>
        <v>miércoles</v>
      </c>
      <c r="P761" s="6" t="n">
        <f aca="false">MONTH(M761)</f>
        <v>12</v>
      </c>
      <c r="Q761" s="26" t="str">
        <f aca="false">TEXT(M761,"MMMM")</f>
        <v>diciembre</v>
      </c>
    </row>
    <row r="762" customFormat="false" ht="14.25" hidden="false" customHeight="false" outlineLevel="0" collapsed="false">
      <c r="A762" s="1" t="n">
        <v>12</v>
      </c>
      <c r="B762" s="1" t="s">
        <v>1287</v>
      </c>
      <c r="C762" s="1" t="s">
        <v>20</v>
      </c>
      <c r="D762" s="1" t="s">
        <v>1119</v>
      </c>
      <c r="E762" s="2" t="n">
        <v>447034306</v>
      </c>
      <c r="H762" s="3" t="n">
        <v>1640</v>
      </c>
      <c r="I762" s="1" t="n">
        <v>1200</v>
      </c>
      <c r="J762" s="1" t="n">
        <v>0</v>
      </c>
      <c r="K762" s="1" t="n">
        <v>440</v>
      </c>
      <c r="M762" s="5" t="s">
        <v>1285</v>
      </c>
      <c r="N762" s="33" t="n">
        <f aca="false">DAY(M762)</f>
        <v>3</v>
      </c>
      <c r="O762" s="33" t="str">
        <f aca="false">TEXT(M762,"DDDD")</f>
        <v>miércoles</v>
      </c>
      <c r="P762" s="6" t="n">
        <f aca="false">MONTH(M762)</f>
        <v>12</v>
      </c>
      <c r="Q762" s="26" t="str">
        <f aca="false">TEXT(M762,"MMMM")</f>
        <v>diciembre</v>
      </c>
    </row>
    <row r="763" customFormat="false" ht="14.25" hidden="false" customHeight="false" outlineLevel="0" collapsed="false">
      <c r="A763" s="1" t="n">
        <v>3</v>
      </c>
      <c r="B763" s="1" t="s">
        <v>1288</v>
      </c>
      <c r="C763" s="1" t="s">
        <v>38</v>
      </c>
      <c r="D763" s="1" t="s">
        <v>1289</v>
      </c>
      <c r="E763" s="2" t="n">
        <v>447041089</v>
      </c>
      <c r="H763" s="3" t="n">
        <v>2160</v>
      </c>
      <c r="I763" s="1" t="n">
        <v>1200</v>
      </c>
      <c r="J763" s="1" t="n">
        <v>0</v>
      </c>
      <c r="K763" s="1" t="n">
        <v>960</v>
      </c>
      <c r="M763" s="5" t="s">
        <v>1290</v>
      </c>
      <c r="N763" s="33" t="n">
        <f aca="false">DAY(M763)</f>
        <v>4</v>
      </c>
      <c r="O763" s="33" t="str">
        <f aca="false">TEXT(M763,"DDDD")</f>
        <v>jueves</v>
      </c>
      <c r="P763" s="6" t="n">
        <f aca="false">MONTH(M763)</f>
        <v>12</v>
      </c>
      <c r="Q763" s="26" t="str">
        <f aca="false">TEXT(M763,"MMMM")</f>
        <v>diciembre</v>
      </c>
    </row>
    <row r="764" customFormat="false" ht="14.25" hidden="false" customHeight="false" outlineLevel="0" collapsed="false">
      <c r="A764" s="1" t="n">
        <v>3</v>
      </c>
      <c r="B764" s="1" t="s">
        <v>1291</v>
      </c>
      <c r="C764" s="1" t="s">
        <v>20</v>
      </c>
      <c r="D764" s="1" t="s">
        <v>85</v>
      </c>
      <c r="E764" s="2" t="n">
        <v>447041037</v>
      </c>
      <c r="H764" s="3" t="n">
        <v>4962</v>
      </c>
      <c r="I764" s="1" t="n">
        <v>1200</v>
      </c>
      <c r="J764" s="1" t="n">
        <v>0</v>
      </c>
      <c r="K764" s="1" t="n">
        <v>3762</v>
      </c>
      <c r="M764" s="5" t="s">
        <v>1290</v>
      </c>
      <c r="N764" s="33" t="n">
        <f aca="false">DAY(M764)</f>
        <v>4</v>
      </c>
      <c r="O764" s="33" t="str">
        <f aca="false">TEXT(M764,"DDDD")</f>
        <v>jueves</v>
      </c>
      <c r="P764" s="6" t="n">
        <f aca="false">MONTH(M764)</f>
        <v>12</v>
      </c>
      <c r="Q764" s="26" t="str">
        <f aca="false">TEXT(M764,"MMMM")</f>
        <v>diciembre</v>
      </c>
    </row>
    <row r="765" customFormat="false" ht="14.25" hidden="false" customHeight="false" outlineLevel="0" collapsed="false">
      <c r="A765" s="1" t="n">
        <v>3</v>
      </c>
      <c r="B765" s="1" t="s">
        <v>1292</v>
      </c>
      <c r="C765" s="1" t="s">
        <v>20</v>
      </c>
      <c r="D765" s="1" t="s">
        <v>85</v>
      </c>
      <c r="E765" s="2" t="n">
        <v>447040940</v>
      </c>
      <c r="H765" s="3" t="n">
        <v>5381.6</v>
      </c>
      <c r="I765" s="1" t="n">
        <v>1200</v>
      </c>
      <c r="J765" s="1" t="n">
        <v>0</v>
      </c>
      <c r="K765" s="1" t="n">
        <v>4181.6</v>
      </c>
      <c r="M765" s="5" t="s">
        <v>1290</v>
      </c>
      <c r="N765" s="33" t="n">
        <f aca="false">DAY(M765)</f>
        <v>4</v>
      </c>
      <c r="O765" s="33" t="str">
        <f aca="false">TEXT(M765,"DDDD")</f>
        <v>jueves</v>
      </c>
      <c r="P765" s="6" t="n">
        <f aca="false">MONTH(M765)</f>
        <v>12</v>
      </c>
      <c r="Q765" s="26" t="str">
        <f aca="false">TEXT(M765,"MMMM")</f>
        <v>diciembre</v>
      </c>
    </row>
    <row r="766" customFormat="false" ht="14.25" hidden="false" customHeight="false" outlineLevel="0" collapsed="false">
      <c r="A766" s="1" t="n">
        <v>3</v>
      </c>
      <c r="B766" s="1" t="s">
        <v>1293</v>
      </c>
      <c r="C766" s="1" t="s">
        <v>20</v>
      </c>
      <c r="D766" s="1" t="s">
        <v>82</v>
      </c>
      <c r="E766" s="2" t="n">
        <v>447040658</v>
      </c>
      <c r="H766" s="3" t="n">
        <v>1200</v>
      </c>
      <c r="I766" s="1" t="n">
        <v>1200</v>
      </c>
      <c r="J766" s="1" t="n">
        <v>0</v>
      </c>
      <c r="K766" s="1" t="n">
        <v>0</v>
      </c>
      <c r="M766" s="5" t="s">
        <v>1290</v>
      </c>
      <c r="N766" s="33" t="n">
        <f aca="false">DAY(M766)</f>
        <v>4</v>
      </c>
      <c r="O766" s="33" t="str">
        <f aca="false">TEXT(M766,"DDDD")</f>
        <v>jueves</v>
      </c>
      <c r="P766" s="6" t="n">
        <f aca="false">MONTH(M766)</f>
        <v>12</v>
      </c>
      <c r="Q766" s="26" t="str">
        <f aca="false">TEXT(M766,"MMMM")</f>
        <v>diciembre</v>
      </c>
    </row>
    <row r="767" customFormat="false" ht="14.25" hidden="false" customHeight="false" outlineLevel="0" collapsed="false">
      <c r="A767" s="1" t="n">
        <v>2</v>
      </c>
      <c r="B767" s="1" t="s">
        <v>1294</v>
      </c>
      <c r="C767" s="1" t="s">
        <v>20</v>
      </c>
      <c r="D767" s="1" t="s">
        <v>600</v>
      </c>
      <c r="E767" s="2" t="n">
        <v>447038015</v>
      </c>
      <c r="H767" s="3" t="n">
        <v>1200</v>
      </c>
      <c r="I767" s="1" t="n">
        <v>1200</v>
      </c>
      <c r="J767" s="1" t="n">
        <v>0</v>
      </c>
      <c r="K767" s="1" t="n">
        <v>0</v>
      </c>
      <c r="M767" s="5" t="s">
        <v>1290</v>
      </c>
      <c r="N767" s="33" t="n">
        <f aca="false">DAY(M767)</f>
        <v>4</v>
      </c>
      <c r="O767" s="33" t="str">
        <f aca="false">TEXT(M767,"DDDD")</f>
        <v>jueves</v>
      </c>
      <c r="P767" s="6" t="n">
        <f aca="false">MONTH(M767)</f>
        <v>12</v>
      </c>
      <c r="Q767" s="26" t="str">
        <f aca="false">TEXT(M767,"MMMM")</f>
        <v>diciembre</v>
      </c>
    </row>
    <row r="768" customFormat="false" ht="14.25" hidden="false" customHeight="false" outlineLevel="0" collapsed="false">
      <c r="A768" s="1" t="n">
        <v>2</v>
      </c>
      <c r="B768" s="1" t="s">
        <v>28</v>
      </c>
      <c r="C768" s="1" t="s">
        <v>20</v>
      </c>
      <c r="D768" s="1" t="s">
        <v>213</v>
      </c>
      <c r="E768" s="2" t="n">
        <v>447038427</v>
      </c>
      <c r="H768" s="3" t="n">
        <v>1700</v>
      </c>
      <c r="I768" s="1" t="n">
        <v>1200</v>
      </c>
      <c r="J768" s="1" t="n">
        <v>0</v>
      </c>
      <c r="K768" s="1" t="n">
        <v>500</v>
      </c>
      <c r="M768" s="5" t="s">
        <v>1290</v>
      </c>
      <c r="N768" s="33" t="n">
        <f aca="false">DAY(M768)</f>
        <v>4</v>
      </c>
      <c r="O768" s="33" t="str">
        <f aca="false">TEXT(M768,"DDDD")</f>
        <v>jueves</v>
      </c>
      <c r="P768" s="6" t="n">
        <f aca="false">MONTH(M768)</f>
        <v>12</v>
      </c>
      <c r="Q768" s="26" t="str">
        <f aca="false">TEXT(M768,"MMMM")</f>
        <v>diciembre</v>
      </c>
    </row>
    <row r="769" customFormat="false" ht="14.25" hidden="false" customHeight="false" outlineLevel="0" collapsed="false">
      <c r="A769" s="1" t="n">
        <v>2</v>
      </c>
      <c r="B769" s="1" t="s">
        <v>1295</v>
      </c>
      <c r="C769" s="1" t="s">
        <v>20</v>
      </c>
      <c r="D769" s="1" t="s">
        <v>1296</v>
      </c>
      <c r="E769" s="2" t="n">
        <v>447038807</v>
      </c>
      <c r="H769" s="3" t="n">
        <v>2320</v>
      </c>
      <c r="I769" s="1" t="n">
        <v>1200</v>
      </c>
      <c r="J769" s="1" t="n">
        <v>0</v>
      </c>
      <c r="K769" s="1" t="n">
        <v>1120</v>
      </c>
      <c r="M769" s="5" t="s">
        <v>1290</v>
      </c>
      <c r="N769" s="33" t="n">
        <f aca="false">DAY(M769)</f>
        <v>4</v>
      </c>
      <c r="O769" s="33" t="str">
        <f aca="false">TEXT(M769,"DDDD")</f>
        <v>jueves</v>
      </c>
      <c r="P769" s="6" t="n">
        <f aca="false">MONTH(M769)</f>
        <v>12</v>
      </c>
      <c r="Q769" s="26" t="str">
        <f aca="false">TEXT(M769,"MMMM")</f>
        <v>diciembre</v>
      </c>
    </row>
    <row r="770" customFormat="false" ht="14.25" hidden="false" customHeight="false" outlineLevel="0" collapsed="false">
      <c r="A770" s="1" t="n">
        <v>2</v>
      </c>
      <c r="B770" s="1" t="s">
        <v>1297</v>
      </c>
      <c r="C770" s="1" t="s">
        <v>20</v>
      </c>
      <c r="D770" s="1" t="s">
        <v>82</v>
      </c>
      <c r="E770" s="2" t="n">
        <v>447039567</v>
      </c>
      <c r="H770" s="3" t="n">
        <v>1940</v>
      </c>
      <c r="I770" s="1" t="n">
        <v>1200</v>
      </c>
      <c r="J770" s="1" t="n">
        <v>0</v>
      </c>
      <c r="K770" s="1" t="n">
        <v>740</v>
      </c>
      <c r="M770" s="5" t="s">
        <v>1290</v>
      </c>
      <c r="N770" s="33" t="n">
        <f aca="false">DAY(M770)</f>
        <v>4</v>
      </c>
      <c r="O770" s="33" t="str">
        <f aca="false">TEXT(M770,"DDDD")</f>
        <v>jueves</v>
      </c>
      <c r="P770" s="6" t="n">
        <f aca="false">MONTH(M770)</f>
        <v>12</v>
      </c>
      <c r="Q770" s="26" t="str">
        <f aca="false">TEXT(M770,"MMMM")</f>
        <v>diciembre</v>
      </c>
    </row>
    <row r="771" customFormat="false" ht="14.25" hidden="false" customHeight="false" outlineLevel="0" collapsed="false">
      <c r="A771" s="1" t="n">
        <v>2</v>
      </c>
      <c r="B771" s="1" t="s">
        <v>1298</v>
      </c>
      <c r="C771" s="1" t="s">
        <v>20</v>
      </c>
      <c r="D771" s="1" t="s">
        <v>82</v>
      </c>
      <c r="E771" s="2" t="n">
        <v>447039942</v>
      </c>
      <c r="F771" s="21" t="s">
        <v>82</v>
      </c>
      <c r="G771" s="1" t="n">
        <v>447039957</v>
      </c>
      <c r="H771" s="3" t="n">
        <v>5488</v>
      </c>
      <c r="I771" s="1" t="n">
        <v>1800</v>
      </c>
      <c r="J771" s="1" t="n">
        <v>0</v>
      </c>
      <c r="K771" s="1" t="n">
        <v>3688</v>
      </c>
      <c r="M771" s="5" t="s">
        <v>1290</v>
      </c>
      <c r="N771" s="33" t="n">
        <f aca="false">DAY(M771)</f>
        <v>4</v>
      </c>
      <c r="O771" s="33" t="str">
        <f aca="false">TEXT(M771,"DDDD")</f>
        <v>jueves</v>
      </c>
      <c r="P771" s="6" t="n">
        <f aca="false">MONTH(M771)</f>
        <v>12</v>
      </c>
      <c r="Q771" s="26" t="str">
        <f aca="false">TEXT(M771,"MMMM")</f>
        <v>diciembre</v>
      </c>
      <c r="R771" s="21" t="s">
        <v>82</v>
      </c>
      <c r="S771" s="1" t="n">
        <v>27320</v>
      </c>
    </row>
    <row r="772" customFormat="false" ht="14.25" hidden="false" customHeight="false" outlineLevel="0" collapsed="false">
      <c r="A772" s="1" t="n">
        <v>2</v>
      </c>
      <c r="B772" s="1" t="s">
        <v>1299</v>
      </c>
      <c r="C772" s="1" t="s">
        <v>20</v>
      </c>
      <c r="D772" s="1" t="s">
        <v>82</v>
      </c>
      <c r="E772" s="2" t="n">
        <v>447040352</v>
      </c>
      <c r="H772" s="3" t="n">
        <v>2580</v>
      </c>
      <c r="I772" s="1" t="n">
        <v>1200</v>
      </c>
      <c r="J772" s="1" t="n">
        <v>0</v>
      </c>
      <c r="K772" s="1" t="n">
        <v>1380</v>
      </c>
      <c r="M772" s="5" t="s">
        <v>1290</v>
      </c>
      <c r="N772" s="33" t="n">
        <f aca="false">DAY(M772)</f>
        <v>4</v>
      </c>
      <c r="O772" s="33" t="str">
        <f aca="false">TEXT(M772,"DDDD")</f>
        <v>jueves</v>
      </c>
      <c r="P772" s="6" t="n">
        <f aca="false">MONTH(M772)</f>
        <v>12</v>
      </c>
      <c r="Q772" s="26" t="str">
        <f aca="false">TEXT(M772,"MMMM")</f>
        <v>diciembre</v>
      </c>
    </row>
    <row r="773" customFormat="false" ht="14.25" hidden="false" customHeight="false" outlineLevel="0" collapsed="false">
      <c r="A773" s="1" t="n">
        <v>1</v>
      </c>
      <c r="B773" s="1" t="s">
        <v>1300</v>
      </c>
      <c r="C773" s="1" t="s">
        <v>38</v>
      </c>
      <c r="D773" s="1" t="s">
        <v>1301</v>
      </c>
      <c r="E773" s="2" t="n">
        <v>447036367</v>
      </c>
      <c r="F773" s="21" t="s">
        <v>1301</v>
      </c>
      <c r="G773" s="1" t="n">
        <v>447037165</v>
      </c>
      <c r="H773" s="3" t="n">
        <v>1802</v>
      </c>
      <c r="I773" s="1" t="n">
        <v>1800</v>
      </c>
      <c r="J773" s="1" t="n">
        <v>0</v>
      </c>
      <c r="K773" s="1" t="n">
        <v>2</v>
      </c>
      <c r="M773" s="5" t="s">
        <v>1290</v>
      </c>
      <c r="N773" s="33" t="n">
        <f aca="false">DAY(M773)</f>
        <v>4</v>
      </c>
      <c r="O773" s="33" t="str">
        <f aca="false">TEXT(M773,"DDDD")</f>
        <v>jueves</v>
      </c>
      <c r="P773" s="6" t="n">
        <f aca="false">MONTH(M773)</f>
        <v>12</v>
      </c>
      <c r="Q773" s="26" t="str">
        <f aca="false">TEXT(M773,"MMMM")</f>
        <v>diciembre</v>
      </c>
    </row>
    <row r="774" customFormat="false" ht="14.25" hidden="false" customHeight="false" outlineLevel="0" collapsed="false">
      <c r="A774" s="1" t="n">
        <v>1</v>
      </c>
      <c r="B774" s="1" t="s">
        <v>1302</v>
      </c>
      <c r="C774" s="1" t="s">
        <v>20</v>
      </c>
      <c r="D774" s="1" t="s">
        <v>82</v>
      </c>
      <c r="E774" s="2" t="n">
        <v>447035206</v>
      </c>
      <c r="H774" s="3" t="n">
        <v>2370</v>
      </c>
      <c r="I774" s="1" t="n">
        <v>1200</v>
      </c>
      <c r="J774" s="1" t="n">
        <v>0</v>
      </c>
      <c r="K774" s="1" t="n">
        <v>1170</v>
      </c>
      <c r="M774" s="5" t="s">
        <v>1290</v>
      </c>
      <c r="N774" s="33" t="n">
        <f aca="false">DAY(M774)</f>
        <v>4</v>
      </c>
      <c r="O774" s="33" t="str">
        <f aca="false">TEXT(M774,"DDDD")</f>
        <v>jueves</v>
      </c>
      <c r="P774" s="6" t="n">
        <f aca="false">MONTH(M774)</f>
        <v>12</v>
      </c>
      <c r="Q774" s="26" t="str">
        <f aca="false">TEXT(M774,"MMMM")</f>
        <v>diciembre</v>
      </c>
    </row>
    <row r="775" customFormat="false" ht="14.25" hidden="false" customHeight="false" outlineLevel="0" collapsed="false">
      <c r="A775" s="1" t="n">
        <v>6</v>
      </c>
      <c r="B775" s="1" t="s">
        <v>1303</v>
      </c>
      <c r="C775" s="1" t="s">
        <v>20</v>
      </c>
      <c r="D775" s="1" t="s">
        <v>1304</v>
      </c>
      <c r="E775" s="2" t="n">
        <v>447729985</v>
      </c>
      <c r="H775" s="3" t="n">
        <v>1700</v>
      </c>
      <c r="I775" s="1" t="n">
        <v>1200</v>
      </c>
      <c r="J775" s="1" t="n">
        <v>0</v>
      </c>
      <c r="K775" s="1" t="n">
        <v>500</v>
      </c>
      <c r="M775" s="5" t="s">
        <v>1305</v>
      </c>
      <c r="N775" s="33" t="n">
        <f aca="false">DAY(M775)</f>
        <v>9</v>
      </c>
      <c r="O775" s="33" t="str">
        <f aca="false">TEXT(M775,"DDDD")</f>
        <v>martes</v>
      </c>
      <c r="P775" s="6" t="n">
        <f aca="false">MONTH(M775)</f>
        <v>12</v>
      </c>
      <c r="Q775" s="26" t="str">
        <f aca="false">TEXT(M775,"MMMM")</f>
        <v>diciembre</v>
      </c>
    </row>
    <row r="776" customFormat="false" ht="14.25" hidden="false" customHeight="false" outlineLevel="0" collapsed="false">
      <c r="A776" s="1" t="n">
        <v>5</v>
      </c>
      <c r="B776" s="1" t="s">
        <v>1306</v>
      </c>
      <c r="C776" s="1" t="s">
        <v>38</v>
      </c>
      <c r="D776" s="1" t="s">
        <v>1307</v>
      </c>
      <c r="E776" s="2" t="n">
        <v>447730168</v>
      </c>
      <c r="H776" s="3" t="n">
        <v>2250</v>
      </c>
      <c r="I776" s="1" t="n">
        <v>2250</v>
      </c>
      <c r="J776" s="1" t="n">
        <v>0</v>
      </c>
      <c r="K776" s="1" t="n">
        <v>0</v>
      </c>
      <c r="M776" s="5" t="s">
        <v>1305</v>
      </c>
      <c r="N776" s="33" t="n">
        <f aca="false">DAY(M776)</f>
        <v>9</v>
      </c>
      <c r="O776" s="33" t="str">
        <f aca="false">TEXT(M776,"DDDD")</f>
        <v>martes</v>
      </c>
      <c r="P776" s="6" t="n">
        <f aca="false">MONTH(M776)</f>
        <v>12</v>
      </c>
      <c r="Q776" s="26" t="str">
        <f aca="false">TEXT(M776,"MMMM")</f>
        <v>diciembre</v>
      </c>
    </row>
    <row r="777" customFormat="false" ht="14.25" hidden="false" customHeight="false" outlineLevel="0" collapsed="false">
      <c r="A777" s="1" t="n">
        <v>5</v>
      </c>
      <c r="B777" s="1" t="s">
        <v>1308</v>
      </c>
      <c r="C777" s="1" t="s">
        <v>38</v>
      </c>
      <c r="D777" s="1" t="s">
        <v>1309</v>
      </c>
      <c r="E777" s="2" t="n">
        <v>447730408</v>
      </c>
      <c r="H777" s="3" t="n">
        <v>1890</v>
      </c>
      <c r="I777" s="1" t="n">
        <v>1200</v>
      </c>
      <c r="J777" s="1" t="n">
        <v>0</v>
      </c>
      <c r="K777" s="1" t="n">
        <v>690</v>
      </c>
      <c r="M777" s="5" t="s">
        <v>1305</v>
      </c>
      <c r="N777" s="33" t="n">
        <f aca="false">DAY(M777)</f>
        <v>9</v>
      </c>
      <c r="O777" s="33" t="str">
        <f aca="false">TEXT(M777,"DDDD")</f>
        <v>martes</v>
      </c>
      <c r="P777" s="6" t="n">
        <f aca="false">MONTH(M777)</f>
        <v>12</v>
      </c>
      <c r="Q777" s="26" t="str">
        <f aca="false">TEXT(M777,"MMMM")</f>
        <v>diciembre</v>
      </c>
    </row>
    <row r="778" customFormat="false" ht="14.25" hidden="false" customHeight="false" outlineLevel="0" collapsed="false">
      <c r="A778" s="1" t="n">
        <v>5</v>
      </c>
      <c r="B778" s="1" t="s">
        <v>1310</v>
      </c>
      <c r="C778" s="1" t="s">
        <v>140</v>
      </c>
      <c r="D778" s="1" t="s">
        <v>49</v>
      </c>
      <c r="E778" s="2" t="n">
        <v>447730233</v>
      </c>
      <c r="H778" s="3" t="n">
        <v>1200</v>
      </c>
      <c r="I778" s="1" t="n">
        <v>1200</v>
      </c>
      <c r="J778" s="1" t="n">
        <v>0</v>
      </c>
      <c r="K778" s="1" t="n">
        <v>0</v>
      </c>
      <c r="M778" s="5" t="s">
        <v>1305</v>
      </c>
      <c r="N778" s="33" t="n">
        <f aca="false">DAY(M778)</f>
        <v>9</v>
      </c>
      <c r="O778" s="33" t="str">
        <f aca="false">TEXT(M778,"DDDD")</f>
        <v>martes</v>
      </c>
      <c r="P778" s="6" t="n">
        <f aca="false">MONTH(M778)</f>
        <v>12</v>
      </c>
      <c r="Q778" s="26" t="str">
        <f aca="false">TEXT(M778,"MMMM")</f>
        <v>diciembre</v>
      </c>
    </row>
    <row r="779" customFormat="false" ht="14.25" hidden="false" customHeight="false" outlineLevel="0" collapsed="false">
      <c r="A779" s="1" t="n">
        <v>6</v>
      </c>
      <c r="B779" s="1" t="s">
        <v>1311</v>
      </c>
      <c r="C779" s="1" t="s">
        <v>38</v>
      </c>
      <c r="D779" s="1" t="s">
        <v>1150</v>
      </c>
      <c r="E779" s="2" t="n">
        <v>447668679</v>
      </c>
      <c r="H779" s="3" t="n">
        <v>4970</v>
      </c>
      <c r="I779" s="1" t="n">
        <v>3150</v>
      </c>
      <c r="J779" s="1" t="n">
        <v>0</v>
      </c>
      <c r="K779" s="1" t="n">
        <v>1820</v>
      </c>
      <c r="M779" s="5" t="s">
        <v>1305</v>
      </c>
      <c r="N779" s="33" t="n">
        <f aca="false">DAY(M779)</f>
        <v>9</v>
      </c>
      <c r="O779" s="33" t="str">
        <f aca="false">TEXT(M779,"DDDD")</f>
        <v>martes</v>
      </c>
      <c r="P779" s="6" t="n">
        <f aca="false">MONTH(M779)</f>
        <v>12</v>
      </c>
      <c r="Q779" s="26" t="str">
        <f aca="false">TEXT(M779,"MMMM")</f>
        <v>diciembre</v>
      </c>
    </row>
    <row r="780" customFormat="false" ht="14.25" hidden="false" customHeight="false" outlineLevel="0" collapsed="false">
      <c r="A780" s="1" t="n">
        <v>6</v>
      </c>
      <c r="B780" s="1" t="s">
        <v>1312</v>
      </c>
      <c r="C780" s="1" t="s">
        <v>20</v>
      </c>
      <c r="D780" s="1" t="s">
        <v>1313</v>
      </c>
      <c r="E780" s="2" t="n">
        <v>447733959</v>
      </c>
      <c r="H780" s="3" t="n">
        <v>1493.6</v>
      </c>
      <c r="I780" s="1" t="n">
        <v>1443.6</v>
      </c>
      <c r="J780" s="1" t="n">
        <v>0</v>
      </c>
      <c r="K780" s="1" t="n">
        <v>50</v>
      </c>
      <c r="M780" s="5" t="s">
        <v>1305</v>
      </c>
      <c r="N780" s="33" t="n">
        <f aca="false">DAY(M780)</f>
        <v>9</v>
      </c>
      <c r="O780" s="33" t="str">
        <f aca="false">TEXT(M780,"DDDD")</f>
        <v>martes</v>
      </c>
      <c r="P780" s="6" t="n">
        <f aca="false">MONTH(M780)</f>
        <v>12</v>
      </c>
      <c r="Q780" s="26" t="str">
        <f aca="false">TEXT(M780,"MMMM")</f>
        <v>diciembre</v>
      </c>
    </row>
    <row r="781" customFormat="false" ht="14.25" hidden="false" customHeight="false" outlineLevel="0" collapsed="false">
      <c r="A781" s="1" t="n">
        <v>11</v>
      </c>
      <c r="B781" s="1" t="s">
        <v>1314</v>
      </c>
      <c r="C781" s="1" t="s">
        <v>20</v>
      </c>
      <c r="D781" s="1" t="s">
        <v>1315</v>
      </c>
      <c r="E781" s="2" t="n">
        <v>448181916</v>
      </c>
      <c r="H781" s="3" t="n">
        <v>4800</v>
      </c>
      <c r="I781" s="1" t="n">
        <v>2600</v>
      </c>
      <c r="J781" s="1" t="n">
        <v>100</v>
      </c>
      <c r="K781" s="1" t="n">
        <v>2100</v>
      </c>
      <c r="M781" s="5" t="s">
        <v>1316</v>
      </c>
      <c r="N781" s="33" t="n">
        <f aca="false">DAY(M781)</f>
        <v>12</v>
      </c>
      <c r="O781" s="33" t="str">
        <f aca="false">TEXT(M781,"DDDD")</f>
        <v>viernes</v>
      </c>
      <c r="P781" s="6" t="n">
        <f aca="false">MONTH(M781)</f>
        <v>12</v>
      </c>
      <c r="Q781" s="26" t="str">
        <f aca="false">TEXT(M781,"MMMM")</f>
        <v>diciembre</v>
      </c>
    </row>
    <row r="782" customFormat="false" ht="14.25" hidden="false" customHeight="false" outlineLevel="0" collapsed="false">
      <c r="A782" s="1" t="n">
        <v>11</v>
      </c>
      <c r="B782" s="1" t="s">
        <v>1317</v>
      </c>
      <c r="C782" s="1" t="s">
        <v>20</v>
      </c>
      <c r="D782" s="1" t="s">
        <v>1315</v>
      </c>
      <c r="E782" s="2" t="n">
        <v>448173453</v>
      </c>
      <c r="H782" s="3" t="n">
        <v>4000</v>
      </c>
      <c r="I782" s="1" t="n">
        <v>3900</v>
      </c>
      <c r="J782" s="1" t="n">
        <v>100</v>
      </c>
      <c r="K782" s="1" t="n">
        <v>0</v>
      </c>
      <c r="M782" s="5" t="s">
        <v>1316</v>
      </c>
      <c r="N782" s="33" t="n">
        <f aca="false">DAY(M782)</f>
        <v>12</v>
      </c>
      <c r="O782" s="33" t="str">
        <f aca="false">TEXT(M782,"DDDD")</f>
        <v>viernes</v>
      </c>
      <c r="P782" s="6" t="n">
        <f aca="false">MONTH(M782)</f>
        <v>12</v>
      </c>
      <c r="Q782" s="26" t="str">
        <f aca="false">TEXT(M782,"MMMM")</f>
        <v>diciembre</v>
      </c>
    </row>
    <row r="783" customFormat="false" ht="14.25" hidden="false" customHeight="false" outlineLevel="0" collapsed="false">
      <c r="A783" s="1" t="n">
        <v>11</v>
      </c>
      <c r="B783" s="1" t="s">
        <v>1117</v>
      </c>
      <c r="C783" s="1" t="s">
        <v>20</v>
      </c>
      <c r="D783" s="1" t="s">
        <v>1318</v>
      </c>
      <c r="E783" s="2" t="n">
        <v>448166717</v>
      </c>
      <c r="H783" s="3" t="n">
        <v>3650</v>
      </c>
      <c r="I783" s="1" t="n">
        <v>3550</v>
      </c>
      <c r="J783" s="1" t="n">
        <v>100</v>
      </c>
      <c r="K783" s="1" t="n">
        <v>0</v>
      </c>
      <c r="M783" s="5" t="s">
        <v>1316</v>
      </c>
      <c r="N783" s="33" t="n">
        <f aca="false">DAY(M783)</f>
        <v>12</v>
      </c>
      <c r="O783" s="33" t="str">
        <f aca="false">TEXT(M783,"DDDD")</f>
        <v>viernes</v>
      </c>
      <c r="P783" s="6" t="n">
        <f aca="false">MONTH(M783)</f>
        <v>12</v>
      </c>
      <c r="Q783" s="26" t="str">
        <f aca="false">TEXT(M783,"MMMM")</f>
        <v>diciembre</v>
      </c>
    </row>
    <row r="784" customFormat="false" ht="14.25" hidden="false" customHeight="false" outlineLevel="0" collapsed="false">
      <c r="A784" s="1" t="n">
        <v>11</v>
      </c>
      <c r="B784" s="1" t="s">
        <v>1319</v>
      </c>
      <c r="C784" s="1" t="s">
        <v>20</v>
      </c>
      <c r="D784" s="1" t="s">
        <v>1077</v>
      </c>
      <c r="E784" s="2" t="n">
        <v>448161197</v>
      </c>
      <c r="H784" s="3" t="n">
        <v>3480</v>
      </c>
      <c r="I784" s="1" t="n">
        <v>2400</v>
      </c>
      <c r="J784" s="1" t="n">
        <v>100</v>
      </c>
      <c r="K784" s="1" t="n">
        <v>980</v>
      </c>
      <c r="M784" s="5" t="s">
        <v>1316</v>
      </c>
      <c r="N784" s="33" t="n">
        <f aca="false">DAY(M784)</f>
        <v>12</v>
      </c>
      <c r="O784" s="33" t="str">
        <f aca="false">TEXT(M784,"DDDD")</f>
        <v>viernes</v>
      </c>
      <c r="P784" s="6" t="n">
        <f aca="false">MONTH(M784)</f>
        <v>12</v>
      </c>
      <c r="Q784" s="26" t="str">
        <f aca="false">TEXT(M784,"MMMM")</f>
        <v>diciembre</v>
      </c>
    </row>
    <row r="785" customFormat="false" ht="14.25" hidden="false" customHeight="false" outlineLevel="0" collapsed="false">
      <c r="A785" s="1" t="n">
        <v>11</v>
      </c>
      <c r="B785" s="1" t="s">
        <v>1320</v>
      </c>
      <c r="C785" s="1" t="s">
        <v>20</v>
      </c>
      <c r="D785" s="1" t="s">
        <v>852</v>
      </c>
      <c r="E785" s="2" t="n">
        <v>448153620</v>
      </c>
      <c r="H785" s="3" t="n">
        <v>3800</v>
      </c>
      <c r="I785" s="1" t="n">
        <v>2200</v>
      </c>
      <c r="J785" s="1" t="n">
        <v>100</v>
      </c>
      <c r="K785" s="1" t="n">
        <v>1500</v>
      </c>
      <c r="M785" s="5" t="s">
        <v>1316</v>
      </c>
      <c r="N785" s="33" t="n">
        <f aca="false">DAY(M785)</f>
        <v>12</v>
      </c>
      <c r="O785" s="33" t="str">
        <f aca="false">TEXT(M785,"DDDD")</f>
        <v>viernes</v>
      </c>
      <c r="P785" s="6" t="n">
        <f aca="false">MONTH(M785)</f>
        <v>12</v>
      </c>
      <c r="Q785" s="26" t="str">
        <f aca="false">TEXT(M785,"MMMM")</f>
        <v>diciembre</v>
      </c>
    </row>
    <row r="786" customFormat="false" ht="14.25" hidden="false" customHeight="false" outlineLevel="0" collapsed="false">
      <c r="A786" s="1" t="n">
        <v>11</v>
      </c>
      <c r="B786" s="1" t="s">
        <v>1321</v>
      </c>
      <c r="C786" s="1" t="s">
        <v>20</v>
      </c>
      <c r="D786" s="1" t="s">
        <v>1322</v>
      </c>
      <c r="E786" s="2" t="n">
        <v>448142708</v>
      </c>
      <c r="H786" s="3" t="n">
        <v>4248</v>
      </c>
      <c r="I786" s="1" t="n">
        <v>3600</v>
      </c>
      <c r="J786" s="1" t="n">
        <v>100</v>
      </c>
      <c r="K786" s="1" t="n">
        <v>548</v>
      </c>
      <c r="M786" s="5" t="s">
        <v>1316</v>
      </c>
      <c r="N786" s="33" t="n">
        <f aca="false">DAY(M786)</f>
        <v>12</v>
      </c>
      <c r="O786" s="33" t="str">
        <f aca="false">TEXT(M786,"DDDD")</f>
        <v>viernes</v>
      </c>
      <c r="P786" s="6" t="n">
        <f aca="false">MONTH(M786)</f>
        <v>12</v>
      </c>
      <c r="Q786" s="26" t="str">
        <f aca="false">TEXT(M786,"MMMM")</f>
        <v>diciembre</v>
      </c>
    </row>
    <row r="787" customFormat="false" ht="14.25" hidden="false" customHeight="false" outlineLevel="0" collapsed="false">
      <c r="A787" s="1" t="n">
        <v>11</v>
      </c>
      <c r="B787" s="1" t="s">
        <v>1323</v>
      </c>
      <c r="C787" s="1" t="s">
        <v>20</v>
      </c>
      <c r="D787" s="1" t="s">
        <v>852</v>
      </c>
      <c r="E787" s="2" t="n">
        <v>448134617</v>
      </c>
      <c r="H787" s="3" t="n">
        <v>2900</v>
      </c>
      <c r="I787" s="1" t="n">
        <v>2000</v>
      </c>
      <c r="J787" s="1" t="n">
        <v>100</v>
      </c>
      <c r="K787" s="1" t="n">
        <v>800</v>
      </c>
      <c r="M787" s="5" t="s">
        <v>1316</v>
      </c>
      <c r="N787" s="33" t="n">
        <f aca="false">DAY(M787)</f>
        <v>12</v>
      </c>
      <c r="O787" s="33" t="str">
        <f aca="false">TEXT(M787,"DDDD")</f>
        <v>viernes</v>
      </c>
      <c r="P787" s="6" t="n">
        <f aca="false">MONTH(M787)</f>
        <v>12</v>
      </c>
      <c r="Q787" s="26" t="str">
        <f aca="false">TEXT(M787,"MMMM")</f>
        <v>diciembre</v>
      </c>
    </row>
    <row r="788" customFormat="false" ht="14.25" hidden="false" customHeight="false" outlineLevel="0" collapsed="false">
      <c r="A788" s="1" t="n">
        <v>11</v>
      </c>
      <c r="B788" s="1" t="s">
        <v>1220</v>
      </c>
      <c r="C788" s="1" t="s">
        <v>20</v>
      </c>
      <c r="D788" s="1" t="s">
        <v>1324</v>
      </c>
      <c r="E788" s="2" t="n">
        <v>448129160</v>
      </c>
      <c r="H788" s="3" t="n">
        <v>1850</v>
      </c>
      <c r="I788" s="1" t="n">
        <v>1200</v>
      </c>
      <c r="J788" s="1" t="n">
        <v>100</v>
      </c>
      <c r="K788" s="1" t="n">
        <v>550</v>
      </c>
      <c r="M788" s="5" t="s">
        <v>1316</v>
      </c>
      <c r="N788" s="33" t="n">
        <f aca="false">DAY(M788)</f>
        <v>12</v>
      </c>
      <c r="O788" s="33" t="str">
        <f aca="false">TEXT(M788,"DDDD")</f>
        <v>viernes</v>
      </c>
      <c r="P788" s="6" t="n">
        <f aca="false">MONTH(M788)</f>
        <v>12</v>
      </c>
      <c r="Q788" s="26" t="str">
        <f aca="false">TEXT(M788,"MMMM")</f>
        <v>diciembre</v>
      </c>
    </row>
    <row r="789" customFormat="false" ht="14.25" hidden="false" customHeight="false" outlineLevel="0" collapsed="false">
      <c r="A789" s="1" t="n">
        <v>11</v>
      </c>
      <c r="B789" s="1" t="s">
        <v>1325</v>
      </c>
      <c r="C789" s="1" t="s">
        <v>20</v>
      </c>
      <c r="D789" s="1" t="s">
        <v>1326</v>
      </c>
      <c r="E789" s="2" t="n">
        <v>448122530</v>
      </c>
      <c r="H789" s="3" t="n">
        <v>3900</v>
      </c>
      <c r="I789" s="1" t="n">
        <v>3800</v>
      </c>
      <c r="J789" s="1" t="n">
        <v>100</v>
      </c>
      <c r="K789" s="1" t="n">
        <v>0</v>
      </c>
      <c r="M789" s="5" t="s">
        <v>1316</v>
      </c>
      <c r="N789" s="33" t="n">
        <f aca="false">DAY(M789)</f>
        <v>12</v>
      </c>
      <c r="O789" s="33" t="str">
        <f aca="false">TEXT(M789,"DDDD")</f>
        <v>viernes</v>
      </c>
      <c r="P789" s="6" t="n">
        <f aca="false">MONTH(M789)</f>
        <v>12</v>
      </c>
      <c r="Q789" s="26" t="str">
        <f aca="false">TEXT(M789,"MMMM")</f>
        <v>diciembre</v>
      </c>
    </row>
    <row r="790" customFormat="false" ht="14.25" hidden="false" customHeight="false" outlineLevel="0" collapsed="false">
      <c r="A790" s="1" t="n">
        <v>10</v>
      </c>
      <c r="B790" s="1" t="s">
        <v>1327</v>
      </c>
      <c r="C790" s="1" t="s">
        <v>20</v>
      </c>
      <c r="D790" s="1" t="s">
        <v>852</v>
      </c>
      <c r="E790" s="2" t="n">
        <v>448117676</v>
      </c>
      <c r="H790" s="3" t="n">
        <v>3670</v>
      </c>
      <c r="I790" s="1" t="n">
        <v>1750</v>
      </c>
      <c r="J790" s="1" t="n">
        <v>100</v>
      </c>
      <c r="K790" s="1" t="n">
        <v>1820</v>
      </c>
      <c r="M790" s="5" t="s">
        <v>1316</v>
      </c>
      <c r="N790" s="33" t="n">
        <f aca="false">DAY(M790)</f>
        <v>12</v>
      </c>
      <c r="O790" s="33" t="str">
        <f aca="false">TEXT(M790,"DDDD")</f>
        <v>viernes</v>
      </c>
      <c r="P790" s="6" t="n">
        <f aca="false">MONTH(M790)</f>
        <v>12</v>
      </c>
      <c r="Q790" s="26" t="str">
        <f aca="false">TEXT(M790,"MMMM")</f>
        <v>diciembre</v>
      </c>
    </row>
    <row r="791" customFormat="false" ht="14.25" hidden="false" customHeight="false" outlineLevel="0" collapsed="false">
      <c r="A791" s="1" t="n">
        <v>10</v>
      </c>
      <c r="B791" s="1" t="s">
        <v>1328</v>
      </c>
      <c r="C791" s="1" t="s">
        <v>20</v>
      </c>
      <c r="D791" s="1" t="s">
        <v>1318</v>
      </c>
      <c r="E791" s="2" t="n">
        <v>448114791</v>
      </c>
      <c r="H791" s="3" t="n">
        <v>2000</v>
      </c>
      <c r="I791" s="1" t="n">
        <v>1200</v>
      </c>
      <c r="J791" s="1" t="n">
        <v>0</v>
      </c>
      <c r="K791" s="1" t="n">
        <v>800</v>
      </c>
      <c r="M791" s="5" t="s">
        <v>1316</v>
      </c>
      <c r="N791" s="33" t="n">
        <f aca="false">DAY(M791)</f>
        <v>12</v>
      </c>
      <c r="O791" s="33" t="str">
        <f aca="false">TEXT(M791,"DDDD")</f>
        <v>viernes</v>
      </c>
      <c r="P791" s="6" t="n">
        <f aca="false">MONTH(M791)</f>
        <v>12</v>
      </c>
      <c r="Q791" s="26" t="str">
        <f aca="false">TEXT(M791,"MMMM")</f>
        <v>diciembre</v>
      </c>
    </row>
    <row r="792" customFormat="false" ht="14.25" hidden="false" customHeight="false" outlineLevel="0" collapsed="false">
      <c r="A792" s="1" t="n">
        <v>10</v>
      </c>
      <c r="B792" s="1" t="s">
        <v>1329</v>
      </c>
      <c r="C792" s="1" t="s">
        <v>20</v>
      </c>
      <c r="D792" s="1" t="s">
        <v>1330</v>
      </c>
      <c r="E792" s="2" t="n">
        <v>448113786</v>
      </c>
      <c r="H792" s="3" t="n">
        <v>3120</v>
      </c>
      <c r="I792" s="1" t="n">
        <v>1200</v>
      </c>
      <c r="J792" s="1" t="n">
        <v>0</v>
      </c>
      <c r="K792" s="1" t="n">
        <v>1920</v>
      </c>
      <c r="M792" s="5" t="s">
        <v>1316</v>
      </c>
      <c r="N792" s="33" t="n">
        <f aca="false">DAY(M792)</f>
        <v>12</v>
      </c>
      <c r="O792" s="33" t="str">
        <f aca="false">TEXT(M792,"DDDD")</f>
        <v>viernes</v>
      </c>
      <c r="P792" s="6" t="n">
        <f aca="false">MONTH(M792)</f>
        <v>12</v>
      </c>
      <c r="Q792" s="26" t="str">
        <f aca="false">TEXT(M792,"MMMM")</f>
        <v>diciembre</v>
      </c>
    </row>
    <row r="793" customFormat="false" ht="14.25" hidden="false" customHeight="false" outlineLevel="0" collapsed="false">
      <c r="A793" s="1" t="n">
        <v>8</v>
      </c>
      <c r="B793" s="1" t="s">
        <v>1331</v>
      </c>
      <c r="C793" s="1" t="s">
        <v>20</v>
      </c>
      <c r="D793" s="1" t="s">
        <v>1132</v>
      </c>
      <c r="E793" s="2" t="n">
        <v>448085793</v>
      </c>
      <c r="H793" s="3" t="n">
        <v>1950</v>
      </c>
      <c r="I793" s="1" t="n">
        <v>1200</v>
      </c>
      <c r="J793" s="1" t="n">
        <v>0</v>
      </c>
      <c r="K793" s="1" t="n">
        <v>750</v>
      </c>
      <c r="M793" s="5" t="s">
        <v>1316</v>
      </c>
      <c r="N793" s="33" t="n">
        <f aca="false">DAY(M793)</f>
        <v>12</v>
      </c>
      <c r="O793" s="33" t="str">
        <f aca="false">TEXT(M793,"DDDD")</f>
        <v>viernes</v>
      </c>
      <c r="P793" s="6" t="n">
        <f aca="false">MONTH(M793)</f>
        <v>12</v>
      </c>
      <c r="Q793" s="26" t="str">
        <f aca="false">TEXT(M793,"MMMM")</f>
        <v>diciembre</v>
      </c>
    </row>
    <row r="794" customFormat="false" ht="14.25" hidden="false" customHeight="false" outlineLevel="0" collapsed="false">
      <c r="A794" s="1" t="n">
        <v>7</v>
      </c>
      <c r="B794" s="1" t="s">
        <v>1332</v>
      </c>
      <c r="C794" s="1" t="s">
        <v>20</v>
      </c>
      <c r="D794" s="1" t="s">
        <v>1079</v>
      </c>
      <c r="E794" s="2" t="n">
        <v>448081720</v>
      </c>
      <c r="H794" s="3" t="n">
        <v>2160</v>
      </c>
      <c r="I794" s="1" t="n">
        <v>1500</v>
      </c>
      <c r="J794" s="1" t="n">
        <v>0</v>
      </c>
      <c r="K794" s="1" t="n">
        <v>660</v>
      </c>
      <c r="M794" s="5" t="s">
        <v>1316</v>
      </c>
      <c r="N794" s="33" t="n">
        <f aca="false">DAY(M794)</f>
        <v>12</v>
      </c>
      <c r="O794" s="33" t="str">
        <f aca="false">TEXT(M794,"DDDD")</f>
        <v>viernes</v>
      </c>
      <c r="P794" s="6" t="n">
        <f aca="false">MONTH(M794)</f>
        <v>12</v>
      </c>
      <c r="Q794" s="26" t="str">
        <f aca="false">TEXT(M794,"MMMM")</f>
        <v>diciembre</v>
      </c>
    </row>
    <row r="795" customFormat="false" ht="14.25" hidden="false" customHeight="false" outlineLevel="0" collapsed="false">
      <c r="A795" s="1" t="n">
        <v>7</v>
      </c>
      <c r="B795" s="1" t="s">
        <v>1333</v>
      </c>
      <c r="C795" s="1" t="s">
        <v>20</v>
      </c>
      <c r="D795" s="1" t="s">
        <v>1136</v>
      </c>
      <c r="E795" s="2" t="n">
        <v>448077903</v>
      </c>
      <c r="H795" s="3" t="n">
        <v>2700</v>
      </c>
      <c r="I795" s="1" t="n">
        <v>1700</v>
      </c>
      <c r="J795" s="1" t="n">
        <v>0</v>
      </c>
      <c r="K795" s="1" t="n">
        <v>1000</v>
      </c>
      <c r="M795" s="5" t="s">
        <v>1316</v>
      </c>
      <c r="N795" s="33" t="n">
        <f aca="false">DAY(M795)</f>
        <v>12</v>
      </c>
      <c r="O795" s="33" t="str">
        <f aca="false">TEXT(M795,"DDDD")</f>
        <v>viernes</v>
      </c>
      <c r="P795" s="6" t="n">
        <f aca="false">MONTH(M795)</f>
        <v>12</v>
      </c>
      <c r="Q795" s="26" t="str">
        <f aca="false">TEXT(M795,"MMMM")</f>
        <v>diciembre</v>
      </c>
    </row>
    <row r="796" customFormat="false" ht="14.25" hidden="false" customHeight="false" outlineLevel="0" collapsed="false">
      <c r="A796" s="1" t="n">
        <v>6</v>
      </c>
      <c r="B796" s="1" t="s">
        <v>1334</v>
      </c>
      <c r="C796" s="1" t="s">
        <v>20</v>
      </c>
      <c r="D796" s="1" t="s">
        <v>1335</v>
      </c>
      <c r="E796" s="2" t="n">
        <v>448065302</v>
      </c>
      <c r="H796" s="3" t="n">
        <v>1800</v>
      </c>
      <c r="I796" s="1" t="n">
        <v>1300</v>
      </c>
      <c r="J796" s="1" t="n">
        <v>0</v>
      </c>
      <c r="K796" s="1" t="n">
        <v>500</v>
      </c>
      <c r="M796" s="5" t="s">
        <v>1316</v>
      </c>
      <c r="N796" s="33" t="n">
        <f aca="false">DAY(M796)</f>
        <v>12</v>
      </c>
      <c r="O796" s="33" t="str">
        <f aca="false">TEXT(M796,"DDDD")</f>
        <v>viernes</v>
      </c>
      <c r="P796" s="6" t="n">
        <f aca="false">MONTH(M796)</f>
        <v>12</v>
      </c>
      <c r="Q796" s="26" t="str">
        <f aca="false">TEXT(M796,"MMMM")</f>
        <v>diciembre</v>
      </c>
    </row>
    <row r="797" customFormat="false" ht="14.25" hidden="false" customHeight="false" outlineLevel="0" collapsed="false">
      <c r="A797" s="1" t="n">
        <v>6</v>
      </c>
      <c r="B797" s="1" t="s">
        <v>1336</v>
      </c>
      <c r="C797" s="1" t="s">
        <v>20</v>
      </c>
      <c r="D797" s="1" t="s">
        <v>1136</v>
      </c>
      <c r="E797" s="2" t="n">
        <v>448075048</v>
      </c>
      <c r="H797" s="3" t="n">
        <v>4960</v>
      </c>
      <c r="I797" s="1" t="n">
        <v>1200</v>
      </c>
      <c r="J797" s="1" t="n">
        <v>0</v>
      </c>
      <c r="K797" s="1" t="n">
        <v>3760</v>
      </c>
      <c r="M797" s="5" t="s">
        <v>1316</v>
      </c>
      <c r="N797" s="33" t="n">
        <f aca="false">DAY(M797)</f>
        <v>12</v>
      </c>
      <c r="O797" s="33" t="str">
        <f aca="false">TEXT(M797,"DDDD")</f>
        <v>viernes</v>
      </c>
      <c r="P797" s="6" t="n">
        <f aca="false">MONTH(M797)</f>
        <v>12</v>
      </c>
      <c r="Q797" s="26" t="str">
        <f aca="false">TEXT(M797,"MMMM")</f>
        <v>diciembre</v>
      </c>
    </row>
    <row r="798" customFormat="false" ht="14.25" hidden="false" customHeight="false" outlineLevel="0" collapsed="false">
      <c r="A798" s="1" t="n">
        <v>6</v>
      </c>
      <c r="B798" s="1" t="s">
        <v>1337</v>
      </c>
      <c r="C798" s="1" t="s">
        <v>20</v>
      </c>
      <c r="D798" s="1" t="s">
        <v>1335</v>
      </c>
      <c r="E798" s="2" t="n">
        <v>448063454</v>
      </c>
      <c r="H798" s="3" t="n">
        <v>2960</v>
      </c>
      <c r="I798" s="1" t="n">
        <v>1200</v>
      </c>
      <c r="J798" s="1" t="n">
        <v>0</v>
      </c>
      <c r="K798" s="1" t="n">
        <v>1760</v>
      </c>
      <c r="M798" s="5" t="s">
        <v>1316</v>
      </c>
      <c r="N798" s="33" t="n">
        <f aca="false">DAY(M798)</f>
        <v>12</v>
      </c>
      <c r="O798" s="33" t="str">
        <f aca="false">TEXT(M798,"DDDD")</f>
        <v>viernes</v>
      </c>
      <c r="P798" s="6" t="n">
        <f aca="false">MONTH(M798)</f>
        <v>12</v>
      </c>
      <c r="Q798" s="26" t="str">
        <f aca="false">TEXT(M798,"MMMM")</f>
        <v>diciembre</v>
      </c>
    </row>
    <row r="799" customFormat="false" ht="14.25" hidden="false" customHeight="false" outlineLevel="0" collapsed="false">
      <c r="A799" s="1" t="n">
        <v>6</v>
      </c>
      <c r="B799" s="1" t="s">
        <v>1338</v>
      </c>
      <c r="C799" s="1" t="s">
        <v>20</v>
      </c>
      <c r="D799" s="1" t="s">
        <v>857</v>
      </c>
      <c r="E799" s="2" t="n">
        <v>448063001</v>
      </c>
      <c r="H799" s="3" t="n">
        <v>1700</v>
      </c>
      <c r="I799" s="1" t="n">
        <v>1200</v>
      </c>
      <c r="J799" s="1" t="n">
        <v>0</v>
      </c>
      <c r="K799" s="1" t="n">
        <v>500</v>
      </c>
      <c r="M799" s="5" t="s">
        <v>1316</v>
      </c>
      <c r="N799" s="33" t="n">
        <f aca="false">DAY(M799)</f>
        <v>12</v>
      </c>
      <c r="O799" s="33" t="str">
        <f aca="false">TEXT(M799,"DDDD")</f>
        <v>viernes</v>
      </c>
      <c r="P799" s="6" t="n">
        <f aca="false">MONTH(M799)</f>
        <v>12</v>
      </c>
      <c r="Q799" s="26" t="str">
        <f aca="false">TEXT(M799,"MMMM")</f>
        <v>diciembre</v>
      </c>
    </row>
    <row r="800" customFormat="false" ht="14.25" hidden="false" customHeight="false" outlineLevel="0" collapsed="false">
      <c r="A800" s="1" t="n">
        <v>5</v>
      </c>
      <c r="B800" s="1" t="s">
        <v>1339</v>
      </c>
      <c r="C800" s="1" t="s">
        <v>38</v>
      </c>
      <c r="D800" s="1" t="s">
        <v>1217</v>
      </c>
      <c r="E800" s="2" t="n">
        <v>448060996</v>
      </c>
      <c r="F800" s="21" t="s">
        <v>1217</v>
      </c>
      <c r="G800" s="1" t="n">
        <v>448061803</v>
      </c>
      <c r="H800" s="3" t="n">
        <v>6660</v>
      </c>
      <c r="I800" s="1" t="n">
        <v>3650</v>
      </c>
      <c r="J800" s="1" t="n">
        <v>0</v>
      </c>
      <c r="K800" s="1" t="n">
        <v>3010</v>
      </c>
      <c r="M800" s="5" t="s">
        <v>1316</v>
      </c>
      <c r="N800" s="33" t="n">
        <f aca="false">DAY(M800)</f>
        <v>12</v>
      </c>
      <c r="O800" s="33" t="str">
        <f aca="false">TEXT(M800,"DDDD")</f>
        <v>viernes</v>
      </c>
      <c r="P800" s="6" t="n">
        <f aca="false">MONTH(M800)</f>
        <v>12</v>
      </c>
      <c r="Q800" s="26" t="str">
        <f aca="false">TEXT(M800,"MMMM")</f>
        <v>diciembre</v>
      </c>
    </row>
    <row r="801" customFormat="false" ht="14.25" hidden="false" customHeight="false" outlineLevel="0" collapsed="false">
      <c r="A801" s="1" t="n">
        <v>12</v>
      </c>
      <c r="B801" s="1" t="s">
        <v>1340</v>
      </c>
      <c r="C801" s="1" t="s">
        <v>20</v>
      </c>
      <c r="D801" s="1" t="s">
        <v>1341</v>
      </c>
      <c r="E801" s="2" t="n">
        <v>448276128</v>
      </c>
      <c r="F801" s="21" t="s">
        <v>966</v>
      </c>
      <c r="G801" s="1" t="n">
        <v>448277598</v>
      </c>
      <c r="H801" s="3" t="n">
        <v>8190</v>
      </c>
      <c r="I801" s="1" t="n">
        <v>2350</v>
      </c>
      <c r="J801" s="1" t="n">
        <v>200</v>
      </c>
      <c r="K801" s="1" t="n">
        <v>5640</v>
      </c>
      <c r="M801" s="5" t="s">
        <v>1342</v>
      </c>
      <c r="N801" s="33" t="n">
        <f aca="false">DAY(M801)</f>
        <v>13</v>
      </c>
      <c r="O801" s="33" t="str">
        <f aca="false">TEXT(M801,"DDDD")</f>
        <v>sábado</v>
      </c>
      <c r="P801" s="6" t="n">
        <f aca="false">MONTH(M801)</f>
        <v>12</v>
      </c>
      <c r="Q801" s="26" t="str">
        <f aca="false">TEXT(M801,"MMMM")</f>
        <v>diciembre</v>
      </c>
      <c r="R801" s="21" t="s">
        <v>1341</v>
      </c>
      <c r="S801" s="1" t="n">
        <v>22812</v>
      </c>
    </row>
    <row r="802" customFormat="false" ht="14.25" hidden="false" customHeight="false" outlineLevel="0" collapsed="false">
      <c r="A802" s="1" t="n">
        <v>11</v>
      </c>
      <c r="B802" s="1" t="s">
        <v>1343</v>
      </c>
      <c r="C802" s="1" t="s">
        <v>20</v>
      </c>
      <c r="D802" s="1" t="s">
        <v>1344</v>
      </c>
      <c r="E802" s="2" t="n">
        <v>448260954</v>
      </c>
      <c r="H802" s="3" t="n">
        <v>3950</v>
      </c>
      <c r="I802" s="1" t="n">
        <v>2850</v>
      </c>
      <c r="J802" s="1" t="n">
        <v>100</v>
      </c>
      <c r="K802" s="1" t="n">
        <v>1000</v>
      </c>
      <c r="M802" s="5" t="s">
        <v>1342</v>
      </c>
      <c r="N802" s="33" t="n">
        <f aca="false">DAY(M802)</f>
        <v>13</v>
      </c>
      <c r="O802" s="33" t="str">
        <f aca="false">TEXT(M802,"DDDD")</f>
        <v>sábado</v>
      </c>
      <c r="P802" s="6" t="n">
        <f aca="false">MONTH(M802)</f>
        <v>12</v>
      </c>
      <c r="Q802" s="26" t="str">
        <f aca="false">TEXT(M802,"MMMM")</f>
        <v>diciembre</v>
      </c>
      <c r="R802" s="21" t="s">
        <v>1344</v>
      </c>
      <c r="S802" s="1" t="n">
        <v>19380</v>
      </c>
    </row>
    <row r="803" customFormat="false" ht="14.25" hidden="false" customHeight="false" outlineLevel="0" collapsed="false">
      <c r="A803" s="1" t="n">
        <v>10</v>
      </c>
      <c r="B803" s="1" t="s">
        <v>1345</v>
      </c>
      <c r="C803" s="1" t="s">
        <v>20</v>
      </c>
      <c r="D803" s="1" t="s">
        <v>1346</v>
      </c>
      <c r="E803" s="2" t="n">
        <v>448259071</v>
      </c>
      <c r="H803" s="3" t="n">
        <v>2030</v>
      </c>
      <c r="I803" s="1" t="n">
        <v>1200</v>
      </c>
      <c r="J803" s="1" t="n">
        <v>0</v>
      </c>
      <c r="K803" s="1" t="n">
        <v>830</v>
      </c>
      <c r="M803" s="5" t="s">
        <v>1342</v>
      </c>
      <c r="N803" s="33" t="n">
        <f aca="false">DAY(M803)</f>
        <v>13</v>
      </c>
      <c r="O803" s="33" t="str">
        <f aca="false">TEXT(M803,"DDDD")</f>
        <v>sábado</v>
      </c>
      <c r="P803" s="6" t="n">
        <f aca="false">MONTH(M803)</f>
        <v>12</v>
      </c>
      <c r="Q803" s="26" t="str">
        <f aca="false">TEXT(M803,"MMMM")</f>
        <v>diciembre</v>
      </c>
    </row>
    <row r="804" customFormat="false" ht="14.25" hidden="false" customHeight="false" outlineLevel="0" collapsed="false">
      <c r="A804" s="1" t="n">
        <v>8</v>
      </c>
      <c r="B804" s="1" t="s">
        <v>1347</v>
      </c>
      <c r="C804" s="1" t="s">
        <v>20</v>
      </c>
      <c r="D804" s="1" t="s">
        <v>1348</v>
      </c>
      <c r="E804" s="2" t="n">
        <v>448221772</v>
      </c>
      <c r="H804" s="3" t="n">
        <v>3100</v>
      </c>
      <c r="I804" s="1" t="n">
        <v>1200</v>
      </c>
      <c r="J804" s="1" t="n">
        <v>0</v>
      </c>
      <c r="K804" s="1" t="n">
        <v>1900</v>
      </c>
      <c r="M804" s="5" t="s">
        <v>1342</v>
      </c>
      <c r="N804" s="33" t="n">
        <f aca="false">DAY(M804)</f>
        <v>13</v>
      </c>
      <c r="O804" s="33" t="str">
        <f aca="false">TEXT(M804,"DDDD")</f>
        <v>sábado</v>
      </c>
      <c r="P804" s="6" t="n">
        <f aca="false">MONTH(M804)</f>
        <v>12</v>
      </c>
      <c r="Q804" s="26" t="str">
        <f aca="false">TEXT(M804,"MMMM")</f>
        <v>diciembre</v>
      </c>
    </row>
    <row r="805" customFormat="false" ht="14.25" hidden="false" customHeight="false" outlineLevel="0" collapsed="false">
      <c r="A805" s="1" t="n">
        <v>7</v>
      </c>
      <c r="B805" s="1" t="s">
        <v>1349</v>
      </c>
      <c r="C805" s="1" t="s">
        <v>20</v>
      </c>
      <c r="D805" s="1" t="s">
        <v>47</v>
      </c>
      <c r="E805" s="2" t="n">
        <v>448217998</v>
      </c>
      <c r="H805" s="3" t="n">
        <v>1200</v>
      </c>
      <c r="I805" s="1" t="n">
        <v>1200</v>
      </c>
      <c r="J805" s="1" t="n">
        <v>0</v>
      </c>
      <c r="K805" s="1" t="n">
        <v>0</v>
      </c>
      <c r="M805" s="5" t="s">
        <v>1342</v>
      </c>
      <c r="N805" s="33" t="n">
        <f aca="false">DAY(M805)</f>
        <v>13</v>
      </c>
      <c r="O805" s="33" t="str">
        <f aca="false">TEXT(M805,"DDDD")</f>
        <v>sábado</v>
      </c>
      <c r="P805" s="6" t="n">
        <f aca="false">MONTH(M805)</f>
        <v>12</v>
      </c>
      <c r="Q805" s="26" t="str">
        <f aca="false">TEXT(M805,"MMMM")</f>
        <v>diciembre</v>
      </c>
    </row>
    <row r="806" customFormat="false" ht="14.25" hidden="false" customHeight="false" outlineLevel="0" collapsed="false">
      <c r="A806" s="1" t="n">
        <v>7</v>
      </c>
      <c r="B806" s="1" t="s">
        <v>1350</v>
      </c>
      <c r="C806" s="1" t="s">
        <v>20</v>
      </c>
      <c r="D806" s="1" t="s">
        <v>103</v>
      </c>
      <c r="E806" s="2" t="n">
        <v>448219977</v>
      </c>
      <c r="H806" s="3" t="n">
        <v>4700</v>
      </c>
      <c r="I806" s="1" t="n">
        <v>1200</v>
      </c>
      <c r="J806" s="1" t="n">
        <v>0</v>
      </c>
      <c r="K806" s="1" t="n">
        <v>3500</v>
      </c>
      <c r="M806" s="5" t="s">
        <v>1342</v>
      </c>
      <c r="N806" s="33" t="n">
        <f aca="false">DAY(M806)</f>
        <v>13</v>
      </c>
      <c r="O806" s="33" t="str">
        <f aca="false">TEXT(M806,"DDDD")</f>
        <v>sábado</v>
      </c>
      <c r="P806" s="6" t="n">
        <f aca="false">MONTH(M806)</f>
        <v>12</v>
      </c>
      <c r="Q806" s="26" t="str">
        <f aca="false">TEXT(M806,"MMMM")</f>
        <v>diciembre</v>
      </c>
    </row>
    <row r="807" customFormat="false" ht="14.25" hidden="false" customHeight="false" outlineLevel="0" collapsed="false">
      <c r="A807" s="1" t="n">
        <v>7</v>
      </c>
      <c r="B807" s="1" t="s">
        <v>1351</v>
      </c>
      <c r="C807" s="1" t="s">
        <v>38</v>
      </c>
      <c r="D807" s="1" t="s">
        <v>314</v>
      </c>
      <c r="E807" s="2" t="n">
        <v>448213909</v>
      </c>
      <c r="H807" s="3" t="n">
        <v>3230</v>
      </c>
      <c r="I807" s="1" t="n">
        <v>1450</v>
      </c>
      <c r="J807" s="1" t="n">
        <v>0</v>
      </c>
      <c r="K807" s="1" t="n">
        <v>1780</v>
      </c>
      <c r="M807" s="5" t="s">
        <v>1342</v>
      </c>
      <c r="N807" s="33" t="n">
        <f aca="false">DAY(M807)</f>
        <v>13</v>
      </c>
      <c r="O807" s="33" t="str">
        <f aca="false">TEXT(M807,"DDDD")</f>
        <v>sábado</v>
      </c>
      <c r="P807" s="6" t="n">
        <f aca="false">MONTH(M807)</f>
        <v>12</v>
      </c>
      <c r="Q807" s="26" t="str">
        <f aca="false">TEXT(M807,"MMMM")</f>
        <v>diciembre</v>
      </c>
    </row>
    <row r="808" customFormat="false" ht="14.25" hidden="false" customHeight="false" outlineLevel="0" collapsed="false">
      <c r="A808" s="1" t="n">
        <v>7</v>
      </c>
      <c r="B808" s="1" t="s">
        <v>1352</v>
      </c>
      <c r="C808" s="1" t="s">
        <v>20</v>
      </c>
      <c r="D808" s="1" t="s">
        <v>1353</v>
      </c>
      <c r="E808" s="2" t="n">
        <v>448215256</v>
      </c>
      <c r="H808" s="3" t="n">
        <v>1200</v>
      </c>
      <c r="I808" s="1" t="n">
        <v>1200</v>
      </c>
      <c r="J808" s="1" t="n">
        <v>0</v>
      </c>
      <c r="K808" s="1" t="n">
        <v>0</v>
      </c>
      <c r="M808" s="5" t="s">
        <v>1342</v>
      </c>
      <c r="N808" s="33" t="n">
        <f aca="false">DAY(M808)</f>
        <v>13</v>
      </c>
      <c r="O808" s="33" t="str">
        <f aca="false">TEXT(M808,"DDDD")</f>
        <v>sábado</v>
      </c>
      <c r="P808" s="6" t="n">
        <f aca="false">MONTH(M808)</f>
        <v>12</v>
      </c>
      <c r="Q808" s="26" t="str">
        <f aca="false">TEXT(M808,"MMMM")</f>
        <v>diciembre</v>
      </c>
    </row>
    <row r="809" customFormat="false" ht="14.25" hidden="false" customHeight="false" outlineLevel="0" collapsed="false">
      <c r="A809" s="1" t="n">
        <v>7</v>
      </c>
      <c r="B809" s="1" t="s">
        <v>1354</v>
      </c>
      <c r="C809" s="1" t="s">
        <v>20</v>
      </c>
      <c r="D809" s="1" t="s">
        <v>1355</v>
      </c>
      <c r="E809" s="2" t="n">
        <v>448213947</v>
      </c>
      <c r="H809" s="3" t="n">
        <v>2930</v>
      </c>
      <c r="I809" s="1" t="n">
        <v>1200</v>
      </c>
      <c r="J809" s="1" t="n">
        <v>0</v>
      </c>
      <c r="K809" s="1" t="n">
        <v>1730</v>
      </c>
      <c r="M809" s="5" t="s">
        <v>1342</v>
      </c>
      <c r="N809" s="33" t="n">
        <f aca="false">DAY(M809)</f>
        <v>13</v>
      </c>
      <c r="O809" s="33" t="str">
        <f aca="false">TEXT(M809,"DDDD")</f>
        <v>sábado</v>
      </c>
      <c r="P809" s="6" t="n">
        <f aca="false">MONTH(M809)</f>
        <v>12</v>
      </c>
      <c r="Q809" s="26" t="str">
        <f aca="false">TEXT(M809,"MMMM")</f>
        <v>diciembre</v>
      </c>
    </row>
    <row r="810" customFormat="false" ht="14.25" hidden="false" customHeight="false" outlineLevel="0" collapsed="false">
      <c r="A810" s="1" t="n">
        <v>7</v>
      </c>
      <c r="B810" s="1" t="s">
        <v>1356</v>
      </c>
      <c r="C810" s="1" t="s">
        <v>20</v>
      </c>
      <c r="D810" s="1" t="s">
        <v>411</v>
      </c>
      <c r="E810" s="2" t="n">
        <v>448209079</v>
      </c>
      <c r="H810" s="3" t="n">
        <v>2750</v>
      </c>
      <c r="I810" s="1" t="n">
        <v>1550</v>
      </c>
      <c r="J810" s="1" t="n">
        <v>0</v>
      </c>
      <c r="K810" s="1" t="n">
        <v>1200</v>
      </c>
      <c r="M810" s="5" t="s">
        <v>1342</v>
      </c>
      <c r="N810" s="33" t="n">
        <f aca="false">DAY(M810)</f>
        <v>13</v>
      </c>
      <c r="O810" s="33" t="str">
        <f aca="false">TEXT(M810,"DDDD")</f>
        <v>sábado</v>
      </c>
      <c r="P810" s="6" t="n">
        <f aca="false">MONTH(M810)</f>
        <v>12</v>
      </c>
      <c r="Q810" s="26" t="str">
        <f aca="false">TEXT(M810,"MMMM")</f>
        <v>diciembre</v>
      </c>
    </row>
    <row r="811" customFormat="false" ht="14.25" hidden="false" customHeight="false" outlineLevel="0" collapsed="false">
      <c r="A811" s="1" t="n">
        <v>6</v>
      </c>
      <c r="B811" s="1" t="s">
        <v>1357</v>
      </c>
      <c r="C811" s="1" t="s">
        <v>38</v>
      </c>
      <c r="D811" s="1" t="s">
        <v>1358</v>
      </c>
      <c r="E811" s="2" t="n">
        <v>448206303</v>
      </c>
      <c r="F811" s="21" t="s">
        <v>1359</v>
      </c>
      <c r="G811" s="1" t="n">
        <v>448206100</v>
      </c>
      <c r="H811" s="3" t="n">
        <v>2050</v>
      </c>
      <c r="I811" s="1" t="n">
        <v>2050</v>
      </c>
      <c r="J811" s="1" t="n">
        <v>0</v>
      </c>
      <c r="K811" s="1" t="n">
        <v>0</v>
      </c>
      <c r="M811" s="5" t="s">
        <v>1342</v>
      </c>
      <c r="N811" s="33" t="n">
        <f aca="false">DAY(M811)</f>
        <v>13</v>
      </c>
      <c r="O811" s="33" t="str">
        <f aca="false">TEXT(M811,"DDDD")</f>
        <v>sábado</v>
      </c>
      <c r="P811" s="6" t="n">
        <f aca="false">MONTH(M811)</f>
        <v>12</v>
      </c>
      <c r="Q811" s="26" t="str">
        <f aca="false">TEXT(M811,"MMMM")</f>
        <v>diciembre</v>
      </c>
    </row>
    <row r="812" customFormat="false" ht="14.25" hidden="false" customHeight="false" outlineLevel="0" collapsed="false">
      <c r="A812" s="1" t="n">
        <v>6</v>
      </c>
      <c r="B812" s="1" t="s">
        <v>1360</v>
      </c>
      <c r="C812" s="1" t="s">
        <v>20</v>
      </c>
      <c r="D812" s="1" t="s">
        <v>1361</v>
      </c>
      <c r="E812" s="2" t="n">
        <v>448205866</v>
      </c>
      <c r="H812" s="3" t="n">
        <v>2400</v>
      </c>
      <c r="I812" s="1" t="n">
        <v>1800</v>
      </c>
      <c r="J812" s="1" t="n">
        <v>0</v>
      </c>
      <c r="K812" s="1" t="n">
        <v>600</v>
      </c>
      <c r="M812" s="5" t="s">
        <v>1342</v>
      </c>
      <c r="N812" s="33" t="n">
        <f aca="false">DAY(M812)</f>
        <v>13</v>
      </c>
      <c r="O812" s="33" t="str">
        <f aca="false">TEXT(M812,"DDDD")</f>
        <v>sábado</v>
      </c>
      <c r="P812" s="6" t="n">
        <f aca="false">MONTH(M812)</f>
        <v>12</v>
      </c>
      <c r="Q812" s="26" t="str">
        <f aca="false">TEXT(M812,"MMMM")</f>
        <v>diciembre</v>
      </c>
    </row>
    <row r="813" customFormat="false" ht="14.25" hidden="false" customHeight="false" outlineLevel="0" collapsed="false">
      <c r="A813" s="1" t="n">
        <v>6</v>
      </c>
      <c r="B813" s="1" t="s">
        <v>1362</v>
      </c>
      <c r="C813" s="1" t="s">
        <v>20</v>
      </c>
      <c r="D813" s="1" t="s">
        <v>1363</v>
      </c>
      <c r="E813" s="2" t="n">
        <v>448204642</v>
      </c>
      <c r="H813" s="3" t="n">
        <v>2330</v>
      </c>
      <c r="I813" s="1" t="n">
        <v>1850</v>
      </c>
      <c r="J813" s="1" t="n">
        <v>0</v>
      </c>
      <c r="K813" s="1" t="n">
        <v>480</v>
      </c>
      <c r="M813" s="5" t="s">
        <v>1342</v>
      </c>
      <c r="N813" s="33" t="n">
        <f aca="false">DAY(M813)</f>
        <v>13</v>
      </c>
      <c r="O813" s="33" t="str">
        <f aca="false">TEXT(M813,"DDDD")</f>
        <v>sábado</v>
      </c>
      <c r="P813" s="6" t="n">
        <f aca="false">MONTH(M813)</f>
        <v>12</v>
      </c>
      <c r="Q813" s="26" t="str">
        <f aca="false">TEXT(M813,"MMMM")</f>
        <v>diciembre</v>
      </c>
    </row>
    <row r="814" customFormat="false" ht="14.25" hidden="false" customHeight="false" outlineLevel="0" collapsed="false">
      <c r="A814" s="1" t="n">
        <v>6</v>
      </c>
      <c r="B814" s="1" t="s">
        <v>1364</v>
      </c>
      <c r="C814" s="1" t="s">
        <v>38</v>
      </c>
      <c r="D814" s="1" t="s">
        <v>1365</v>
      </c>
      <c r="E814" s="2" t="n">
        <v>448202120</v>
      </c>
      <c r="F814" s="21" t="s">
        <v>1366</v>
      </c>
      <c r="G814" s="1" t="n">
        <v>448202571</v>
      </c>
      <c r="H814" s="3" t="n">
        <v>1802</v>
      </c>
      <c r="I814" s="1" t="n">
        <v>1800</v>
      </c>
      <c r="J814" s="1" t="n">
        <v>0</v>
      </c>
      <c r="K814" s="1" t="n">
        <v>2</v>
      </c>
      <c r="M814" s="5" t="s">
        <v>1342</v>
      </c>
      <c r="N814" s="33" t="n">
        <f aca="false">DAY(M814)</f>
        <v>13</v>
      </c>
      <c r="O814" s="33" t="str">
        <f aca="false">TEXT(M814,"DDDD")</f>
        <v>sábado</v>
      </c>
      <c r="P814" s="6" t="n">
        <f aca="false">MONTH(M814)</f>
        <v>12</v>
      </c>
      <c r="Q814" s="26" t="str">
        <f aca="false">TEXT(M814,"MMMM")</f>
        <v>diciembre</v>
      </c>
    </row>
    <row r="815" customFormat="false" ht="14.25" hidden="false" customHeight="false" outlineLevel="0" collapsed="false">
      <c r="A815" s="1" t="n">
        <v>6</v>
      </c>
      <c r="B815" s="1" t="s">
        <v>1367</v>
      </c>
      <c r="C815" s="1" t="s">
        <v>20</v>
      </c>
      <c r="D815" s="1" t="s">
        <v>1368</v>
      </c>
      <c r="E815" s="2" t="n">
        <v>448201504</v>
      </c>
      <c r="H815" s="3" t="n">
        <v>1840</v>
      </c>
      <c r="I815" s="1" t="n">
        <v>1600</v>
      </c>
      <c r="J815" s="1" t="n">
        <v>0</v>
      </c>
      <c r="K815" s="1" t="n">
        <v>240</v>
      </c>
      <c r="M815" s="5" t="s">
        <v>1342</v>
      </c>
      <c r="N815" s="33" t="n">
        <f aca="false">DAY(M815)</f>
        <v>13</v>
      </c>
      <c r="O815" s="33" t="str">
        <f aca="false">TEXT(M815,"DDDD")</f>
        <v>sábado</v>
      </c>
      <c r="P815" s="6" t="n">
        <f aca="false">MONTH(M815)</f>
        <v>12</v>
      </c>
      <c r="Q815" s="26" t="str">
        <f aca="false">TEXT(M815,"MMMM")</f>
        <v>diciembre</v>
      </c>
    </row>
    <row r="816" customFormat="false" ht="14.25" hidden="false" customHeight="false" outlineLevel="0" collapsed="false">
      <c r="A816" s="1" t="n">
        <v>5</v>
      </c>
      <c r="B816" s="1" t="s">
        <v>1369</v>
      </c>
      <c r="C816" s="1" t="s">
        <v>20</v>
      </c>
      <c r="D816" s="1" t="s">
        <v>1370</v>
      </c>
      <c r="E816" s="2" t="n">
        <v>448199188</v>
      </c>
      <c r="H816" s="3" t="n">
        <v>2380</v>
      </c>
      <c r="I816" s="1" t="n">
        <v>1200</v>
      </c>
      <c r="J816" s="1" t="n">
        <v>0</v>
      </c>
      <c r="K816" s="1" t="n">
        <v>1180</v>
      </c>
      <c r="M816" s="5" t="s">
        <v>1342</v>
      </c>
      <c r="N816" s="33" t="n">
        <f aca="false">DAY(M816)</f>
        <v>13</v>
      </c>
      <c r="O816" s="33" t="str">
        <f aca="false">TEXT(M816,"DDDD")</f>
        <v>sábado</v>
      </c>
      <c r="P816" s="6" t="n">
        <f aca="false">MONTH(M816)</f>
        <v>12</v>
      </c>
      <c r="Q816" s="26" t="str">
        <f aca="false">TEXT(M816,"MMMM")</f>
        <v>diciembre</v>
      </c>
    </row>
    <row r="817" customFormat="false" ht="14.25" hidden="false" customHeight="false" outlineLevel="0" collapsed="false">
      <c r="A817" s="1" t="n">
        <v>5</v>
      </c>
      <c r="B817" s="1" t="s">
        <v>1200</v>
      </c>
      <c r="C817" s="1" t="s">
        <v>20</v>
      </c>
      <c r="D817" s="1" t="s">
        <v>1371</v>
      </c>
      <c r="E817" s="2" t="n">
        <v>448197880</v>
      </c>
      <c r="H817" s="3" t="n">
        <v>2890</v>
      </c>
      <c r="I817" s="1" t="n">
        <v>1700</v>
      </c>
      <c r="J817" s="1" t="n">
        <v>0</v>
      </c>
      <c r="K817" s="1" t="n">
        <v>1190</v>
      </c>
      <c r="M817" s="5" t="s">
        <v>1342</v>
      </c>
      <c r="N817" s="33" t="n">
        <f aca="false">DAY(M817)</f>
        <v>13</v>
      </c>
      <c r="O817" s="33" t="str">
        <f aca="false">TEXT(M817,"DDDD")</f>
        <v>sábado</v>
      </c>
      <c r="P817" s="6" t="n">
        <f aca="false">MONTH(M817)</f>
        <v>12</v>
      </c>
      <c r="Q817" s="26" t="str">
        <f aca="false">TEXT(M817,"MMMM")</f>
        <v>diciembre</v>
      </c>
      <c r="R817" s="21" t="s">
        <v>1371</v>
      </c>
      <c r="S817" s="1" t="n">
        <v>19080</v>
      </c>
    </row>
    <row r="818" customFormat="false" ht="14.25" hidden="false" customHeight="false" outlineLevel="0" collapsed="false">
      <c r="A818" s="1" t="n">
        <v>6</v>
      </c>
      <c r="B818" s="1" t="s">
        <v>1372</v>
      </c>
      <c r="C818" s="1" t="s">
        <v>20</v>
      </c>
      <c r="D818" s="1" t="s">
        <v>1373</v>
      </c>
      <c r="E818" s="2" t="n">
        <v>448473214</v>
      </c>
      <c r="H818" s="3" t="n">
        <v>2680</v>
      </c>
      <c r="I818" s="1" t="n">
        <v>1200</v>
      </c>
      <c r="J818" s="1" t="n">
        <v>0</v>
      </c>
      <c r="K818" s="1" t="n">
        <v>1480</v>
      </c>
      <c r="M818" s="5" t="s">
        <v>1374</v>
      </c>
      <c r="N818" s="33" t="n">
        <f aca="false">DAY(M818)</f>
        <v>15</v>
      </c>
      <c r="O818" s="33" t="str">
        <f aca="false">TEXT(M818,"DDDD")</f>
        <v>lunes</v>
      </c>
      <c r="P818" s="6" t="n">
        <f aca="false">MONTH(M818)</f>
        <v>12</v>
      </c>
      <c r="Q818" s="26" t="str">
        <f aca="false">TEXT(M818,"MMMM")</f>
        <v>diciembre</v>
      </c>
    </row>
    <row r="819" customFormat="false" ht="14.25" hidden="false" customHeight="false" outlineLevel="0" collapsed="false">
      <c r="A819" s="1" t="n">
        <v>6</v>
      </c>
      <c r="B819" s="1" t="s">
        <v>1375</v>
      </c>
      <c r="C819" s="1" t="s">
        <v>20</v>
      </c>
      <c r="D819" s="1" t="s">
        <v>1376</v>
      </c>
      <c r="E819" s="2" t="n">
        <v>448473456</v>
      </c>
      <c r="H819" s="3" t="n">
        <v>4820</v>
      </c>
      <c r="I819" s="1" t="n">
        <v>1550</v>
      </c>
      <c r="J819" s="1" t="n">
        <v>0</v>
      </c>
      <c r="K819" s="1" t="n">
        <v>3270</v>
      </c>
      <c r="M819" s="5" t="s">
        <v>1374</v>
      </c>
      <c r="N819" s="33" t="n">
        <f aca="false">DAY(M819)</f>
        <v>15</v>
      </c>
      <c r="O819" s="33" t="str">
        <f aca="false">TEXT(M819,"DDDD")</f>
        <v>lunes</v>
      </c>
      <c r="P819" s="6" t="n">
        <f aca="false">MONTH(M819)</f>
        <v>12</v>
      </c>
      <c r="Q819" s="26" t="str">
        <f aca="false">TEXT(M819,"MMMM")</f>
        <v>diciembre</v>
      </c>
    </row>
    <row r="820" customFormat="false" ht="14.25" hidden="false" customHeight="false" outlineLevel="0" collapsed="false">
      <c r="A820" s="1" t="n">
        <v>6</v>
      </c>
      <c r="B820" s="1" t="s">
        <v>1377</v>
      </c>
      <c r="C820" s="1" t="s">
        <v>20</v>
      </c>
      <c r="D820" s="1" t="s">
        <v>1378</v>
      </c>
      <c r="E820" s="2" t="n">
        <v>448474062</v>
      </c>
      <c r="H820" s="3" t="n">
        <v>2880</v>
      </c>
      <c r="I820" s="1" t="n">
        <v>1200</v>
      </c>
      <c r="J820" s="1" t="n">
        <v>0</v>
      </c>
      <c r="K820" s="1" t="n">
        <v>1680</v>
      </c>
      <c r="M820" s="5" t="s">
        <v>1374</v>
      </c>
      <c r="N820" s="33" t="n">
        <f aca="false">DAY(M820)</f>
        <v>15</v>
      </c>
      <c r="O820" s="33" t="str">
        <f aca="false">TEXT(M820,"DDDD")</f>
        <v>lunes</v>
      </c>
      <c r="P820" s="6" t="n">
        <f aca="false">MONTH(M820)</f>
        <v>12</v>
      </c>
      <c r="Q820" s="26" t="str">
        <f aca="false">TEXT(M820,"MMMM")</f>
        <v>diciembre</v>
      </c>
    </row>
    <row r="821" customFormat="false" ht="14.25" hidden="false" customHeight="false" outlineLevel="0" collapsed="false">
      <c r="A821" s="1" t="n">
        <v>6</v>
      </c>
      <c r="B821" s="1" t="s">
        <v>1379</v>
      </c>
      <c r="C821" s="1" t="s">
        <v>38</v>
      </c>
      <c r="D821" s="1" t="s">
        <v>43</v>
      </c>
      <c r="E821" s="2" t="n">
        <v>448474247</v>
      </c>
      <c r="F821" s="21" t="s">
        <v>512</v>
      </c>
      <c r="G821" s="1" t="n">
        <v>448390979</v>
      </c>
      <c r="H821" s="3" t="n">
        <v>8120</v>
      </c>
      <c r="I821" s="1" t="n">
        <v>3400</v>
      </c>
      <c r="J821" s="1" t="n">
        <v>0</v>
      </c>
      <c r="K821" s="1" t="n">
        <v>4720</v>
      </c>
      <c r="M821" s="5" t="s">
        <v>1374</v>
      </c>
      <c r="N821" s="33" t="n">
        <f aca="false">DAY(M821)</f>
        <v>15</v>
      </c>
      <c r="O821" s="33" t="str">
        <f aca="false">TEXT(M821,"DDDD")</f>
        <v>lunes</v>
      </c>
      <c r="P821" s="6" t="n">
        <f aca="false">MONTH(M821)</f>
        <v>12</v>
      </c>
      <c r="Q821" s="26" t="str">
        <f aca="false">TEXT(M821,"MMMM")</f>
        <v>diciembre</v>
      </c>
    </row>
    <row r="822" customFormat="false" ht="14.25" hidden="false" customHeight="false" outlineLevel="0" collapsed="false">
      <c r="A822" s="1" t="n">
        <v>6</v>
      </c>
      <c r="B822" s="1" t="s">
        <v>1380</v>
      </c>
      <c r="C822" s="1" t="s">
        <v>20</v>
      </c>
      <c r="D822" s="1" t="s">
        <v>1381</v>
      </c>
      <c r="E822" s="2" t="n">
        <v>448476752</v>
      </c>
      <c r="H822" s="3" t="n">
        <v>1410</v>
      </c>
      <c r="I822" s="1" t="n">
        <v>1200</v>
      </c>
      <c r="J822" s="1" t="n">
        <v>0</v>
      </c>
      <c r="K822" s="1" t="n">
        <v>210</v>
      </c>
      <c r="M822" s="5" t="s">
        <v>1374</v>
      </c>
      <c r="N822" s="33" t="n">
        <f aca="false">DAY(M822)</f>
        <v>15</v>
      </c>
      <c r="O822" s="33" t="str">
        <f aca="false">TEXT(M822,"DDDD")</f>
        <v>lunes</v>
      </c>
      <c r="P822" s="6" t="n">
        <f aca="false">MONTH(M822)</f>
        <v>12</v>
      </c>
      <c r="Q822" s="26" t="str">
        <f aca="false">TEXT(M822,"MMMM")</f>
        <v>diciembre</v>
      </c>
    </row>
    <row r="823" customFormat="false" ht="14.25" hidden="false" customHeight="false" outlineLevel="0" collapsed="false">
      <c r="A823" s="1" t="n">
        <v>6</v>
      </c>
      <c r="B823" s="1" t="s">
        <v>1382</v>
      </c>
      <c r="C823" s="1" t="s">
        <v>140</v>
      </c>
      <c r="D823" s="1" t="s">
        <v>1185</v>
      </c>
      <c r="E823" s="2" t="n">
        <v>448477915</v>
      </c>
      <c r="H823" s="3" t="n">
        <v>1800</v>
      </c>
      <c r="I823" s="1" t="n">
        <v>1200</v>
      </c>
      <c r="J823" s="1" t="n">
        <v>0</v>
      </c>
      <c r="K823" s="1" t="n">
        <v>600</v>
      </c>
      <c r="M823" s="5" t="s">
        <v>1374</v>
      </c>
      <c r="N823" s="33" t="n">
        <f aca="false">DAY(M823)</f>
        <v>15</v>
      </c>
      <c r="O823" s="33" t="str">
        <f aca="false">TEXT(M823,"DDDD")</f>
        <v>lunes</v>
      </c>
      <c r="P823" s="6" t="n">
        <f aca="false">MONTH(M823)</f>
        <v>12</v>
      </c>
      <c r="Q823" s="26" t="str">
        <f aca="false">TEXT(M823,"MMMM")</f>
        <v>diciembre</v>
      </c>
    </row>
    <row r="824" customFormat="false" ht="14.25" hidden="false" customHeight="false" outlineLevel="0" collapsed="false">
      <c r="A824" s="1" t="n">
        <v>7</v>
      </c>
      <c r="B824" s="1" t="s">
        <v>1383</v>
      </c>
      <c r="C824" s="1" t="s">
        <v>20</v>
      </c>
      <c r="D824" s="1" t="s">
        <v>1384</v>
      </c>
      <c r="E824" s="2" t="n">
        <v>448698184</v>
      </c>
      <c r="H824" s="3" t="n">
        <v>3150</v>
      </c>
      <c r="I824" s="1" t="n">
        <v>1200</v>
      </c>
      <c r="J824" s="1" t="n">
        <v>0</v>
      </c>
      <c r="K824" s="1" t="n">
        <v>1950</v>
      </c>
      <c r="M824" s="5" t="n">
        <v>46008</v>
      </c>
      <c r="N824" s="33" t="n">
        <f aca="false">DAY(M824)</f>
        <v>17</v>
      </c>
      <c r="O824" s="33" t="str">
        <f aca="false">TEXT(M824,"DDDD")</f>
        <v>miércoles</v>
      </c>
      <c r="P824" s="6" t="n">
        <f aca="false">MONTH(M824)</f>
        <v>12</v>
      </c>
      <c r="Q824" s="26" t="str">
        <f aca="false">TEXT(M824,"MMMM")</f>
        <v>diciembre</v>
      </c>
    </row>
    <row r="825" customFormat="false" ht="14.25" hidden="false" customHeight="false" outlineLevel="0" collapsed="false">
      <c r="A825" s="1" t="n">
        <v>6</v>
      </c>
      <c r="B825" s="1" t="s">
        <v>1385</v>
      </c>
      <c r="C825" s="1" t="s">
        <v>140</v>
      </c>
      <c r="D825" s="1" t="s">
        <v>49</v>
      </c>
      <c r="E825" s="2" t="n">
        <v>448693563</v>
      </c>
      <c r="H825" s="3" t="n">
        <v>1770</v>
      </c>
      <c r="I825" s="1" t="n">
        <v>1350</v>
      </c>
      <c r="J825" s="1" t="n">
        <v>0</v>
      </c>
      <c r="K825" s="1" t="n">
        <v>420</v>
      </c>
      <c r="M825" s="5" t="n">
        <v>46008</v>
      </c>
      <c r="N825" s="33" t="n">
        <f aca="false">DAY(M825)</f>
        <v>17</v>
      </c>
      <c r="O825" s="33" t="str">
        <f aca="false">TEXT(M825,"DDDD")</f>
        <v>miércoles</v>
      </c>
      <c r="P825" s="6" t="n">
        <f aca="false">MONTH(M825)</f>
        <v>12</v>
      </c>
      <c r="Q825" s="26" t="str">
        <f aca="false">TEXT(M825,"MMMM")</f>
        <v>diciembre</v>
      </c>
    </row>
    <row r="826" customFormat="false" ht="14.25" hidden="false" customHeight="false" outlineLevel="0" collapsed="false">
      <c r="A826" s="1" t="n">
        <v>6</v>
      </c>
      <c r="B826" s="1" t="s">
        <v>1386</v>
      </c>
      <c r="C826" s="1" t="s">
        <v>20</v>
      </c>
      <c r="D826" s="1" t="s">
        <v>1387</v>
      </c>
      <c r="E826" s="2" t="n">
        <v>448690999</v>
      </c>
      <c r="H826" s="3" t="n">
        <v>2240</v>
      </c>
      <c r="I826" s="1" t="n">
        <v>1200</v>
      </c>
      <c r="J826" s="1" t="n">
        <v>0</v>
      </c>
      <c r="K826" s="1" t="n">
        <v>1040</v>
      </c>
      <c r="M826" s="5" t="n">
        <v>46008</v>
      </c>
      <c r="N826" s="33" t="n">
        <f aca="false">DAY(M826)</f>
        <v>17</v>
      </c>
      <c r="O826" s="33" t="str">
        <f aca="false">TEXT(M826,"DDDD")</f>
        <v>miércoles</v>
      </c>
      <c r="P826" s="6" t="n">
        <f aca="false">MONTH(M826)</f>
        <v>12</v>
      </c>
      <c r="Q826" s="26" t="str">
        <f aca="false">TEXT(M826,"MMMM")</f>
        <v>diciembre</v>
      </c>
    </row>
    <row r="827" customFormat="false" ht="14.25" hidden="false" customHeight="false" outlineLevel="0" collapsed="false">
      <c r="A827" s="1" t="n">
        <v>5</v>
      </c>
      <c r="B827" s="1" t="s">
        <v>1388</v>
      </c>
      <c r="C827" s="1" t="s">
        <v>20</v>
      </c>
      <c r="D827" s="1" t="s">
        <v>1389</v>
      </c>
      <c r="E827" s="2" t="n">
        <v>448689573</v>
      </c>
      <c r="H827" s="3" t="n">
        <v>1320</v>
      </c>
      <c r="I827" s="1" t="n">
        <v>1200</v>
      </c>
      <c r="J827" s="1" t="n">
        <v>0</v>
      </c>
      <c r="K827" s="1" t="n">
        <v>120</v>
      </c>
      <c r="M827" s="5" t="n">
        <v>46008</v>
      </c>
      <c r="N827" s="33" t="n">
        <f aca="false">DAY(M827)</f>
        <v>17</v>
      </c>
      <c r="O827" s="33" t="str">
        <f aca="false">TEXT(M827,"DDDD")</f>
        <v>miércoles</v>
      </c>
      <c r="P827" s="6" t="n">
        <f aca="false">MONTH(M827)</f>
        <v>12</v>
      </c>
      <c r="Q827" s="26" t="str">
        <f aca="false">TEXT(M827,"MMMM")</f>
        <v>diciembre</v>
      </c>
    </row>
    <row r="828" customFormat="false" ht="14.25" hidden="false" customHeight="false" outlineLevel="0" collapsed="false">
      <c r="A828" s="1" t="n">
        <v>5</v>
      </c>
      <c r="B828" s="1" t="s">
        <v>1390</v>
      </c>
      <c r="C828" s="1" t="s">
        <v>20</v>
      </c>
      <c r="D828" s="1" t="s">
        <v>791</v>
      </c>
      <c r="E828" s="2" t="n">
        <v>448689731</v>
      </c>
      <c r="H828" s="3" t="n">
        <v>1380</v>
      </c>
      <c r="I828" s="1" t="n">
        <v>1200</v>
      </c>
      <c r="J828" s="1" t="n">
        <v>0</v>
      </c>
      <c r="K828" s="1" t="n">
        <v>180</v>
      </c>
      <c r="M828" s="5" t="n">
        <v>46008</v>
      </c>
      <c r="N828" s="33" t="n">
        <f aca="false">DAY(M828)</f>
        <v>17</v>
      </c>
      <c r="O828" s="33" t="str">
        <f aca="false">TEXT(M828,"DDDD")</f>
        <v>miércoles</v>
      </c>
      <c r="P828" s="6" t="n">
        <f aca="false">MONTH(M828)</f>
        <v>12</v>
      </c>
      <c r="Q828" s="26" t="str">
        <f aca="false">TEXT(M828,"MMMM")</f>
        <v>diciembre</v>
      </c>
    </row>
    <row r="829" customFormat="false" ht="14.25" hidden="false" customHeight="false" outlineLevel="0" collapsed="false">
      <c r="A829" s="1" t="n">
        <v>5</v>
      </c>
      <c r="B829" s="1" t="s">
        <v>1391</v>
      </c>
      <c r="C829" s="1" t="s">
        <v>38</v>
      </c>
      <c r="D829" s="1" t="s">
        <v>1392</v>
      </c>
      <c r="E829" s="2" t="n">
        <v>448687303</v>
      </c>
      <c r="H829" s="3" t="n">
        <v>3790</v>
      </c>
      <c r="I829" s="1" t="n">
        <v>2250</v>
      </c>
      <c r="J829" s="1" t="n">
        <v>0</v>
      </c>
      <c r="K829" s="1" t="n">
        <v>1540</v>
      </c>
      <c r="M829" s="5" t="n">
        <v>46008</v>
      </c>
      <c r="N829" s="33" t="n">
        <f aca="false">DAY(M829)</f>
        <v>17</v>
      </c>
      <c r="O829" s="33" t="str">
        <f aca="false">TEXT(M829,"DDDD")</f>
        <v>miércoles</v>
      </c>
      <c r="P829" s="6" t="n">
        <f aca="false">MONTH(M829)</f>
        <v>12</v>
      </c>
      <c r="Q829" s="26" t="str">
        <f aca="false">TEXT(M829,"MMMM")</f>
        <v>diciembre</v>
      </c>
    </row>
    <row r="830" customFormat="false" ht="14.25" hidden="false" customHeight="false" outlineLevel="0" collapsed="false">
      <c r="A830" s="1" t="n">
        <v>12</v>
      </c>
      <c r="B830" s="1" t="s">
        <v>1393</v>
      </c>
      <c r="C830" s="1" t="s">
        <v>20</v>
      </c>
      <c r="D830" s="1" t="s">
        <v>623</v>
      </c>
      <c r="E830" s="2" t="n">
        <v>448909228</v>
      </c>
      <c r="F830" s="21" t="s">
        <v>623</v>
      </c>
      <c r="G830" s="1" t="n">
        <v>448909754</v>
      </c>
      <c r="H830" s="3" t="n">
        <v>2720</v>
      </c>
      <c r="I830" s="1" t="n">
        <v>2100</v>
      </c>
      <c r="J830" s="1" t="n">
        <v>0</v>
      </c>
      <c r="K830" s="1" t="n">
        <v>620</v>
      </c>
      <c r="M830" s="5" t="n">
        <v>46009</v>
      </c>
      <c r="N830" s="33" t="n">
        <f aca="false">DAY(M830)</f>
        <v>18</v>
      </c>
      <c r="O830" s="33" t="str">
        <f aca="false">TEXT(M830,"DDDD")</f>
        <v>jueves</v>
      </c>
      <c r="P830" s="6" t="n">
        <f aca="false">MONTH(M830)</f>
        <v>12</v>
      </c>
      <c r="Q830" s="26" t="str">
        <f aca="false">TEXT(M830,"MMMM")</f>
        <v>diciembre</v>
      </c>
      <c r="R830" s="21" t="s">
        <v>1394</v>
      </c>
      <c r="S830" s="21" t="n">
        <f aca="false">11638+11580</f>
        <v>23218</v>
      </c>
    </row>
    <row r="831" customFormat="false" ht="14.25" hidden="false" customHeight="false" outlineLevel="0" collapsed="false">
      <c r="A831" s="1" t="n">
        <v>12</v>
      </c>
      <c r="B831" s="1" t="s">
        <v>1395</v>
      </c>
      <c r="C831" s="1" t="s">
        <v>20</v>
      </c>
      <c r="D831" s="1" t="s">
        <v>1058</v>
      </c>
      <c r="E831" s="2" t="n">
        <v>448904631</v>
      </c>
      <c r="H831" s="3" t="n">
        <v>1200</v>
      </c>
      <c r="I831" s="1" t="n">
        <v>1200</v>
      </c>
      <c r="J831" s="1" t="n">
        <v>0</v>
      </c>
      <c r="K831" s="1" t="n">
        <v>0</v>
      </c>
      <c r="M831" s="5" t="n">
        <v>46009</v>
      </c>
      <c r="N831" s="33" t="n">
        <f aca="false">DAY(M831)</f>
        <v>18</v>
      </c>
      <c r="O831" s="33" t="str">
        <f aca="false">TEXT(M831,"DDDD")</f>
        <v>jueves</v>
      </c>
      <c r="P831" s="6" t="n">
        <f aca="false">MONTH(M831)</f>
        <v>12</v>
      </c>
      <c r="Q831" s="26" t="str">
        <f aca="false">TEXT(M831,"MMMM")</f>
        <v>diciembre</v>
      </c>
    </row>
    <row r="832" customFormat="false" ht="14.25" hidden="false" customHeight="false" outlineLevel="0" collapsed="false">
      <c r="A832" s="1" t="n">
        <v>11</v>
      </c>
      <c r="B832" s="1" t="s">
        <v>1396</v>
      </c>
      <c r="C832" s="1" t="s">
        <v>20</v>
      </c>
      <c r="D832" s="1" t="s">
        <v>1397</v>
      </c>
      <c r="E832" s="2" t="n">
        <v>448887170</v>
      </c>
      <c r="H832" s="3" t="n">
        <v>1200</v>
      </c>
      <c r="I832" s="1" t="n">
        <v>1200</v>
      </c>
      <c r="J832" s="1" t="n">
        <v>0</v>
      </c>
      <c r="K832" s="1" t="n">
        <v>0</v>
      </c>
      <c r="M832" s="5" t="n">
        <v>46009</v>
      </c>
      <c r="N832" s="33" t="n">
        <f aca="false">DAY(M832)</f>
        <v>18</v>
      </c>
      <c r="O832" s="33" t="str">
        <f aca="false">TEXT(M832,"DDDD")</f>
        <v>jueves</v>
      </c>
      <c r="P832" s="6" t="n">
        <f aca="false">MONTH(M832)</f>
        <v>12</v>
      </c>
      <c r="Q832" s="26" t="str">
        <f aca="false">TEXT(M832,"MMMM")</f>
        <v>diciembre</v>
      </c>
    </row>
    <row r="833" customFormat="false" ht="14.25" hidden="false" customHeight="false" outlineLevel="0" collapsed="false">
      <c r="A833" s="1" t="n">
        <v>11</v>
      </c>
      <c r="B833" s="1" t="s">
        <v>1398</v>
      </c>
      <c r="C833" s="1" t="s">
        <v>20</v>
      </c>
      <c r="D833" s="1" t="s">
        <v>474</v>
      </c>
      <c r="E833" s="2" t="n">
        <v>448880767</v>
      </c>
      <c r="H833" s="3" t="n">
        <v>2680</v>
      </c>
      <c r="I833" s="1" t="n">
        <v>1500</v>
      </c>
      <c r="J833" s="1" t="n">
        <v>0</v>
      </c>
      <c r="K833" s="1" t="n">
        <v>1180</v>
      </c>
      <c r="M833" s="5" t="n">
        <v>46009</v>
      </c>
      <c r="N833" s="33" t="n">
        <f aca="false">DAY(M833)</f>
        <v>18</v>
      </c>
      <c r="O833" s="33" t="str">
        <f aca="false">TEXT(M833,"DDDD")</f>
        <v>jueves</v>
      </c>
      <c r="P833" s="6" t="n">
        <f aca="false">MONTH(M833)</f>
        <v>12</v>
      </c>
      <c r="Q833" s="26" t="str">
        <f aca="false">TEXT(M833,"MMMM")</f>
        <v>diciembre</v>
      </c>
    </row>
    <row r="834" customFormat="false" ht="14.25" hidden="false" customHeight="false" outlineLevel="0" collapsed="false">
      <c r="A834" s="1" t="n">
        <v>11</v>
      </c>
      <c r="B834" s="1" t="s">
        <v>1399</v>
      </c>
      <c r="C834" s="1" t="s">
        <v>20</v>
      </c>
      <c r="D834" s="1" t="s">
        <v>1400</v>
      </c>
      <c r="E834" s="2" t="n">
        <v>448873850</v>
      </c>
      <c r="F834" s="21" t="s">
        <v>1401</v>
      </c>
      <c r="G834" s="1" t="n">
        <v>448869572</v>
      </c>
      <c r="H834" s="3" t="n">
        <v>2000</v>
      </c>
      <c r="I834" s="1" t="n">
        <v>1800</v>
      </c>
      <c r="J834" s="1" t="n">
        <v>0</v>
      </c>
      <c r="K834" s="1" t="n">
        <v>200</v>
      </c>
      <c r="M834" s="5" t="s">
        <v>1402</v>
      </c>
      <c r="N834" s="33" t="n">
        <f aca="false">DAY(M834)</f>
        <v>18</v>
      </c>
      <c r="O834" s="33" t="str">
        <f aca="false">TEXT(M834,"DDDD")</f>
        <v>jueves</v>
      </c>
      <c r="P834" s="6" t="n">
        <f aca="false">MONTH(M834)</f>
        <v>12</v>
      </c>
      <c r="Q834" s="26" t="str">
        <f aca="false">TEXT(M834,"MMMM")</f>
        <v>diciembre</v>
      </c>
    </row>
    <row r="835" customFormat="false" ht="14.25" hidden="false" customHeight="false" outlineLevel="0" collapsed="false">
      <c r="A835" s="1" t="n">
        <v>11</v>
      </c>
      <c r="B835" s="1" t="s">
        <v>1403</v>
      </c>
      <c r="C835" s="1" t="s">
        <v>38</v>
      </c>
      <c r="D835" s="1" t="s">
        <v>1404</v>
      </c>
      <c r="E835" s="2" t="n">
        <v>448866759</v>
      </c>
      <c r="H835" s="3" t="n">
        <v>1200</v>
      </c>
      <c r="I835" s="1" t="n">
        <v>1200</v>
      </c>
      <c r="J835" s="1" t="n">
        <v>0</v>
      </c>
      <c r="K835" s="1" t="n">
        <v>0</v>
      </c>
      <c r="M835" s="5" t="s">
        <v>1402</v>
      </c>
      <c r="N835" s="33" t="n">
        <f aca="false">DAY(M835)</f>
        <v>18</v>
      </c>
      <c r="O835" s="33" t="str">
        <f aca="false">TEXT(M835,"DDDD")</f>
        <v>jueves</v>
      </c>
      <c r="P835" s="6" t="n">
        <f aca="false">MONTH(M835)</f>
        <v>12</v>
      </c>
      <c r="Q835" s="26" t="str">
        <f aca="false">TEXT(M835,"MMMM")</f>
        <v>diciembre</v>
      </c>
    </row>
    <row r="836" customFormat="false" ht="14.25" hidden="false" customHeight="false" outlineLevel="0" collapsed="false">
      <c r="A836" s="1" t="n">
        <v>11</v>
      </c>
      <c r="B836" s="1" t="s">
        <v>1405</v>
      </c>
      <c r="C836" s="1" t="s">
        <v>20</v>
      </c>
      <c r="D836" s="1" t="s">
        <v>1406</v>
      </c>
      <c r="E836" s="2" t="n">
        <v>448864457</v>
      </c>
      <c r="F836" s="21" t="s">
        <v>1406</v>
      </c>
      <c r="G836" s="1" t="n">
        <v>448864365</v>
      </c>
      <c r="H836" s="3" t="n">
        <v>1800</v>
      </c>
      <c r="I836" s="1" t="n">
        <v>1800</v>
      </c>
      <c r="J836" s="1" t="n">
        <v>0</v>
      </c>
      <c r="K836" s="1" t="n">
        <v>0</v>
      </c>
      <c r="M836" s="5" t="s">
        <v>1402</v>
      </c>
      <c r="N836" s="33" t="n">
        <f aca="false">DAY(M836)</f>
        <v>18</v>
      </c>
      <c r="O836" s="33" t="str">
        <f aca="false">TEXT(M836,"DDDD")</f>
        <v>jueves</v>
      </c>
      <c r="P836" s="6" t="n">
        <f aca="false">MONTH(M836)</f>
        <v>12</v>
      </c>
      <c r="Q836" s="26" t="str">
        <f aca="false">TEXT(M836,"MMMM")</f>
        <v>diciembre</v>
      </c>
      <c r="R836" s="21" t="s">
        <v>1407</v>
      </c>
      <c r="S836" s="21" t="n">
        <f aca="false">7698+10408</f>
        <v>18106</v>
      </c>
    </row>
    <row r="837" customFormat="false" ht="14.25" hidden="false" customHeight="false" outlineLevel="0" collapsed="false">
      <c r="A837" s="1" t="n">
        <v>10</v>
      </c>
      <c r="B837" s="1" t="s">
        <v>1408</v>
      </c>
      <c r="C837" s="1" t="s">
        <v>140</v>
      </c>
      <c r="D837" s="1" t="s">
        <v>1409</v>
      </c>
      <c r="E837" s="2" t="n">
        <v>448861081</v>
      </c>
      <c r="H837" s="3" t="n">
        <v>1550</v>
      </c>
      <c r="I837" s="1" t="n">
        <v>1550</v>
      </c>
      <c r="J837" s="1" t="n">
        <v>0</v>
      </c>
      <c r="K837" s="1" t="n">
        <v>0</v>
      </c>
      <c r="M837" s="5" t="s">
        <v>1402</v>
      </c>
      <c r="N837" s="33" t="n">
        <f aca="false">DAY(M837)</f>
        <v>18</v>
      </c>
      <c r="O837" s="33" t="str">
        <f aca="false">TEXT(M837,"DDDD")</f>
        <v>jueves</v>
      </c>
      <c r="P837" s="6" t="n">
        <f aca="false">MONTH(M837)</f>
        <v>12</v>
      </c>
      <c r="Q837" s="26" t="str">
        <f aca="false">TEXT(M837,"MMMM")</f>
        <v>diciembre</v>
      </c>
    </row>
    <row r="838" customFormat="false" ht="14.25" hidden="false" customHeight="false" outlineLevel="0" collapsed="false">
      <c r="A838" s="1" t="n">
        <v>10</v>
      </c>
      <c r="B838" s="1" t="s">
        <v>1410</v>
      </c>
      <c r="C838" s="1" t="s">
        <v>140</v>
      </c>
      <c r="D838" s="1" t="s">
        <v>1409</v>
      </c>
      <c r="E838" s="2" t="n">
        <v>448856992</v>
      </c>
      <c r="H838" s="3" t="n">
        <v>1910</v>
      </c>
      <c r="I838" s="1" t="n">
        <v>1350</v>
      </c>
      <c r="J838" s="1" t="n">
        <v>0</v>
      </c>
      <c r="K838" s="1" t="n">
        <v>560</v>
      </c>
      <c r="M838" s="5" t="s">
        <v>1402</v>
      </c>
      <c r="N838" s="33" t="n">
        <f aca="false">DAY(M838)</f>
        <v>18</v>
      </c>
      <c r="O838" s="33" t="str">
        <f aca="false">TEXT(M838,"DDDD")</f>
        <v>jueves</v>
      </c>
      <c r="P838" s="6" t="n">
        <f aca="false">MONTH(M838)</f>
        <v>12</v>
      </c>
      <c r="Q838" s="26" t="str">
        <f aca="false">TEXT(M838,"MMMM")</f>
        <v>diciembre</v>
      </c>
    </row>
    <row r="839" customFormat="false" ht="14.25" hidden="false" customHeight="false" outlineLevel="0" collapsed="false">
      <c r="A839" s="1" t="n">
        <v>10</v>
      </c>
      <c r="B839" s="1" t="s">
        <v>1411</v>
      </c>
      <c r="C839" s="1" t="s">
        <v>140</v>
      </c>
      <c r="D839" s="1" t="s">
        <v>588</v>
      </c>
      <c r="E839" s="2" t="n">
        <v>448852593</v>
      </c>
      <c r="H839" s="3" t="n">
        <v>1760</v>
      </c>
      <c r="I839" s="1" t="n">
        <v>1200</v>
      </c>
      <c r="J839" s="1" t="n">
        <v>0</v>
      </c>
      <c r="K839" s="1" t="n">
        <v>560</v>
      </c>
      <c r="M839" s="5" t="s">
        <v>1402</v>
      </c>
      <c r="N839" s="33" t="n">
        <f aca="false">DAY(M839)</f>
        <v>18</v>
      </c>
      <c r="O839" s="33" t="str">
        <f aca="false">TEXT(M839,"DDDD")</f>
        <v>jueves</v>
      </c>
      <c r="P839" s="6" t="n">
        <f aca="false">MONTH(M839)</f>
        <v>12</v>
      </c>
      <c r="Q839" s="26" t="str">
        <f aca="false">TEXT(M839,"MMMM")</f>
        <v>diciembre</v>
      </c>
    </row>
    <row r="840" customFormat="false" ht="14.25" hidden="false" customHeight="false" outlineLevel="0" collapsed="false">
      <c r="A840" s="1" t="n">
        <v>9</v>
      </c>
      <c r="B840" s="1" t="s">
        <v>1412</v>
      </c>
      <c r="C840" s="1" t="s">
        <v>140</v>
      </c>
      <c r="D840" s="1" t="s">
        <v>1413</v>
      </c>
      <c r="E840" s="2" t="n">
        <v>448844754</v>
      </c>
      <c r="H840" s="3" t="n">
        <v>1700</v>
      </c>
      <c r="I840" s="1" t="n">
        <v>1350</v>
      </c>
      <c r="J840" s="1" t="n">
        <v>0</v>
      </c>
      <c r="K840" s="1" t="n">
        <v>350</v>
      </c>
      <c r="M840" s="5" t="s">
        <v>1402</v>
      </c>
      <c r="N840" s="33" t="n">
        <f aca="false">DAY(M840)</f>
        <v>18</v>
      </c>
      <c r="O840" s="33" t="str">
        <f aca="false">TEXT(M840,"DDDD")</f>
        <v>jueves</v>
      </c>
      <c r="P840" s="6" t="n">
        <f aca="false">MONTH(M840)</f>
        <v>12</v>
      </c>
      <c r="Q840" s="26" t="str">
        <f aca="false">TEXT(M840,"MMMM")</f>
        <v>diciembre</v>
      </c>
    </row>
    <row r="841" customFormat="false" ht="14.25" hidden="false" customHeight="false" outlineLevel="0" collapsed="false">
      <c r="A841" s="1" t="n">
        <v>11</v>
      </c>
      <c r="B841" s="1" t="s">
        <v>1414</v>
      </c>
      <c r="C841" s="1" t="s">
        <v>20</v>
      </c>
      <c r="D841" s="1" t="s">
        <v>1415</v>
      </c>
      <c r="E841" s="2" t="n">
        <v>449411472</v>
      </c>
      <c r="H841" s="3" t="n">
        <v>5150</v>
      </c>
      <c r="I841" s="1" t="n">
        <v>1450</v>
      </c>
      <c r="J841" s="1" t="n">
        <v>0</v>
      </c>
      <c r="K841" s="1" t="n">
        <v>3700</v>
      </c>
      <c r="M841" s="5" t="s">
        <v>1416</v>
      </c>
      <c r="N841" s="33" t="n">
        <f aca="false">DAY(M841)</f>
        <v>22</v>
      </c>
      <c r="O841" s="33" t="str">
        <f aca="false">TEXT(M841,"DDDD")</f>
        <v>lunes</v>
      </c>
      <c r="P841" s="6" t="n">
        <f aca="false">MONTH(M841)</f>
        <v>12</v>
      </c>
      <c r="Q841" s="26" t="str">
        <f aca="false">TEXT(M841,"MMMM")</f>
        <v>diciembre</v>
      </c>
    </row>
    <row r="842" customFormat="false" ht="14.25" hidden="false" customHeight="false" outlineLevel="0" collapsed="false">
      <c r="A842" s="1" t="n">
        <v>10</v>
      </c>
      <c r="B842" s="1" t="s">
        <v>1417</v>
      </c>
      <c r="C842" s="1" t="s">
        <v>20</v>
      </c>
      <c r="D842" s="1" t="s">
        <v>1177</v>
      </c>
      <c r="E842" s="2" t="n">
        <v>449386339</v>
      </c>
      <c r="F842" s="21" t="s">
        <v>1418</v>
      </c>
      <c r="G842" s="1" t="n">
        <v>449386541</v>
      </c>
      <c r="H842" s="3" t="n">
        <v>4860</v>
      </c>
      <c r="I842" s="1" t="n">
        <v>1800</v>
      </c>
      <c r="J842" s="1" t="n">
        <v>0</v>
      </c>
      <c r="K842" s="1" t="n">
        <v>3060</v>
      </c>
      <c r="M842" s="5" t="s">
        <v>1416</v>
      </c>
      <c r="N842" s="33" t="n">
        <f aca="false">DAY(M842)</f>
        <v>22</v>
      </c>
      <c r="O842" s="33" t="str">
        <f aca="false">TEXT(M842,"DDDD")</f>
        <v>lunes</v>
      </c>
      <c r="P842" s="6" t="n">
        <f aca="false">MONTH(M842)</f>
        <v>12</v>
      </c>
      <c r="Q842" s="26" t="str">
        <f aca="false">TEXT(M842,"MMMM")</f>
        <v>diciembre</v>
      </c>
    </row>
    <row r="843" customFormat="false" ht="14.25" hidden="false" customHeight="false" outlineLevel="0" collapsed="false">
      <c r="A843" s="1" t="n">
        <v>10</v>
      </c>
      <c r="B843" s="1" t="s">
        <v>1419</v>
      </c>
      <c r="C843" s="1" t="s">
        <v>20</v>
      </c>
      <c r="D843" s="1" t="s">
        <v>242</v>
      </c>
      <c r="E843" s="2" t="n">
        <v>449376929</v>
      </c>
      <c r="F843" s="21" t="s">
        <v>1420</v>
      </c>
      <c r="G843" s="1" t="n">
        <v>449376229</v>
      </c>
      <c r="H843" s="3" t="n">
        <v>3840</v>
      </c>
      <c r="I843" s="1" t="n">
        <v>1800</v>
      </c>
      <c r="J843" s="1" t="n">
        <v>0</v>
      </c>
      <c r="K843" s="1" t="n">
        <v>2040</v>
      </c>
      <c r="M843" s="5" t="s">
        <v>1416</v>
      </c>
      <c r="N843" s="33" t="n">
        <f aca="false">DAY(M843)</f>
        <v>22</v>
      </c>
      <c r="O843" s="33" t="str">
        <f aca="false">TEXT(M843,"DDDD")</f>
        <v>lunes</v>
      </c>
      <c r="P843" s="6" t="n">
        <f aca="false">MONTH(M843)</f>
        <v>12</v>
      </c>
      <c r="Q843" s="26" t="str">
        <f aca="false">TEXT(M843,"MMMM")</f>
        <v>diciembre</v>
      </c>
    </row>
    <row r="844" customFormat="false" ht="14.25" hidden="false" customHeight="false" outlineLevel="0" collapsed="false">
      <c r="A844" s="1" t="n">
        <v>10</v>
      </c>
      <c r="B844" s="1" t="s">
        <v>1421</v>
      </c>
      <c r="C844" s="1" t="s">
        <v>20</v>
      </c>
      <c r="D844" s="1" t="s">
        <v>1422</v>
      </c>
      <c r="E844" s="2" t="n">
        <v>449376706</v>
      </c>
      <c r="H844" s="3" t="n">
        <v>4140</v>
      </c>
      <c r="I844" s="1" t="n">
        <v>1200</v>
      </c>
      <c r="J844" s="1" t="n">
        <v>0</v>
      </c>
      <c r="K844" s="1" t="n">
        <v>2940</v>
      </c>
      <c r="M844" s="5" t="s">
        <v>1416</v>
      </c>
      <c r="N844" s="33" t="n">
        <f aca="false">DAY(M844)</f>
        <v>22</v>
      </c>
      <c r="O844" s="33" t="str">
        <f aca="false">TEXT(M844,"DDDD")</f>
        <v>lunes</v>
      </c>
      <c r="P844" s="6" t="n">
        <f aca="false">MONTH(M844)</f>
        <v>12</v>
      </c>
      <c r="Q844" s="26" t="str">
        <f aca="false">TEXT(M844,"MMMM")</f>
        <v>diciembre</v>
      </c>
    </row>
    <row r="845" customFormat="false" ht="14.25" hidden="false" customHeight="false" outlineLevel="0" collapsed="false">
      <c r="A845" s="1" t="n">
        <v>10</v>
      </c>
      <c r="B845" s="1" t="s">
        <v>1408</v>
      </c>
      <c r="C845" s="1" t="s">
        <v>20</v>
      </c>
      <c r="D845" s="1" t="s">
        <v>1423</v>
      </c>
      <c r="E845" s="2" t="n">
        <v>449372814</v>
      </c>
      <c r="H845" s="3" t="n">
        <v>2720</v>
      </c>
      <c r="I845" s="1" t="n">
        <v>1200</v>
      </c>
      <c r="J845" s="1" t="n">
        <v>0</v>
      </c>
      <c r="K845" s="1" t="n">
        <v>1520</v>
      </c>
      <c r="M845" s="5" t="s">
        <v>1416</v>
      </c>
      <c r="N845" s="33" t="n">
        <f aca="false">DAY(M845)</f>
        <v>22</v>
      </c>
      <c r="O845" s="33" t="str">
        <f aca="false">TEXT(M845,"DDDD")</f>
        <v>lunes</v>
      </c>
      <c r="P845" s="6" t="n">
        <f aca="false">MONTH(M845)</f>
        <v>12</v>
      </c>
      <c r="Q845" s="26" t="str">
        <f aca="false">TEXT(M845,"MMMM")</f>
        <v>diciembre</v>
      </c>
    </row>
    <row r="846" customFormat="false" ht="14.25" hidden="false" customHeight="false" outlineLevel="0" collapsed="false">
      <c r="A846" s="1" t="n">
        <v>10</v>
      </c>
      <c r="B846" s="1" t="s">
        <v>1424</v>
      </c>
      <c r="C846" s="1" t="s">
        <v>38</v>
      </c>
      <c r="D846" s="1" t="s">
        <v>1425</v>
      </c>
      <c r="E846" s="2" t="n">
        <v>449365662</v>
      </c>
      <c r="H846" s="3" t="n">
        <v>5000</v>
      </c>
      <c r="I846" s="1" t="n">
        <v>5000</v>
      </c>
      <c r="J846" s="1" t="n">
        <v>0</v>
      </c>
      <c r="K846" s="1" t="n">
        <v>0</v>
      </c>
      <c r="M846" s="5" t="s">
        <v>1416</v>
      </c>
      <c r="N846" s="33" t="n">
        <f aca="false">DAY(M846)</f>
        <v>22</v>
      </c>
      <c r="O846" s="33" t="str">
        <f aca="false">TEXT(M846,"DDDD")</f>
        <v>lunes</v>
      </c>
      <c r="P846" s="6" t="n">
        <f aca="false">MONTH(M846)</f>
        <v>12</v>
      </c>
      <c r="Q846" s="26" t="str">
        <f aca="false">TEXT(M846,"MMMM")</f>
        <v>diciembre</v>
      </c>
    </row>
    <row r="847" customFormat="false" ht="14.25" hidden="false" customHeight="false" outlineLevel="0" collapsed="false">
      <c r="A847" s="1" t="n">
        <v>10</v>
      </c>
      <c r="B847" s="1" t="s">
        <v>1426</v>
      </c>
      <c r="C847" s="1" t="s">
        <v>38</v>
      </c>
      <c r="D847" s="1" t="s">
        <v>1427</v>
      </c>
      <c r="E847" s="2" t="n">
        <v>449360532</v>
      </c>
      <c r="H847" s="3" t="n">
        <v>2880</v>
      </c>
      <c r="I847" s="1" t="n">
        <v>1800</v>
      </c>
      <c r="J847" s="1" t="n">
        <v>0</v>
      </c>
      <c r="K847" s="1" t="n">
        <v>1080</v>
      </c>
      <c r="M847" s="5" t="s">
        <v>1416</v>
      </c>
      <c r="N847" s="33" t="n">
        <f aca="false">DAY(M847)</f>
        <v>22</v>
      </c>
      <c r="O847" s="33" t="str">
        <f aca="false">TEXT(M847,"DDDD")</f>
        <v>lunes</v>
      </c>
      <c r="P847" s="6" t="n">
        <f aca="false">MONTH(M847)</f>
        <v>12</v>
      </c>
      <c r="Q847" s="26" t="str">
        <f aca="false">TEXT(M847,"MMMM")</f>
        <v>diciembre</v>
      </c>
    </row>
    <row r="848" customFormat="false" ht="14.25" hidden="false" customHeight="false" outlineLevel="0" collapsed="false">
      <c r="A848" s="1" t="n">
        <v>9</v>
      </c>
      <c r="B848" s="1" t="s">
        <v>1428</v>
      </c>
      <c r="C848" s="1" t="s">
        <v>20</v>
      </c>
      <c r="D848" s="1" t="s">
        <v>1429</v>
      </c>
      <c r="E848" s="2" t="n">
        <v>449362325</v>
      </c>
      <c r="H848" s="3" t="n">
        <v>2380</v>
      </c>
      <c r="I848" s="1" t="n">
        <v>1200</v>
      </c>
      <c r="J848" s="1" t="n">
        <v>0</v>
      </c>
      <c r="K848" s="1" t="n">
        <v>1180</v>
      </c>
      <c r="M848" s="5" t="s">
        <v>1416</v>
      </c>
      <c r="N848" s="33" t="n">
        <f aca="false">DAY(M848)</f>
        <v>22</v>
      </c>
      <c r="O848" s="33" t="str">
        <f aca="false">TEXT(M848,"DDDD")</f>
        <v>lunes</v>
      </c>
      <c r="P848" s="6" t="n">
        <f aca="false">MONTH(M848)</f>
        <v>12</v>
      </c>
      <c r="Q848" s="26" t="str">
        <f aca="false">TEXT(M848,"MMMM")</f>
        <v>diciembre</v>
      </c>
    </row>
    <row r="849" customFormat="false" ht="14.25" hidden="false" customHeight="false" outlineLevel="0" collapsed="false">
      <c r="A849" s="1" t="n">
        <v>9</v>
      </c>
      <c r="B849" s="1" t="s">
        <v>1430</v>
      </c>
      <c r="C849" s="1" t="s">
        <v>38</v>
      </c>
      <c r="D849" s="1" t="s">
        <v>366</v>
      </c>
      <c r="E849" s="2" t="n">
        <v>449362312</v>
      </c>
      <c r="H849" s="3" t="n">
        <v>1200</v>
      </c>
      <c r="I849" s="1" t="n">
        <v>1200</v>
      </c>
      <c r="J849" s="1" t="n">
        <v>0</v>
      </c>
      <c r="K849" s="1" t="n">
        <v>0</v>
      </c>
      <c r="M849" s="5" t="s">
        <v>1416</v>
      </c>
      <c r="N849" s="33" t="n">
        <f aca="false">DAY(M849)</f>
        <v>22</v>
      </c>
      <c r="O849" s="33" t="str">
        <f aca="false">TEXT(M849,"DDDD")</f>
        <v>lunes</v>
      </c>
      <c r="P849" s="6" t="n">
        <f aca="false">MONTH(M849)</f>
        <v>12</v>
      </c>
      <c r="Q849" s="26" t="str">
        <f aca="false">TEXT(M849,"MMMM")</f>
        <v>diciembre</v>
      </c>
    </row>
    <row r="850" customFormat="false" ht="14.25" hidden="false" customHeight="false" outlineLevel="0" collapsed="false">
      <c r="A850" s="1" t="n">
        <v>12</v>
      </c>
      <c r="B850" s="1" t="s">
        <v>1431</v>
      </c>
      <c r="C850" s="1" t="s">
        <v>20</v>
      </c>
      <c r="D850" s="1" t="s">
        <v>1033</v>
      </c>
      <c r="E850" s="2" t="n">
        <v>449531394</v>
      </c>
      <c r="H850" s="3" t="n">
        <v>2610</v>
      </c>
      <c r="I850" s="1" t="n">
        <v>1350</v>
      </c>
      <c r="J850" s="1" t="n">
        <v>0</v>
      </c>
      <c r="K850" s="1" t="n">
        <v>1260</v>
      </c>
      <c r="M850" s="5" t="s">
        <v>1432</v>
      </c>
      <c r="N850" s="33" t="n">
        <f aca="false">DAY(M850)</f>
        <v>23</v>
      </c>
      <c r="O850" s="33" t="str">
        <f aca="false">TEXT(M850,"DDDD")</f>
        <v>martes</v>
      </c>
      <c r="P850" s="6" t="n">
        <f aca="false">MONTH(M850)</f>
        <v>12</v>
      </c>
      <c r="Q850" s="26" t="str">
        <f aca="false">TEXT(M850,"MMMM")</f>
        <v>diciembre</v>
      </c>
      <c r="R850" s="21" t="s">
        <v>1033</v>
      </c>
      <c r="S850" s="1" t="n">
        <v>25030</v>
      </c>
    </row>
    <row r="851" customFormat="false" ht="14.25" hidden="false" customHeight="false" outlineLevel="0" collapsed="false">
      <c r="A851" s="1" t="n">
        <v>12</v>
      </c>
      <c r="B851" s="1" t="s">
        <v>1433</v>
      </c>
      <c r="C851" s="1" t="s">
        <v>20</v>
      </c>
      <c r="D851" s="1" t="s">
        <v>1033</v>
      </c>
      <c r="E851" s="2" t="n">
        <v>449529399</v>
      </c>
      <c r="H851" s="3" t="n">
        <v>2140</v>
      </c>
      <c r="I851" s="1" t="n">
        <v>1200</v>
      </c>
      <c r="J851" s="1" t="n">
        <v>0</v>
      </c>
      <c r="K851" s="1" t="n">
        <v>940</v>
      </c>
      <c r="M851" s="5" t="s">
        <v>1432</v>
      </c>
      <c r="N851" s="33" t="n">
        <f aca="false">DAY(M851)</f>
        <v>23</v>
      </c>
      <c r="O851" s="33" t="str">
        <f aca="false">TEXT(M851,"DDDD")</f>
        <v>martes</v>
      </c>
      <c r="P851" s="6" t="n">
        <f aca="false">MONTH(M851)</f>
        <v>12</v>
      </c>
      <c r="Q851" s="26" t="str">
        <f aca="false">TEXT(M851,"MMMM")</f>
        <v>diciembre</v>
      </c>
    </row>
    <row r="852" customFormat="false" ht="14.25" hidden="false" customHeight="false" outlineLevel="0" collapsed="false">
      <c r="A852" s="1" t="n">
        <v>12</v>
      </c>
      <c r="B852" s="1" t="s">
        <v>1434</v>
      </c>
      <c r="C852" s="1" t="s">
        <v>20</v>
      </c>
      <c r="D852" s="1" t="s">
        <v>1435</v>
      </c>
      <c r="E852" s="2" t="n">
        <v>449521642</v>
      </c>
      <c r="H852" s="3" t="n">
        <v>4160</v>
      </c>
      <c r="I852" s="1" t="n">
        <v>1800</v>
      </c>
      <c r="J852" s="1" t="n">
        <v>0</v>
      </c>
      <c r="K852" s="1" t="n">
        <v>2360</v>
      </c>
      <c r="M852" s="5" t="s">
        <v>1432</v>
      </c>
      <c r="N852" s="33" t="n">
        <f aca="false">DAY(M852)</f>
        <v>23</v>
      </c>
      <c r="O852" s="33" t="str">
        <f aca="false">TEXT(M852,"DDDD")</f>
        <v>martes</v>
      </c>
      <c r="P852" s="6" t="n">
        <f aca="false">MONTH(M852)</f>
        <v>12</v>
      </c>
      <c r="Q852" s="26" t="str">
        <f aca="false">TEXT(M852,"MMMM")</f>
        <v>diciembre</v>
      </c>
    </row>
    <row r="853" customFormat="false" ht="14.25" hidden="false" customHeight="false" outlineLevel="0" collapsed="false">
      <c r="A853" s="1" t="n">
        <v>12</v>
      </c>
      <c r="B853" s="1" t="s">
        <v>1436</v>
      </c>
      <c r="C853" s="1" t="s">
        <v>20</v>
      </c>
      <c r="D853" s="1" t="s">
        <v>964</v>
      </c>
      <c r="E853" s="2" t="n">
        <v>449514276</v>
      </c>
      <c r="H853" s="3" t="n">
        <v>1400</v>
      </c>
      <c r="I853" s="1" t="n">
        <v>1400</v>
      </c>
      <c r="J853" s="1" t="n">
        <v>0</v>
      </c>
      <c r="K853" s="1" t="n">
        <v>0</v>
      </c>
      <c r="M853" s="5" t="s">
        <v>1432</v>
      </c>
      <c r="N853" s="33" t="n">
        <f aca="false">DAY(M853)</f>
        <v>23</v>
      </c>
      <c r="O853" s="33" t="str">
        <f aca="false">TEXT(M853,"DDDD")</f>
        <v>martes</v>
      </c>
      <c r="P853" s="6" t="n">
        <f aca="false">MONTH(M853)</f>
        <v>12</v>
      </c>
      <c r="Q853" s="26" t="str">
        <f aca="false">TEXT(M853,"MMMM")</f>
        <v>diciembre</v>
      </c>
    </row>
    <row r="854" customFormat="false" ht="14.25" hidden="false" customHeight="false" outlineLevel="0" collapsed="false">
      <c r="A854" s="1" t="n">
        <v>12</v>
      </c>
      <c r="B854" s="1" t="s">
        <v>552</v>
      </c>
      <c r="C854" s="1" t="s">
        <v>20</v>
      </c>
      <c r="D854" s="1" t="s">
        <v>246</v>
      </c>
      <c r="E854" s="2" t="n">
        <v>449511066</v>
      </c>
      <c r="F854" s="21" t="s">
        <v>1437</v>
      </c>
      <c r="G854" s="1" t="n">
        <v>449511643</v>
      </c>
      <c r="H854" s="3" t="n">
        <v>2900</v>
      </c>
      <c r="I854" s="1" t="n">
        <v>2500</v>
      </c>
      <c r="J854" s="1" t="n">
        <v>200</v>
      </c>
      <c r="K854" s="1" t="n">
        <v>200</v>
      </c>
      <c r="M854" s="5" t="s">
        <v>1432</v>
      </c>
      <c r="N854" s="33" t="n">
        <f aca="false">DAY(M854)</f>
        <v>23</v>
      </c>
      <c r="O854" s="33" t="str">
        <f aca="false">TEXT(M854,"DDDD")</f>
        <v>martes</v>
      </c>
      <c r="P854" s="6" t="n">
        <f aca="false">MONTH(M854)</f>
        <v>12</v>
      </c>
      <c r="Q854" s="26" t="str">
        <f aca="false">TEXT(M854,"MMMM")</f>
        <v>diciembre</v>
      </c>
    </row>
    <row r="855" customFormat="false" ht="14.25" hidden="false" customHeight="false" outlineLevel="0" collapsed="false">
      <c r="A855" s="1" t="n">
        <v>11</v>
      </c>
      <c r="B855" s="1" t="s">
        <v>1398</v>
      </c>
      <c r="C855" s="1" t="s">
        <v>38</v>
      </c>
      <c r="D855" s="1" t="s">
        <v>1438</v>
      </c>
      <c r="E855" s="2" t="n">
        <v>449501547</v>
      </c>
      <c r="F855" s="21" t="s">
        <v>1438</v>
      </c>
      <c r="G855" s="1" t="n">
        <v>449500847</v>
      </c>
      <c r="H855" s="3" t="n">
        <v>2002</v>
      </c>
      <c r="I855" s="1" t="n">
        <v>1800</v>
      </c>
      <c r="J855" s="1" t="n">
        <v>200</v>
      </c>
      <c r="K855" s="1" t="n">
        <v>2</v>
      </c>
      <c r="M855" s="5" t="s">
        <v>1432</v>
      </c>
      <c r="N855" s="33" t="n">
        <f aca="false">DAY(M855)</f>
        <v>23</v>
      </c>
      <c r="O855" s="33" t="str">
        <f aca="false">TEXT(M855,"DDDD")</f>
        <v>martes</v>
      </c>
      <c r="P855" s="6" t="n">
        <f aca="false">MONTH(M855)</f>
        <v>12</v>
      </c>
      <c r="Q855" s="26" t="str">
        <f aca="false">TEXT(M855,"MMMM")</f>
        <v>diciembre</v>
      </c>
    </row>
    <row r="856" customFormat="false" ht="14.25" hidden="false" customHeight="false" outlineLevel="0" collapsed="false">
      <c r="A856" s="1" t="n">
        <v>11</v>
      </c>
      <c r="B856" s="1" t="s">
        <v>1439</v>
      </c>
      <c r="C856" s="1" t="s">
        <v>20</v>
      </c>
      <c r="D856" s="1" t="s">
        <v>1215</v>
      </c>
      <c r="E856" s="2" t="n">
        <v>449491851</v>
      </c>
      <c r="F856" s="21" t="s">
        <v>966</v>
      </c>
      <c r="G856" s="1" t="n">
        <v>449492358</v>
      </c>
      <c r="H856" s="3" t="n">
        <v>3650</v>
      </c>
      <c r="I856" s="1" t="n">
        <v>2050</v>
      </c>
      <c r="J856" s="1" t="n">
        <v>200</v>
      </c>
      <c r="K856" s="1" t="n">
        <v>1400</v>
      </c>
      <c r="M856" s="5" t="s">
        <v>1432</v>
      </c>
      <c r="N856" s="33" t="n">
        <f aca="false">DAY(M856)</f>
        <v>23</v>
      </c>
      <c r="O856" s="33" t="str">
        <f aca="false">TEXT(M856,"DDDD")</f>
        <v>martes</v>
      </c>
      <c r="P856" s="6" t="n">
        <f aca="false">MONTH(M856)</f>
        <v>12</v>
      </c>
      <c r="Q856" s="26" t="str">
        <f aca="false">TEXT(M856,"MMMM")</f>
        <v>diciembre</v>
      </c>
    </row>
    <row r="857" customFormat="false" ht="14.25" hidden="false" customHeight="false" outlineLevel="0" collapsed="false">
      <c r="A857" s="1" t="n">
        <v>11</v>
      </c>
      <c r="B857" s="1" t="s">
        <v>1440</v>
      </c>
      <c r="C857" s="1" t="s">
        <v>140</v>
      </c>
      <c r="D857" s="1" t="s">
        <v>588</v>
      </c>
      <c r="E857" s="2" t="n">
        <v>449486751</v>
      </c>
      <c r="H857" s="3" t="n">
        <v>2500</v>
      </c>
      <c r="I857" s="1" t="n">
        <v>2400</v>
      </c>
      <c r="J857" s="1" t="n">
        <v>100</v>
      </c>
      <c r="K857" s="1" t="n">
        <v>0</v>
      </c>
      <c r="M857" s="5" t="s">
        <v>1432</v>
      </c>
      <c r="N857" s="33" t="n">
        <f aca="false">DAY(M857)</f>
        <v>23</v>
      </c>
      <c r="O857" s="33" t="str">
        <f aca="false">TEXT(M857,"DDDD")</f>
        <v>martes</v>
      </c>
      <c r="P857" s="6" t="n">
        <f aca="false">MONTH(M857)</f>
        <v>12</v>
      </c>
      <c r="Q857" s="26" t="str">
        <f aca="false">TEXT(M857,"MMMM")</f>
        <v>diciembre</v>
      </c>
    </row>
    <row r="858" customFormat="false" ht="14.25" hidden="false" customHeight="false" outlineLevel="0" collapsed="false">
      <c r="A858" s="1" t="n">
        <v>11</v>
      </c>
      <c r="B858" s="1" t="s">
        <v>1441</v>
      </c>
      <c r="C858" s="1" t="s">
        <v>38</v>
      </c>
      <c r="D858" s="1" t="s">
        <v>1442</v>
      </c>
      <c r="E858" s="2" t="n">
        <v>449483292</v>
      </c>
      <c r="H858" s="3" t="n">
        <v>3060</v>
      </c>
      <c r="I858" s="1" t="n">
        <v>1600</v>
      </c>
      <c r="J858" s="1" t="n">
        <v>100</v>
      </c>
      <c r="K858" s="1" t="n">
        <v>1360</v>
      </c>
      <c r="M858" s="5" t="s">
        <v>1432</v>
      </c>
      <c r="N858" s="33" t="n">
        <f aca="false">DAY(M858)</f>
        <v>23</v>
      </c>
      <c r="O858" s="33" t="str">
        <f aca="false">TEXT(M858,"DDDD")</f>
        <v>martes</v>
      </c>
      <c r="P858" s="6" t="n">
        <f aca="false">MONTH(M858)</f>
        <v>12</v>
      </c>
      <c r="Q858" s="26" t="str">
        <f aca="false">TEXT(M858,"MMMM")</f>
        <v>diciembre</v>
      </c>
    </row>
    <row r="859" customFormat="false" ht="14.25" hidden="false" customHeight="false" outlineLevel="0" collapsed="false">
      <c r="A859" s="1" t="n">
        <v>10</v>
      </c>
      <c r="B859" s="1" t="s">
        <v>1443</v>
      </c>
      <c r="C859" s="1" t="s">
        <v>20</v>
      </c>
      <c r="D859" s="1" t="s">
        <v>1444</v>
      </c>
      <c r="E859" s="2" t="n">
        <v>449482023</v>
      </c>
      <c r="H859" s="3" t="n">
        <v>2910</v>
      </c>
      <c r="I859" s="1" t="n">
        <v>1450</v>
      </c>
      <c r="J859" s="1" t="n">
        <v>100</v>
      </c>
      <c r="K859" s="1" t="n">
        <v>1360</v>
      </c>
      <c r="M859" s="5" t="s">
        <v>1432</v>
      </c>
      <c r="N859" s="33" t="n">
        <f aca="false">DAY(M859)</f>
        <v>23</v>
      </c>
      <c r="O859" s="33" t="str">
        <f aca="false">TEXT(M859,"DDDD")</f>
        <v>martes</v>
      </c>
      <c r="P859" s="6" t="n">
        <f aca="false">MONTH(M859)</f>
        <v>12</v>
      </c>
      <c r="Q859" s="26" t="str">
        <f aca="false">TEXT(M859,"MMMM")</f>
        <v>diciembre</v>
      </c>
    </row>
    <row r="860" customFormat="false" ht="14.25" hidden="false" customHeight="false" outlineLevel="0" collapsed="false">
      <c r="A860" s="1" t="n">
        <v>10</v>
      </c>
      <c r="B860" s="1" t="s">
        <v>1445</v>
      </c>
      <c r="C860" s="1" t="s">
        <v>20</v>
      </c>
      <c r="D860" s="1" t="s">
        <v>1446</v>
      </c>
      <c r="E860" s="2" t="n">
        <v>449480991</v>
      </c>
      <c r="H860" s="3" t="n">
        <v>4270</v>
      </c>
      <c r="I860" s="1" t="n">
        <v>2310</v>
      </c>
      <c r="J860" s="1" t="n">
        <v>0</v>
      </c>
      <c r="K860" s="1" t="n">
        <v>1960</v>
      </c>
      <c r="M860" s="5" t="s">
        <v>1432</v>
      </c>
      <c r="N860" s="33" t="n">
        <f aca="false">DAY(M860)</f>
        <v>23</v>
      </c>
      <c r="O860" s="33" t="str">
        <f aca="false">TEXT(M860,"DDDD")</f>
        <v>martes</v>
      </c>
      <c r="P860" s="6" t="n">
        <f aca="false">MONTH(M860)</f>
        <v>12</v>
      </c>
      <c r="Q860" s="26" t="str">
        <f aca="false">TEXT(M860,"MMMM")</f>
        <v>diciembre</v>
      </c>
    </row>
    <row r="861" customFormat="false" ht="14.25" hidden="false" customHeight="false" outlineLevel="0" collapsed="false">
      <c r="A861" s="1" t="n">
        <v>10</v>
      </c>
      <c r="B861" s="1" t="s">
        <v>959</v>
      </c>
      <c r="C861" s="1" t="s">
        <v>38</v>
      </c>
      <c r="D861" s="1" t="s">
        <v>366</v>
      </c>
      <c r="E861" s="2" t="n">
        <v>449480208</v>
      </c>
      <c r="H861" s="3" t="n">
        <v>2004</v>
      </c>
      <c r="I861" s="1" t="n">
        <v>1604</v>
      </c>
      <c r="J861" s="1" t="n">
        <v>0</v>
      </c>
      <c r="K861" s="1" t="n">
        <v>400</v>
      </c>
      <c r="M861" s="5" t="s">
        <v>1432</v>
      </c>
      <c r="N861" s="33" t="n">
        <f aca="false">DAY(M861)</f>
        <v>23</v>
      </c>
      <c r="O861" s="33" t="str">
        <f aca="false">TEXT(M861,"DDDD")</f>
        <v>martes</v>
      </c>
      <c r="P861" s="6" t="n">
        <f aca="false">MONTH(M861)</f>
        <v>12</v>
      </c>
      <c r="Q861" s="26" t="str">
        <f aca="false">TEXT(M861,"MMMM")</f>
        <v>diciembre</v>
      </c>
    </row>
    <row r="862" customFormat="false" ht="14.25" hidden="false" customHeight="false" outlineLevel="0" collapsed="false">
      <c r="A862" s="1" t="n">
        <v>10</v>
      </c>
      <c r="B862" s="1" t="s">
        <v>1447</v>
      </c>
      <c r="C862" s="1" t="s">
        <v>20</v>
      </c>
      <c r="D862" s="1" t="s">
        <v>1448</v>
      </c>
      <c r="E862" s="2" t="n">
        <v>449478616</v>
      </c>
      <c r="H862" s="3" t="n">
        <v>2925</v>
      </c>
      <c r="I862" s="1" t="n">
        <v>1925</v>
      </c>
      <c r="J862" s="1" t="n">
        <v>0</v>
      </c>
      <c r="K862" s="1" t="n">
        <v>1000</v>
      </c>
      <c r="M862" s="5" t="s">
        <v>1432</v>
      </c>
      <c r="N862" s="33" t="n">
        <f aca="false">DAY(M862)</f>
        <v>23</v>
      </c>
      <c r="O862" s="33" t="str">
        <f aca="false">TEXT(M862,"DDDD")</f>
        <v>martes</v>
      </c>
      <c r="P862" s="6" t="n">
        <f aca="false">MONTH(M862)</f>
        <v>12</v>
      </c>
      <c r="Q862" s="26" t="str">
        <f aca="false">TEXT(M862,"MMMM")</f>
        <v>diciembre</v>
      </c>
      <c r="R862" s="21" t="s">
        <v>1448</v>
      </c>
      <c r="S862" s="1" t="n">
        <v>12978</v>
      </c>
    </row>
    <row r="863" customFormat="false" ht="14.25" hidden="false" customHeight="false" outlineLevel="0" collapsed="false">
      <c r="A863" s="1" t="n">
        <v>10</v>
      </c>
      <c r="B863" s="1" t="s">
        <v>1449</v>
      </c>
      <c r="C863" s="1" t="s">
        <v>140</v>
      </c>
      <c r="D863" s="1" t="s">
        <v>49</v>
      </c>
      <c r="E863" s="2" t="n">
        <v>449476680</v>
      </c>
      <c r="H863" s="3" t="n">
        <v>2695</v>
      </c>
      <c r="I863" s="1" t="n">
        <v>2450</v>
      </c>
      <c r="J863" s="1" t="n">
        <v>0</v>
      </c>
      <c r="K863" s="1" t="n">
        <v>245</v>
      </c>
      <c r="M863" s="5" t="s">
        <v>1432</v>
      </c>
      <c r="N863" s="33" t="n">
        <f aca="false">DAY(M863)</f>
        <v>23</v>
      </c>
      <c r="O863" s="33" t="str">
        <f aca="false">TEXT(M863,"DDDD")</f>
        <v>martes</v>
      </c>
      <c r="P863" s="6" t="n">
        <f aca="false">MONTH(M863)</f>
        <v>12</v>
      </c>
      <c r="Q863" s="26" t="str">
        <f aca="false">TEXT(M863,"MMMM")</f>
        <v>diciembre</v>
      </c>
    </row>
    <row r="864" customFormat="false" ht="14.25" hidden="false" customHeight="false" outlineLevel="0" collapsed="false">
      <c r="A864" s="1" t="n">
        <v>8</v>
      </c>
      <c r="B864" s="1" t="s">
        <v>1450</v>
      </c>
      <c r="C864" s="1" t="s">
        <v>38</v>
      </c>
      <c r="D864" s="1" t="s">
        <v>1451</v>
      </c>
      <c r="E864" s="2" t="n">
        <v>449581420</v>
      </c>
      <c r="H864" s="3" t="n">
        <v>2160</v>
      </c>
      <c r="I864" s="1" t="n">
        <v>1700</v>
      </c>
      <c r="J864" s="1" t="n">
        <v>0</v>
      </c>
      <c r="K864" s="1" t="n">
        <v>460</v>
      </c>
      <c r="M864" s="5" t="s">
        <v>1452</v>
      </c>
      <c r="N864" s="33" t="n">
        <f aca="false">DAY(M864)</f>
        <v>24</v>
      </c>
      <c r="O864" s="33" t="str">
        <f aca="false">TEXT(M864,"DDDD")</f>
        <v>miércoles</v>
      </c>
      <c r="P864" s="6" t="n">
        <f aca="false">MONTH(M864)</f>
        <v>12</v>
      </c>
      <c r="Q864" s="26" t="str">
        <f aca="false">TEXT(M864,"MMMM")</f>
        <v>diciembre</v>
      </c>
    </row>
    <row r="865" customFormat="false" ht="14.25" hidden="false" customHeight="false" outlineLevel="0" collapsed="false">
      <c r="A865" s="1" t="n">
        <v>8</v>
      </c>
      <c r="B865" s="1" t="s">
        <v>1453</v>
      </c>
      <c r="C865" s="1" t="s">
        <v>20</v>
      </c>
      <c r="D865" s="1" t="s">
        <v>623</v>
      </c>
      <c r="E865" s="2" t="n">
        <v>449574966</v>
      </c>
      <c r="H865" s="3" t="n">
        <v>1600</v>
      </c>
      <c r="I865" s="1" t="n">
        <v>1600</v>
      </c>
      <c r="J865" s="1" t="n">
        <v>0</v>
      </c>
      <c r="K865" s="1" t="n">
        <v>0</v>
      </c>
      <c r="M865" s="5" t="s">
        <v>1452</v>
      </c>
      <c r="N865" s="33" t="n">
        <f aca="false">DAY(M865)</f>
        <v>24</v>
      </c>
      <c r="O865" s="33" t="str">
        <f aca="false">TEXT(M865,"DDDD")</f>
        <v>miércoles</v>
      </c>
      <c r="P865" s="6" t="n">
        <f aca="false">MONTH(M865)</f>
        <v>12</v>
      </c>
      <c r="Q865" s="26" t="str">
        <f aca="false">TEXT(M865,"MMMM")</f>
        <v>diciembre</v>
      </c>
    </row>
    <row r="866" customFormat="false" ht="14.25" hidden="false" customHeight="false" outlineLevel="0" collapsed="false">
      <c r="A866" s="1" t="n">
        <v>7</v>
      </c>
      <c r="B866" s="1" t="s">
        <v>1454</v>
      </c>
      <c r="C866" s="1" t="s">
        <v>20</v>
      </c>
      <c r="D866" s="1" t="s">
        <v>1455</v>
      </c>
      <c r="E866" s="2" t="n">
        <v>449569833</v>
      </c>
      <c r="F866" s="21" t="s">
        <v>1455</v>
      </c>
      <c r="G866" s="1" t="n">
        <v>449572965</v>
      </c>
      <c r="H866" s="3" t="n">
        <v>1800</v>
      </c>
      <c r="I866" s="1" t="n">
        <v>1800</v>
      </c>
      <c r="J866" s="1" t="n">
        <v>0</v>
      </c>
      <c r="K866" s="1" t="n">
        <v>0</v>
      </c>
      <c r="M866" s="5" t="s">
        <v>1452</v>
      </c>
      <c r="N866" s="33" t="n">
        <f aca="false">DAY(M866)</f>
        <v>24</v>
      </c>
      <c r="O866" s="33" t="str">
        <f aca="false">TEXT(M866,"DDDD")</f>
        <v>miércoles</v>
      </c>
      <c r="P866" s="6" t="n">
        <f aca="false">MONTH(M866)</f>
        <v>12</v>
      </c>
      <c r="Q866" s="26" t="str">
        <f aca="false">TEXT(M866,"MMMM")</f>
        <v>diciembre</v>
      </c>
    </row>
    <row r="867" customFormat="false" ht="14.25" hidden="false" customHeight="false" outlineLevel="0" collapsed="false">
      <c r="A867" s="1" t="n">
        <v>7</v>
      </c>
      <c r="B867" s="1" t="s">
        <v>1456</v>
      </c>
      <c r="C867" s="1" t="s">
        <v>20</v>
      </c>
      <c r="D867" s="1" t="s">
        <v>1457</v>
      </c>
      <c r="E867" s="2" t="n">
        <v>449564572</v>
      </c>
      <c r="F867" s="21" t="s">
        <v>1458</v>
      </c>
      <c r="G867" s="1" t="n">
        <v>449565697</v>
      </c>
      <c r="H867" s="3" t="n">
        <v>6020</v>
      </c>
      <c r="I867" s="1" t="n">
        <v>2000</v>
      </c>
      <c r="J867" s="1" t="n">
        <v>0</v>
      </c>
      <c r="K867" s="1" t="n">
        <v>4020</v>
      </c>
      <c r="M867" s="5" t="s">
        <v>1452</v>
      </c>
      <c r="N867" s="33" t="n">
        <f aca="false">DAY(M867)</f>
        <v>24</v>
      </c>
      <c r="O867" s="33" t="str">
        <f aca="false">TEXT(M867,"DDDD")</f>
        <v>miércoles</v>
      </c>
      <c r="P867" s="6" t="n">
        <f aca="false">MONTH(M867)</f>
        <v>12</v>
      </c>
      <c r="Q867" s="26" t="str">
        <f aca="false">TEXT(M867,"MMMM")</f>
        <v>diciembre</v>
      </c>
    </row>
    <row r="868" customFormat="false" ht="14.25" hidden="false" customHeight="false" outlineLevel="0" collapsed="false">
      <c r="A868" s="1" t="n">
        <v>6</v>
      </c>
      <c r="B868" s="1" t="s">
        <v>1459</v>
      </c>
      <c r="C868" s="1" t="s">
        <v>20</v>
      </c>
      <c r="D868" s="1" t="s">
        <v>1460</v>
      </c>
      <c r="E868" s="2" t="n">
        <v>449558147</v>
      </c>
      <c r="H868" s="3" t="n">
        <v>1860</v>
      </c>
      <c r="I868" s="1" t="n">
        <v>1200</v>
      </c>
      <c r="J868" s="1" t="n">
        <v>0</v>
      </c>
      <c r="K868" s="1" t="n">
        <v>660</v>
      </c>
      <c r="M868" s="5" t="s">
        <v>1452</v>
      </c>
      <c r="N868" s="33" t="n">
        <f aca="false">DAY(M868)</f>
        <v>24</v>
      </c>
      <c r="O868" s="33" t="str">
        <f aca="false">TEXT(M868,"DDDD")</f>
        <v>miércoles</v>
      </c>
      <c r="P868" s="6" t="n">
        <f aca="false">MONTH(M868)</f>
        <v>12</v>
      </c>
      <c r="Q868" s="26" t="str">
        <f aca="false">TEXT(M868,"MMMM")</f>
        <v>diciembre</v>
      </c>
    </row>
    <row r="869" customFormat="false" ht="14.25" hidden="false" customHeight="false" outlineLevel="0" collapsed="false">
      <c r="A869" s="1" t="n">
        <v>6</v>
      </c>
      <c r="B869" s="1" t="s">
        <v>1461</v>
      </c>
      <c r="C869" s="1" t="s">
        <v>38</v>
      </c>
      <c r="D869" s="1" t="s">
        <v>1462</v>
      </c>
      <c r="E869" s="2" t="n">
        <v>449556807</v>
      </c>
      <c r="H869" s="3" t="n">
        <v>1200</v>
      </c>
      <c r="I869" s="1" t="n">
        <v>1200</v>
      </c>
      <c r="J869" s="1" t="n">
        <v>0</v>
      </c>
      <c r="K869" s="1" t="n">
        <v>0</v>
      </c>
      <c r="M869" s="5" t="s">
        <v>1452</v>
      </c>
      <c r="N869" s="33" t="n">
        <f aca="false">DAY(M869)</f>
        <v>24</v>
      </c>
      <c r="O869" s="33" t="str">
        <f aca="false">TEXT(M869,"DDDD")</f>
        <v>miércoles</v>
      </c>
      <c r="P869" s="6" t="n">
        <f aca="false">MONTH(M869)</f>
        <v>12</v>
      </c>
      <c r="Q869" s="26" t="str">
        <f aca="false">TEXT(M869,"MMMM")</f>
        <v>diciembre</v>
      </c>
    </row>
    <row r="870" customFormat="false" ht="14.25" hidden="false" customHeight="false" outlineLevel="0" collapsed="false">
      <c r="A870" s="1" t="n">
        <v>6</v>
      </c>
      <c r="B870" s="1" t="s">
        <v>1463</v>
      </c>
      <c r="C870" s="1" t="s">
        <v>38</v>
      </c>
      <c r="D870" s="1" t="s">
        <v>1464</v>
      </c>
      <c r="E870" s="2" t="n">
        <v>449551388</v>
      </c>
      <c r="F870" s="21" t="s">
        <v>1465</v>
      </c>
      <c r="G870" s="1" t="n">
        <v>449552822</v>
      </c>
      <c r="H870" s="3" t="n">
        <v>4590</v>
      </c>
      <c r="I870" s="1" t="n">
        <v>2350</v>
      </c>
      <c r="J870" s="1" t="n">
        <v>0</v>
      </c>
      <c r="K870" s="1" t="n">
        <v>2240</v>
      </c>
      <c r="M870" s="5" t="s">
        <v>1452</v>
      </c>
      <c r="N870" s="33" t="n">
        <f aca="false">DAY(M870)</f>
        <v>24</v>
      </c>
      <c r="O870" s="33" t="str">
        <f aca="false">TEXT(M870,"DDDD")</f>
        <v>miércoles</v>
      </c>
      <c r="P870" s="6" t="n">
        <f aca="false">MONTH(M870)</f>
        <v>12</v>
      </c>
      <c r="Q870" s="26" t="str">
        <f aca="false">TEXT(M870,"MMMM")</f>
        <v>diciembre</v>
      </c>
    </row>
    <row r="871" customFormat="false" ht="14.25" hidden="false" customHeight="false" outlineLevel="0" collapsed="false">
      <c r="A871" s="1" t="n">
        <v>5</v>
      </c>
      <c r="B871" s="1" t="s">
        <v>1466</v>
      </c>
      <c r="C871" s="1" t="s">
        <v>38</v>
      </c>
      <c r="D871" s="1" t="s">
        <v>1467</v>
      </c>
      <c r="E871" s="2" t="n">
        <v>449548246</v>
      </c>
      <c r="H871" s="3" t="n">
        <v>1200</v>
      </c>
      <c r="I871" s="1" t="n">
        <v>1200</v>
      </c>
      <c r="J871" s="1" t="n">
        <v>0</v>
      </c>
      <c r="K871" s="1" t="n">
        <v>0</v>
      </c>
      <c r="M871" s="5" t="s">
        <v>1452</v>
      </c>
      <c r="N871" s="33" t="n">
        <f aca="false">DAY(M871)</f>
        <v>24</v>
      </c>
      <c r="O871" s="33" t="str">
        <f aca="false">TEXT(M871,"DDDD")</f>
        <v>miércoles</v>
      </c>
      <c r="P871" s="6" t="n">
        <f aca="false">MONTH(M871)</f>
        <v>12</v>
      </c>
      <c r="Q871" s="26" t="str">
        <f aca="false">TEXT(M871,"MMMM")</f>
        <v>diciembre</v>
      </c>
    </row>
    <row r="872" customFormat="false" ht="14.25" hidden="false" customHeight="false" outlineLevel="0" collapsed="false">
      <c r="A872" s="1" t="n">
        <v>4</v>
      </c>
      <c r="B872" s="1" t="s">
        <v>1468</v>
      </c>
      <c r="C872" s="1" t="s">
        <v>20</v>
      </c>
      <c r="D872" s="1" t="s">
        <v>150</v>
      </c>
      <c r="E872" s="2" t="n">
        <v>449544076</v>
      </c>
      <c r="H872" s="3" t="n">
        <v>2590</v>
      </c>
      <c r="I872" s="1" t="n">
        <v>2250</v>
      </c>
      <c r="J872" s="1" t="n">
        <v>0</v>
      </c>
      <c r="K872" s="1" t="n">
        <v>340</v>
      </c>
      <c r="M872" s="5" t="s">
        <v>1452</v>
      </c>
      <c r="N872" s="33" t="n">
        <f aca="false">DAY(M872)</f>
        <v>24</v>
      </c>
      <c r="O872" s="33" t="str">
        <f aca="false">TEXT(M872,"DDDD")</f>
        <v>miércoles</v>
      </c>
      <c r="P872" s="6" t="n">
        <f aca="false">MONTH(M872)</f>
        <v>12</v>
      </c>
      <c r="Q872" s="26" t="str">
        <f aca="false">TEXT(M872,"MMMM")</f>
        <v>diciembre</v>
      </c>
      <c r="R872" s="21" t="s">
        <v>150</v>
      </c>
      <c r="S872" s="1" t="n">
        <v>6160</v>
      </c>
    </row>
    <row r="873" customFormat="false" ht="14.25" hidden="false" customHeight="false" outlineLevel="0" collapsed="false">
      <c r="A873" s="1" t="n">
        <v>3</v>
      </c>
      <c r="B873" s="1" t="s">
        <v>1469</v>
      </c>
      <c r="C873" s="1" t="s">
        <v>20</v>
      </c>
      <c r="D873" s="1" t="s">
        <v>85</v>
      </c>
      <c r="E873" s="2" t="n">
        <v>449543854</v>
      </c>
      <c r="H873" s="3" t="n">
        <v>5040</v>
      </c>
      <c r="I873" s="1" t="n">
        <v>1200</v>
      </c>
      <c r="J873" s="1" t="n">
        <v>0</v>
      </c>
      <c r="K873" s="1" t="n">
        <v>3840</v>
      </c>
      <c r="M873" s="5" t="s">
        <v>1452</v>
      </c>
      <c r="N873" s="33" t="n">
        <f aca="false">DAY(M873)</f>
        <v>24</v>
      </c>
      <c r="O873" s="33" t="str">
        <f aca="false">TEXT(M873,"DDDD")</f>
        <v>miércoles</v>
      </c>
      <c r="P873" s="6" t="n">
        <f aca="false">MONTH(M873)</f>
        <v>12</v>
      </c>
      <c r="Q873" s="26" t="str">
        <f aca="false">TEXT(M873,"MMMM")</f>
        <v>diciembre</v>
      </c>
      <c r="R873" s="21" t="s">
        <v>85</v>
      </c>
      <c r="S873" s="1" t="n">
        <v>52388</v>
      </c>
    </row>
    <row r="874" customFormat="false" ht="14.25" hidden="false" customHeight="false" outlineLevel="0" collapsed="false">
      <c r="A874" s="1" t="n">
        <v>3</v>
      </c>
      <c r="B874" s="1" t="s">
        <v>1470</v>
      </c>
      <c r="C874" s="1" t="s">
        <v>20</v>
      </c>
      <c r="D874" s="1" t="s">
        <v>103</v>
      </c>
      <c r="E874" s="2" t="n">
        <v>449543784</v>
      </c>
      <c r="H874" s="3" t="n">
        <v>1980</v>
      </c>
      <c r="I874" s="1" t="n">
        <v>1200</v>
      </c>
      <c r="J874" s="1" t="n">
        <v>0</v>
      </c>
      <c r="K874" s="1" t="n">
        <v>780</v>
      </c>
      <c r="M874" s="5" t="s">
        <v>1452</v>
      </c>
      <c r="N874" s="33" t="n">
        <f aca="false">DAY(M874)</f>
        <v>24</v>
      </c>
      <c r="O874" s="33" t="str">
        <f aca="false">TEXT(M874,"DDDD")</f>
        <v>miércoles</v>
      </c>
      <c r="P874" s="6" t="n">
        <f aca="false">MONTH(M874)</f>
        <v>12</v>
      </c>
      <c r="Q874" s="26" t="str">
        <f aca="false">TEXT(M874,"MMMM")</f>
        <v>diciembre</v>
      </c>
    </row>
    <row r="875" customFormat="false" ht="14.25" hidden="false" customHeight="false" outlineLevel="0" collapsed="false">
      <c r="A875" s="1" t="n">
        <v>3</v>
      </c>
      <c r="B875" s="1" t="s">
        <v>1471</v>
      </c>
      <c r="C875" s="1" t="s">
        <v>20</v>
      </c>
      <c r="D875" s="1" t="s">
        <v>148</v>
      </c>
      <c r="E875" s="2" t="n">
        <v>449543516</v>
      </c>
      <c r="H875" s="3" t="n">
        <v>2420</v>
      </c>
      <c r="I875" s="1" t="n">
        <v>1400</v>
      </c>
      <c r="J875" s="1" t="n">
        <v>0</v>
      </c>
      <c r="K875" s="1" t="n">
        <v>1020</v>
      </c>
      <c r="M875" s="5" t="s">
        <v>1452</v>
      </c>
      <c r="N875" s="33" t="n">
        <f aca="false">DAY(M875)</f>
        <v>24</v>
      </c>
      <c r="O875" s="33" t="str">
        <f aca="false">TEXT(M875,"DDDD")</f>
        <v>miércoles</v>
      </c>
      <c r="P875" s="6" t="n">
        <f aca="false">MONTH(M875)</f>
        <v>12</v>
      </c>
      <c r="Q875" s="26" t="str">
        <f aca="false">TEXT(M875,"MMMM")</f>
        <v>diciembre</v>
      </c>
    </row>
    <row r="876" customFormat="false" ht="14.25" hidden="false" customHeight="false" outlineLevel="0" collapsed="false">
      <c r="A876" s="1" t="n">
        <v>2</v>
      </c>
      <c r="B876" s="1" t="s">
        <v>1472</v>
      </c>
      <c r="C876" s="1" t="s">
        <v>38</v>
      </c>
      <c r="D876" s="1" t="s">
        <v>1473</v>
      </c>
      <c r="E876" s="2" t="n">
        <v>449543229</v>
      </c>
      <c r="H876" s="3" t="n">
        <v>1550</v>
      </c>
      <c r="I876" s="1" t="n">
        <v>1550</v>
      </c>
      <c r="J876" s="1" t="n">
        <v>0</v>
      </c>
      <c r="K876" s="1" t="n">
        <v>0</v>
      </c>
      <c r="M876" s="5" t="s">
        <v>1452</v>
      </c>
      <c r="N876" s="33" t="n">
        <f aca="false">DAY(M876)</f>
        <v>24</v>
      </c>
      <c r="O876" s="33" t="str">
        <f aca="false">TEXT(M876,"DDDD")</f>
        <v>miércoles</v>
      </c>
      <c r="P876" s="6" t="n">
        <f aca="false">MONTH(M876)</f>
        <v>12</v>
      </c>
      <c r="Q876" s="26" t="str">
        <f aca="false">TEXT(M876,"MMMM")</f>
        <v>diciembre</v>
      </c>
      <c r="R876" s="21" t="s">
        <v>1473</v>
      </c>
      <c r="S876" s="1" t="n">
        <v>8627</v>
      </c>
    </row>
    <row r="877" customFormat="false" ht="14.25" hidden="false" customHeight="false" outlineLevel="0" collapsed="false">
      <c r="A877" s="1" t="n">
        <v>2</v>
      </c>
      <c r="B877" s="1" t="s">
        <v>1474</v>
      </c>
      <c r="C877" s="1" t="s">
        <v>20</v>
      </c>
      <c r="D877" s="1" t="s">
        <v>148</v>
      </c>
      <c r="E877" s="2" t="n">
        <v>449542940</v>
      </c>
      <c r="H877" s="3" t="n">
        <v>4580</v>
      </c>
      <c r="I877" s="1" t="n">
        <v>1400</v>
      </c>
      <c r="J877" s="1" t="n">
        <v>0</v>
      </c>
      <c r="K877" s="1" t="n">
        <v>3180</v>
      </c>
      <c r="M877" s="5" t="s">
        <v>1452</v>
      </c>
      <c r="N877" s="33" t="n">
        <f aca="false">DAY(M877)</f>
        <v>24</v>
      </c>
      <c r="O877" s="33" t="str">
        <f aca="false">TEXT(M877,"DDDD")</f>
        <v>miércoles</v>
      </c>
      <c r="P877" s="6" t="n">
        <f aca="false">MONTH(M877)</f>
        <v>12</v>
      </c>
      <c r="Q877" s="26" t="str">
        <f aca="false">TEXT(M877,"MMMM")</f>
        <v>diciembre</v>
      </c>
    </row>
    <row r="878" customFormat="false" ht="14.25" hidden="false" customHeight="false" outlineLevel="0" collapsed="false">
      <c r="A878" s="1" t="n">
        <v>2</v>
      </c>
      <c r="B878" s="1" t="s">
        <v>1475</v>
      </c>
      <c r="C878" s="1" t="s">
        <v>20</v>
      </c>
      <c r="D878" s="1" t="s">
        <v>103</v>
      </c>
      <c r="E878" s="2" t="n">
        <v>449542867</v>
      </c>
      <c r="H878" s="3" t="n">
        <v>1250</v>
      </c>
      <c r="I878" s="1" t="n">
        <v>1250</v>
      </c>
      <c r="J878" s="1" t="n">
        <v>0</v>
      </c>
      <c r="K878" s="1" t="n">
        <v>0</v>
      </c>
      <c r="M878" s="5" t="s">
        <v>1452</v>
      </c>
      <c r="N878" s="33" t="n">
        <f aca="false">DAY(M878)</f>
        <v>24</v>
      </c>
      <c r="O878" s="33" t="str">
        <f aca="false">TEXT(M878,"DDDD")</f>
        <v>miércoles</v>
      </c>
      <c r="P878" s="6" t="n">
        <f aca="false">MONTH(M878)</f>
        <v>12</v>
      </c>
      <c r="Q878" s="26" t="str">
        <f aca="false">TEXT(M878,"MMMM")</f>
        <v>diciembre</v>
      </c>
    </row>
    <row r="879" customFormat="false" ht="14.25" hidden="false" customHeight="false" outlineLevel="0" collapsed="false">
      <c r="A879" s="1" t="n">
        <v>2</v>
      </c>
      <c r="B879" s="1" t="s">
        <v>1476</v>
      </c>
      <c r="C879" s="1" t="s">
        <v>20</v>
      </c>
      <c r="D879" s="1" t="s">
        <v>150</v>
      </c>
      <c r="E879" s="2" t="n">
        <v>449542251</v>
      </c>
      <c r="H879" s="3" t="n">
        <v>2200</v>
      </c>
      <c r="I879" s="1" t="n">
        <v>1200</v>
      </c>
      <c r="J879" s="1" t="n">
        <v>0</v>
      </c>
      <c r="K879" s="1" t="n">
        <v>1000</v>
      </c>
      <c r="M879" s="5" t="s">
        <v>1452</v>
      </c>
      <c r="N879" s="33" t="n">
        <f aca="false">DAY(M879)</f>
        <v>24</v>
      </c>
      <c r="O879" s="33" t="str">
        <f aca="false">TEXT(M879,"DDDD")</f>
        <v>miércoles</v>
      </c>
      <c r="P879" s="6" t="n">
        <f aca="false">MONTH(M879)</f>
        <v>12</v>
      </c>
      <c r="Q879" s="26" t="str">
        <f aca="false">TEXT(M879,"MMMM")</f>
        <v>diciembre</v>
      </c>
    </row>
    <row r="880" customFormat="false" ht="14.25" hidden="false" customHeight="false" outlineLevel="0" collapsed="false">
      <c r="A880" s="1" t="n">
        <v>1</v>
      </c>
      <c r="B880" s="1" t="s">
        <v>1477</v>
      </c>
      <c r="C880" s="1" t="s">
        <v>20</v>
      </c>
      <c r="D880" s="1" t="s">
        <v>546</v>
      </c>
      <c r="E880" s="2" t="n">
        <v>449541749</v>
      </c>
      <c r="H880" s="3" t="n">
        <v>2230</v>
      </c>
      <c r="I880" s="1" t="n">
        <v>1350</v>
      </c>
      <c r="J880" s="1" t="n">
        <v>0</v>
      </c>
      <c r="K880" s="1" t="n">
        <v>880</v>
      </c>
      <c r="M880" s="5" t="s">
        <v>1452</v>
      </c>
      <c r="N880" s="33" t="n">
        <f aca="false">DAY(M880)</f>
        <v>24</v>
      </c>
      <c r="O880" s="33" t="str">
        <f aca="false">TEXT(M880,"DDDD")</f>
        <v>miércoles</v>
      </c>
      <c r="P880" s="6" t="n">
        <f aca="false">MONTH(M880)</f>
        <v>12</v>
      </c>
      <c r="Q880" s="26" t="str">
        <f aca="false">TEXT(M880,"MMMM")</f>
        <v>diciembre</v>
      </c>
    </row>
    <row r="881" customFormat="false" ht="14.25" hidden="false" customHeight="true" outlineLevel="0" collapsed="false">
      <c r="A881" s="1" t="n">
        <v>12</v>
      </c>
      <c r="B881" s="1" t="s">
        <v>1478</v>
      </c>
      <c r="C881" s="1" t="s">
        <v>38</v>
      </c>
      <c r="D881" s="1" t="s">
        <v>1207</v>
      </c>
      <c r="E881" s="2" t="n">
        <v>449682246</v>
      </c>
      <c r="H881" s="3" t="n">
        <v>2800</v>
      </c>
      <c r="I881" s="1" t="n">
        <v>2800</v>
      </c>
      <c r="J881" s="1" t="n">
        <v>0</v>
      </c>
      <c r="K881" s="1" t="n">
        <v>0</v>
      </c>
      <c r="M881" s="5" t="s">
        <v>1479</v>
      </c>
      <c r="N881" s="33" t="n">
        <f aca="false">DAY(M881)</f>
        <v>25</v>
      </c>
      <c r="O881" s="33" t="str">
        <f aca="false">TEXT(M881,"DDDD")</f>
        <v>jueves</v>
      </c>
      <c r="P881" s="6" t="n">
        <f aca="false">MONTH(M881)</f>
        <v>12</v>
      </c>
      <c r="Q881" s="26" t="str">
        <f aca="false">TEXT(M881,"MMMM")</f>
        <v>diciembre</v>
      </c>
      <c r="R881" s="21" t="s">
        <v>1207</v>
      </c>
      <c r="S881" s="1" t="n">
        <v>21549</v>
      </c>
    </row>
    <row r="882" customFormat="false" ht="14.25" hidden="false" customHeight="false" outlineLevel="0" collapsed="false">
      <c r="A882" s="1" t="n">
        <v>12</v>
      </c>
      <c r="B882" s="1" t="s">
        <v>1480</v>
      </c>
      <c r="C882" s="1" t="s">
        <v>38</v>
      </c>
      <c r="D882" s="1" t="s">
        <v>1210</v>
      </c>
      <c r="E882" s="2" t="n">
        <v>449674143</v>
      </c>
      <c r="F882" s="21" t="s">
        <v>1210</v>
      </c>
      <c r="G882" s="1" t="n">
        <v>449676492</v>
      </c>
      <c r="H882" s="3" t="n">
        <v>5200</v>
      </c>
      <c r="I882" s="1" t="n">
        <v>1800</v>
      </c>
      <c r="J882" s="1" t="n">
        <v>2000</v>
      </c>
      <c r="K882" s="1" t="n">
        <v>1400</v>
      </c>
      <c r="M882" s="5" t="s">
        <v>1479</v>
      </c>
      <c r="N882" s="33" t="n">
        <f aca="false">DAY(M882)</f>
        <v>25</v>
      </c>
      <c r="O882" s="33" t="str">
        <f aca="false">TEXT(M882,"DDDD")</f>
        <v>jueves</v>
      </c>
      <c r="P882" s="6" t="n">
        <f aca="false">MONTH(M882)</f>
        <v>12</v>
      </c>
      <c r="Q882" s="26" t="str">
        <f aca="false">TEXT(M882,"MMMM")</f>
        <v>diciembre</v>
      </c>
    </row>
    <row r="883" customFormat="false" ht="14.25" hidden="false" customHeight="false" outlineLevel="0" collapsed="false">
      <c r="A883" s="1" t="n">
        <v>12</v>
      </c>
      <c r="B883" s="1" t="s">
        <v>1481</v>
      </c>
      <c r="C883" s="1" t="s">
        <v>20</v>
      </c>
      <c r="D883" s="1" t="s">
        <v>1482</v>
      </c>
      <c r="E883" s="2" t="n">
        <v>449668289</v>
      </c>
      <c r="F883" s="21" t="s">
        <v>1483</v>
      </c>
      <c r="G883" s="1" t="n">
        <v>449669184</v>
      </c>
      <c r="H883" s="3" t="n">
        <v>9540</v>
      </c>
      <c r="I883" s="1" t="n">
        <v>2100</v>
      </c>
      <c r="J883" s="1" t="n">
        <v>4000</v>
      </c>
      <c r="K883" s="1" t="n">
        <v>3440</v>
      </c>
      <c r="M883" s="5" t="s">
        <v>1479</v>
      </c>
      <c r="N883" s="33" t="n">
        <f aca="false">DAY(M883)</f>
        <v>25</v>
      </c>
      <c r="O883" s="33" t="str">
        <f aca="false">TEXT(M883,"DDDD")</f>
        <v>jueves</v>
      </c>
      <c r="P883" s="6" t="n">
        <f aca="false">MONTH(M883)</f>
        <v>12</v>
      </c>
      <c r="Q883" s="26" t="str">
        <f aca="false">TEXT(M883,"MMMM")</f>
        <v>diciembre</v>
      </c>
    </row>
    <row r="884" customFormat="false" ht="14.25" hidden="false" customHeight="false" outlineLevel="0" collapsed="false">
      <c r="A884" s="1" t="n">
        <v>11</v>
      </c>
      <c r="B884" s="1" t="s">
        <v>1484</v>
      </c>
      <c r="C884" s="1" t="s">
        <v>20</v>
      </c>
      <c r="D884" s="1" t="s">
        <v>242</v>
      </c>
      <c r="E884" s="2" t="n">
        <v>449652656</v>
      </c>
      <c r="H884" s="3" t="n">
        <v>6140</v>
      </c>
      <c r="I884" s="1" t="n">
        <v>1800</v>
      </c>
      <c r="J884" s="1" t="n">
        <v>2000</v>
      </c>
      <c r="K884" s="1" t="n">
        <v>2340</v>
      </c>
      <c r="M884" s="5" t="s">
        <v>1479</v>
      </c>
      <c r="N884" s="33" t="n">
        <f aca="false">DAY(M884)</f>
        <v>25</v>
      </c>
      <c r="O884" s="33" t="str">
        <f aca="false">TEXT(M884,"DDDD")</f>
        <v>jueves</v>
      </c>
      <c r="P884" s="6" t="n">
        <f aca="false">MONTH(M884)</f>
        <v>12</v>
      </c>
      <c r="Q884" s="26" t="str">
        <f aca="false">TEXT(M884,"MMMM")</f>
        <v>diciembre</v>
      </c>
    </row>
    <row r="885" customFormat="false" ht="14.25" hidden="false" customHeight="false" outlineLevel="0" collapsed="false">
      <c r="A885" s="1" t="n">
        <v>11</v>
      </c>
      <c r="B885" s="1" t="s">
        <v>1485</v>
      </c>
      <c r="C885" s="1" t="s">
        <v>38</v>
      </c>
      <c r="D885" s="1" t="s">
        <v>189</v>
      </c>
      <c r="E885" s="2" t="n">
        <v>449653283</v>
      </c>
      <c r="H885" s="3" t="n">
        <v>4760</v>
      </c>
      <c r="I885" s="1" t="n">
        <v>2100</v>
      </c>
      <c r="J885" s="1" t="n">
        <v>2000</v>
      </c>
      <c r="K885" s="1" t="n">
        <v>660</v>
      </c>
      <c r="M885" s="5" t="s">
        <v>1479</v>
      </c>
      <c r="N885" s="33" t="n">
        <f aca="false">DAY(M885)</f>
        <v>25</v>
      </c>
      <c r="O885" s="33" t="str">
        <f aca="false">TEXT(M885,"DDDD")</f>
        <v>jueves</v>
      </c>
      <c r="P885" s="6" t="n">
        <f aca="false">MONTH(M885)</f>
        <v>12</v>
      </c>
      <c r="Q885" s="26" t="str">
        <f aca="false">TEXT(M885,"MMMM")</f>
        <v>diciembre</v>
      </c>
      <c r="R885" s="21" t="s">
        <v>189</v>
      </c>
      <c r="S885" s="1" t="n">
        <v>15140</v>
      </c>
    </row>
    <row r="886" customFormat="false" ht="14.25" hidden="false" customHeight="false" outlineLevel="0" collapsed="false">
      <c r="A886" s="1" t="n">
        <v>10</v>
      </c>
      <c r="B886" s="1" t="s">
        <v>1486</v>
      </c>
      <c r="C886" s="1" t="s">
        <v>20</v>
      </c>
      <c r="D886" s="1" t="s">
        <v>1284</v>
      </c>
      <c r="E886" s="2" t="n">
        <v>449641163</v>
      </c>
      <c r="H886" s="3" t="n">
        <v>2520</v>
      </c>
      <c r="I886" s="1" t="n">
        <v>1200</v>
      </c>
      <c r="J886" s="1" t="n">
        <v>0</v>
      </c>
      <c r="K886" s="1" t="n">
        <v>1320</v>
      </c>
      <c r="M886" s="5" t="s">
        <v>1479</v>
      </c>
      <c r="N886" s="33" t="n">
        <f aca="false">DAY(M886)</f>
        <v>25</v>
      </c>
      <c r="O886" s="33" t="str">
        <f aca="false">TEXT(M886,"DDDD")</f>
        <v>jueves</v>
      </c>
      <c r="P886" s="6" t="n">
        <f aca="false">MONTH(M886)</f>
        <v>12</v>
      </c>
      <c r="Q886" s="26" t="str">
        <f aca="false">TEXT(M886,"MMMM")</f>
        <v>diciembre</v>
      </c>
    </row>
    <row r="887" customFormat="false" ht="14.25" hidden="false" customHeight="false" outlineLevel="0" collapsed="false">
      <c r="A887" s="1" t="n">
        <v>10</v>
      </c>
      <c r="B887" s="1" t="s">
        <v>1487</v>
      </c>
      <c r="C887" s="1" t="s">
        <v>20</v>
      </c>
      <c r="D887" s="1" t="s">
        <v>93</v>
      </c>
      <c r="E887" s="2" t="n">
        <v>449638752</v>
      </c>
      <c r="H887" s="3" t="n">
        <v>3660</v>
      </c>
      <c r="I887" s="1" t="n">
        <v>1200</v>
      </c>
      <c r="J887" s="1" t="n">
        <v>0</v>
      </c>
      <c r="K887" s="1" t="n">
        <v>2460</v>
      </c>
      <c r="M887" s="5" t="s">
        <v>1479</v>
      </c>
      <c r="N887" s="33" t="n">
        <f aca="false">DAY(M887)</f>
        <v>25</v>
      </c>
      <c r="O887" s="33" t="str">
        <f aca="false">TEXT(M887,"DDDD")</f>
        <v>jueves</v>
      </c>
      <c r="P887" s="6" t="n">
        <f aca="false">MONTH(M887)</f>
        <v>12</v>
      </c>
      <c r="Q887" s="26" t="str">
        <f aca="false">TEXT(M887,"MMMM")</f>
        <v>diciembre</v>
      </c>
    </row>
    <row r="888" customFormat="false" ht="14.25" hidden="false" customHeight="false" outlineLevel="0" collapsed="false">
      <c r="A888" s="1" t="n">
        <v>9</v>
      </c>
      <c r="B888" s="1" t="s">
        <v>1488</v>
      </c>
      <c r="C888" s="1" t="s">
        <v>20</v>
      </c>
      <c r="D888" s="1" t="s">
        <v>103</v>
      </c>
      <c r="E888" s="2" t="n">
        <v>449632005</v>
      </c>
      <c r="F888" s="21" t="s">
        <v>1489</v>
      </c>
      <c r="G888" s="1" t="n">
        <v>449632438</v>
      </c>
      <c r="H888" s="3" t="n">
        <v>3300</v>
      </c>
      <c r="I888" s="1" t="n">
        <v>1800</v>
      </c>
      <c r="J888" s="1" t="n">
        <v>0</v>
      </c>
      <c r="K888" s="1" t="n">
        <v>1500</v>
      </c>
      <c r="M888" s="5" t="s">
        <v>1479</v>
      </c>
      <c r="N888" s="33" t="n">
        <f aca="false">DAY(M888)</f>
        <v>25</v>
      </c>
      <c r="O888" s="33" t="str">
        <f aca="false">TEXT(M888,"DDDD")</f>
        <v>jueves</v>
      </c>
      <c r="P888" s="6" t="n">
        <f aca="false">MONTH(M888)</f>
        <v>12</v>
      </c>
      <c r="Q888" s="26" t="str">
        <f aca="false">TEXT(M888,"MMMM")</f>
        <v>diciembre</v>
      </c>
    </row>
    <row r="889" customFormat="false" ht="14.25" hidden="false" customHeight="false" outlineLevel="0" collapsed="false">
      <c r="A889" s="1" t="n">
        <v>9</v>
      </c>
      <c r="B889" s="1" t="s">
        <v>1490</v>
      </c>
      <c r="C889" s="1" t="s">
        <v>20</v>
      </c>
      <c r="D889" s="1" t="s">
        <v>818</v>
      </c>
      <c r="E889" s="2" t="n">
        <v>449629354</v>
      </c>
      <c r="H889" s="3" t="n">
        <v>1700</v>
      </c>
      <c r="I889" s="1" t="n">
        <v>1700</v>
      </c>
      <c r="J889" s="1" t="n">
        <v>0</v>
      </c>
      <c r="K889" s="1" t="n">
        <v>0</v>
      </c>
      <c r="M889" s="5" t="s">
        <v>1479</v>
      </c>
      <c r="N889" s="33" t="n">
        <f aca="false">DAY(M889)</f>
        <v>25</v>
      </c>
      <c r="O889" s="33" t="str">
        <f aca="false">TEXT(M889,"DDDD")</f>
        <v>jueves</v>
      </c>
      <c r="P889" s="6" t="n">
        <f aca="false">MONTH(M889)</f>
        <v>12</v>
      </c>
      <c r="Q889" s="26" t="str">
        <f aca="false">TEXT(M889,"MMMM")</f>
        <v>diciembre</v>
      </c>
      <c r="R889" s="21" t="s">
        <v>818</v>
      </c>
      <c r="S889" s="1" t="n">
        <v>44068</v>
      </c>
    </row>
    <row r="890" customFormat="false" ht="14.25" hidden="false" customHeight="false" outlineLevel="0" collapsed="false">
      <c r="A890" s="1" t="n">
        <v>9</v>
      </c>
      <c r="B890" s="1" t="s">
        <v>1491</v>
      </c>
      <c r="C890" s="1" t="s">
        <v>20</v>
      </c>
      <c r="D890" s="1" t="s">
        <v>1492</v>
      </c>
      <c r="E890" s="2" t="n">
        <v>449624648</v>
      </c>
      <c r="F890" s="21" t="s">
        <v>464</v>
      </c>
      <c r="G890" s="1" t="n">
        <v>449625478</v>
      </c>
      <c r="H890" s="3" t="n">
        <v>3130</v>
      </c>
      <c r="I890" s="1" t="n">
        <v>2250</v>
      </c>
      <c r="J890" s="1" t="n">
        <v>0</v>
      </c>
      <c r="K890" s="1" t="n">
        <v>880</v>
      </c>
      <c r="M890" s="5" t="s">
        <v>1479</v>
      </c>
      <c r="N890" s="33" t="n">
        <f aca="false">DAY(M890)</f>
        <v>25</v>
      </c>
      <c r="O890" s="33" t="str">
        <f aca="false">TEXT(M890,"DDDD")</f>
        <v>jueves</v>
      </c>
      <c r="P890" s="6" t="n">
        <f aca="false">MONTH(M890)</f>
        <v>12</v>
      </c>
      <c r="Q890" s="26" t="str">
        <f aca="false">TEXT(M890,"MMMM")</f>
        <v>diciembre</v>
      </c>
    </row>
    <row r="891" customFormat="false" ht="14.25" hidden="false" customHeight="false" outlineLevel="0" collapsed="false">
      <c r="A891" s="1" t="n">
        <v>8</v>
      </c>
      <c r="B891" s="1" t="s">
        <v>1493</v>
      </c>
      <c r="C891" s="1" t="s">
        <v>20</v>
      </c>
      <c r="D891" s="1" t="s">
        <v>478</v>
      </c>
      <c r="E891" s="2" t="n">
        <v>449619418</v>
      </c>
      <c r="F891" s="21" t="s">
        <v>478</v>
      </c>
      <c r="G891" s="1" t="n">
        <v>449619480</v>
      </c>
      <c r="H891" s="3" t="n">
        <v>2780</v>
      </c>
      <c r="I891" s="1" t="n">
        <v>1800</v>
      </c>
      <c r="J891" s="1" t="n">
        <v>0</v>
      </c>
      <c r="K891" s="1" t="n">
        <v>980</v>
      </c>
      <c r="M891" s="5" t="s">
        <v>1479</v>
      </c>
      <c r="N891" s="33" t="n">
        <f aca="false">DAY(M891)</f>
        <v>25</v>
      </c>
      <c r="O891" s="33" t="str">
        <f aca="false">TEXT(M891,"DDDD")</f>
        <v>jueves</v>
      </c>
      <c r="P891" s="6" t="n">
        <f aca="false">MONTH(M891)</f>
        <v>12</v>
      </c>
      <c r="Q891" s="26" t="str">
        <f aca="false">TEXT(M891,"MMMM")</f>
        <v>diciembre</v>
      </c>
    </row>
    <row r="892" customFormat="false" ht="14.25" hidden="false" customHeight="false" outlineLevel="0" collapsed="false">
      <c r="A892" s="1" t="n">
        <v>8</v>
      </c>
      <c r="B892" s="1" t="s">
        <v>1494</v>
      </c>
      <c r="C892" s="1" t="s">
        <v>20</v>
      </c>
      <c r="D892" s="1" t="s">
        <v>1495</v>
      </c>
      <c r="E892" s="2" t="n">
        <v>449620372</v>
      </c>
      <c r="H892" s="3" t="n">
        <v>2000</v>
      </c>
      <c r="I892" s="1" t="n">
        <v>1400</v>
      </c>
      <c r="J892" s="1" t="n">
        <v>0</v>
      </c>
      <c r="K892" s="1" t="n">
        <v>600</v>
      </c>
      <c r="M892" s="5" t="s">
        <v>1479</v>
      </c>
      <c r="N892" s="33" t="n">
        <f aca="false">DAY(M892)</f>
        <v>25</v>
      </c>
      <c r="O892" s="33" t="str">
        <f aca="false">TEXT(M892,"DDDD")</f>
        <v>jueves</v>
      </c>
      <c r="P892" s="6" t="n">
        <f aca="false">MONTH(M892)</f>
        <v>12</v>
      </c>
      <c r="Q892" s="26" t="str">
        <f aca="false">TEXT(M892,"MMMM")</f>
        <v>diciembre</v>
      </c>
    </row>
    <row r="893" customFormat="false" ht="14.25" hidden="false" customHeight="false" outlineLevel="0" collapsed="false">
      <c r="A893" s="1" t="n">
        <v>8</v>
      </c>
      <c r="B893" s="1" t="s">
        <v>1496</v>
      </c>
      <c r="C893" s="1" t="s">
        <v>38</v>
      </c>
      <c r="D893" s="1" t="s">
        <v>1497</v>
      </c>
      <c r="E893" s="2" t="n">
        <v>449620776</v>
      </c>
      <c r="H893" s="3" t="n">
        <v>4780</v>
      </c>
      <c r="I893" s="1" t="n">
        <v>1200</v>
      </c>
      <c r="J893" s="1" t="n">
        <v>0</v>
      </c>
      <c r="K893" s="1" t="n">
        <v>3580</v>
      </c>
      <c r="M893" s="5" t="s">
        <v>1479</v>
      </c>
      <c r="N893" s="33" t="n">
        <f aca="false">DAY(M893)</f>
        <v>25</v>
      </c>
      <c r="O893" s="33" t="str">
        <f aca="false">TEXT(M893,"DDDD")</f>
        <v>jueves</v>
      </c>
      <c r="P893" s="6" t="n">
        <f aca="false">MONTH(M893)</f>
        <v>12</v>
      </c>
      <c r="Q893" s="26" t="str">
        <f aca="false">TEXT(M893,"MMMM")</f>
        <v>diciembre</v>
      </c>
    </row>
    <row r="894" customFormat="false" ht="14.25" hidden="false" customHeight="false" outlineLevel="0" collapsed="false">
      <c r="A894" s="1" t="n">
        <v>8</v>
      </c>
      <c r="B894" s="1" t="s">
        <v>1498</v>
      </c>
      <c r="C894" s="1" t="s">
        <v>20</v>
      </c>
      <c r="D894" s="1" t="s">
        <v>531</v>
      </c>
      <c r="E894" s="2" t="n">
        <v>449624155</v>
      </c>
      <c r="H894" s="3" t="n">
        <v>2460</v>
      </c>
      <c r="I894" s="1" t="n">
        <v>1200</v>
      </c>
      <c r="J894" s="1" t="n">
        <v>0</v>
      </c>
      <c r="K894" s="1" t="n">
        <v>1260</v>
      </c>
      <c r="M894" s="5" t="s">
        <v>1479</v>
      </c>
      <c r="N894" s="33" t="n">
        <f aca="false">DAY(M894)</f>
        <v>25</v>
      </c>
      <c r="O894" s="33" t="str">
        <f aca="false">TEXT(M894,"DDDD")</f>
        <v>jueves</v>
      </c>
      <c r="P894" s="6" t="n">
        <f aca="false">MONTH(M894)</f>
        <v>12</v>
      </c>
      <c r="Q894" s="26" t="str">
        <f aca="false">TEXT(M894,"MMMM")</f>
        <v>diciembre</v>
      </c>
    </row>
    <row r="895" customFormat="false" ht="14.25" hidden="false" customHeight="false" outlineLevel="0" collapsed="false">
      <c r="A895" s="1" t="n">
        <v>12</v>
      </c>
      <c r="B895" s="1" t="s">
        <v>1499</v>
      </c>
      <c r="C895" s="1" t="s">
        <v>140</v>
      </c>
      <c r="D895" s="1" t="s">
        <v>1500</v>
      </c>
      <c r="E895" s="2" t="n">
        <v>449892491</v>
      </c>
      <c r="H895" s="3" t="n">
        <v>3330</v>
      </c>
      <c r="I895" s="1" t="n">
        <v>2950</v>
      </c>
      <c r="J895" s="1" t="n">
        <v>100</v>
      </c>
      <c r="K895" s="1" t="n">
        <v>280</v>
      </c>
      <c r="M895" s="5" t="s">
        <v>1501</v>
      </c>
      <c r="N895" s="33" t="n">
        <f aca="false">DAY(M895)</f>
        <v>27</v>
      </c>
      <c r="O895" s="33" t="str">
        <f aca="false">TEXT(M895,"DDDD")</f>
        <v>sábado</v>
      </c>
      <c r="P895" s="6" t="n">
        <f aca="false">MONTH(M895)</f>
        <v>12</v>
      </c>
      <c r="Q895" s="26" t="str">
        <f aca="false">TEXT(M895,"MMMM")</f>
        <v>diciembre</v>
      </c>
    </row>
    <row r="896" customFormat="false" ht="14.25" hidden="false" customHeight="false" outlineLevel="0" collapsed="false">
      <c r="A896" s="1" t="n">
        <v>12</v>
      </c>
      <c r="B896" s="1" t="s">
        <v>1502</v>
      </c>
      <c r="C896" s="1" t="s">
        <v>20</v>
      </c>
      <c r="D896" s="1" t="s">
        <v>103</v>
      </c>
      <c r="E896" s="2" t="n">
        <v>449886526</v>
      </c>
      <c r="F896" s="21" t="s">
        <v>76</v>
      </c>
      <c r="G896" s="1" t="n">
        <v>449885274</v>
      </c>
      <c r="H896" s="3" t="n">
        <v>3660</v>
      </c>
      <c r="I896" s="1" t="n">
        <v>1900</v>
      </c>
      <c r="J896" s="1" t="n">
        <v>200</v>
      </c>
      <c r="K896" s="1" t="n">
        <v>1560</v>
      </c>
      <c r="M896" s="5" t="s">
        <v>1501</v>
      </c>
      <c r="N896" s="33" t="n">
        <f aca="false">DAY(M896)</f>
        <v>27</v>
      </c>
      <c r="O896" s="33" t="str">
        <f aca="false">TEXT(M896,"DDDD")</f>
        <v>sábado</v>
      </c>
      <c r="P896" s="6" t="n">
        <f aca="false">MONTH(M896)</f>
        <v>12</v>
      </c>
      <c r="Q896" s="26" t="str">
        <f aca="false">TEXT(M896,"MMMM")</f>
        <v>diciembre</v>
      </c>
    </row>
    <row r="897" customFormat="false" ht="14.25" hidden="false" customHeight="false" outlineLevel="0" collapsed="false">
      <c r="A897" s="1" t="n">
        <v>12</v>
      </c>
      <c r="B897" s="1" t="s">
        <v>1503</v>
      </c>
      <c r="C897" s="1" t="s">
        <v>20</v>
      </c>
      <c r="D897" s="1" t="s">
        <v>1504</v>
      </c>
      <c r="E897" s="2" t="n">
        <v>449878185</v>
      </c>
      <c r="H897" s="3" t="n">
        <v>4760</v>
      </c>
      <c r="I897" s="1" t="n">
        <v>1200</v>
      </c>
      <c r="J897" s="1" t="n">
        <v>100</v>
      </c>
      <c r="K897" s="1" t="n">
        <v>3460</v>
      </c>
      <c r="M897" s="5" t="s">
        <v>1501</v>
      </c>
      <c r="N897" s="33" t="n">
        <f aca="false">DAY(M897)</f>
        <v>27</v>
      </c>
      <c r="O897" s="33" t="str">
        <f aca="false">TEXT(M897,"DDDD")</f>
        <v>sábado</v>
      </c>
      <c r="P897" s="6" t="n">
        <f aca="false">MONTH(M897)</f>
        <v>12</v>
      </c>
      <c r="Q897" s="26" t="str">
        <f aca="false">TEXT(M897,"MMMM")</f>
        <v>diciembre</v>
      </c>
    </row>
    <row r="898" customFormat="false" ht="14.25" hidden="false" customHeight="false" outlineLevel="0" collapsed="false">
      <c r="A898" s="1" t="n">
        <v>12</v>
      </c>
      <c r="B898" s="1" t="s">
        <v>1505</v>
      </c>
      <c r="C898" s="1" t="s">
        <v>20</v>
      </c>
      <c r="D898" s="1" t="s">
        <v>1506</v>
      </c>
      <c r="E898" s="2" t="n">
        <v>449874484</v>
      </c>
      <c r="F898" s="21" t="s">
        <v>468</v>
      </c>
      <c r="G898" s="1" t="n">
        <v>449873251</v>
      </c>
      <c r="H898" s="3" t="n">
        <v>3300</v>
      </c>
      <c r="I898" s="1" t="n">
        <v>1800</v>
      </c>
      <c r="J898" s="1" t="n">
        <v>200</v>
      </c>
      <c r="K898" s="1" t="n">
        <v>1300</v>
      </c>
      <c r="M898" s="5" t="s">
        <v>1501</v>
      </c>
      <c r="N898" s="33" t="n">
        <f aca="false">DAY(M898)</f>
        <v>27</v>
      </c>
      <c r="O898" s="33" t="str">
        <f aca="false">TEXT(M898,"DDDD")</f>
        <v>sábado</v>
      </c>
      <c r="P898" s="6" t="n">
        <f aca="false">MONTH(M898)</f>
        <v>12</v>
      </c>
      <c r="Q898" s="26" t="str">
        <f aca="false">TEXT(M898,"MMMM")</f>
        <v>diciembre</v>
      </c>
      <c r="R898" s="21" t="s">
        <v>1506</v>
      </c>
      <c r="S898" s="1" t="n">
        <v>16390</v>
      </c>
    </row>
    <row r="899" customFormat="false" ht="14.25" hidden="false" customHeight="false" outlineLevel="0" collapsed="false">
      <c r="A899" s="1" t="n">
        <v>11</v>
      </c>
      <c r="B899" s="1" t="s">
        <v>1507</v>
      </c>
      <c r="C899" s="1" t="s">
        <v>20</v>
      </c>
      <c r="D899" s="1" t="s">
        <v>1508</v>
      </c>
      <c r="E899" s="2" t="n">
        <v>449864383</v>
      </c>
      <c r="F899" s="21" t="s">
        <v>1509</v>
      </c>
      <c r="G899" s="1" t="n">
        <v>449862608</v>
      </c>
      <c r="H899" s="3" t="n">
        <v>2500</v>
      </c>
      <c r="I899" s="1" t="n">
        <v>1950</v>
      </c>
      <c r="J899" s="1" t="n">
        <v>200</v>
      </c>
      <c r="K899" s="1" t="n">
        <v>350</v>
      </c>
      <c r="M899" s="5" t="s">
        <v>1501</v>
      </c>
      <c r="N899" s="33" t="n">
        <f aca="false">DAY(M899)</f>
        <v>27</v>
      </c>
      <c r="O899" s="33" t="str">
        <f aca="false">TEXT(M899,"DDDD")</f>
        <v>sábado</v>
      </c>
      <c r="P899" s="6" t="n">
        <f aca="false">MONTH(M899)</f>
        <v>12</v>
      </c>
      <c r="Q899" s="26" t="str">
        <f aca="false">TEXT(M899,"MMMM")</f>
        <v>diciembre</v>
      </c>
    </row>
    <row r="900" customFormat="false" ht="14.25" hidden="false" customHeight="false" outlineLevel="0" collapsed="false">
      <c r="A900" s="1" t="n">
        <v>11</v>
      </c>
      <c r="B900" s="1" t="s">
        <v>1510</v>
      </c>
      <c r="C900" s="1" t="s">
        <v>38</v>
      </c>
      <c r="D900" s="1" t="s">
        <v>1511</v>
      </c>
      <c r="E900" s="2" t="n">
        <v>449857924</v>
      </c>
      <c r="F900" s="21" t="s">
        <v>1511</v>
      </c>
      <c r="G900" s="1" t="n">
        <v>449858384</v>
      </c>
      <c r="H900" s="3" t="n">
        <v>2550</v>
      </c>
      <c r="I900" s="1" t="n">
        <v>2350</v>
      </c>
      <c r="J900" s="1" t="n">
        <v>200</v>
      </c>
      <c r="K900" s="1" t="n">
        <v>0</v>
      </c>
      <c r="M900" s="5" t="s">
        <v>1501</v>
      </c>
      <c r="N900" s="33" t="n">
        <f aca="false">DAY(M900)</f>
        <v>27</v>
      </c>
      <c r="O900" s="33" t="str">
        <f aca="false">TEXT(M900,"DDDD")</f>
        <v>sábado</v>
      </c>
      <c r="P900" s="6" t="n">
        <f aca="false">MONTH(M900)</f>
        <v>12</v>
      </c>
      <c r="Q900" s="26" t="str">
        <f aca="false">TEXT(M900,"MMMM")</f>
        <v>diciembre</v>
      </c>
    </row>
    <row r="901" customFormat="false" ht="14.25" hidden="false" customHeight="false" outlineLevel="0" collapsed="false">
      <c r="A901" s="1" t="n">
        <v>10</v>
      </c>
      <c r="B901" s="1" t="s">
        <v>1512</v>
      </c>
      <c r="C901" s="1" t="s">
        <v>38</v>
      </c>
      <c r="D901" s="1" t="s">
        <v>1513</v>
      </c>
      <c r="E901" s="2" t="n">
        <v>449847492</v>
      </c>
      <c r="F901" s="21" t="s">
        <v>1514</v>
      </c>
      <c r="G901" s="1" t="n">
        <v>449848399</v>
      </c>
      <c r="H901" s="3" t="n">
        <v>5470</v>
      </c>
      <c r="I901" s="1" t="n">
        <v>3550</v>
      </c>
      <c r="J901" s="1" t="n">
        <v>0</v>
      </c>
      <c r="K901" s="1" t="n">
        <v>1920</v>
      </c>
      <c r="M901" s="5" t="s">
        <v>1501</v>
      </c>
      <c r="N901" s="33" t="n">
        <f aca="false">DAY(M901)</f>
        <v>27</v>
      </c>
      <c r="O901" s="33" t="str">
        <f aca="false">TEXT(M901,"DDDD")</f>
        <v>sábado</v>
      </c>
      <c r="P901" s="6" t="n">
        <f aca="false">MONTH(M901)</f>
        <v>12</v>
      </c>
      <c r="Q901" s="26" t="str">
        <f aca="false">TEXT(M901,"MMMM")</f>
        <v>diciembre</v>
      </c>
    </row>
    <row r="902" customFormat="false" ht="14.25" hidden="false" customHeight="false" outlineLevel="0" collapsed="false">
      <c r="A902" s="1" t="n">
        <v>10</v>
      </c>
      <c r="B902" s="1" t="s">
        <v>1515</v>
      </c>
      <c r="C902" s="1" t="s">
        <v>140</v>
      </c>
      <c r="D902" s="1" t="s">
        <v>588</v>
      </c>
      <c r="E902" s="2" t="n">
        <v>449844311</v>
      </c>
      <c r="H902" s="3" t="n">
        <v>3780</v>
      </c>
      <c r="I902" s="1" t="n">
        <v>3500</v>
      </c>
      <c r="J902" s="1" t="n">
        <v>0</v>
      </c>
      <c r="K902" s="1" t="n">
        <v>280</v>
      </c>
      <c r="M902" s="5" t="s">
        <v>1501</v>
      </c>
      <c r="N902" s="33" t="n">
        <f aca="false">DAY(M902)</f>
        <v>27</v>
      </c>
      <c r="O902" s="33" t="str">
        <f aca="false">TEXT(M902,"DDDD")</f>
        <v>sábado</v>
      </c>
      <c r="P902" s="6" t="n">
        <f aca="false">MONTH(M902)</f>
        <v>12</v>
      </c>
      <c r="Q902" s="26" t="str">
        <f aca="false">TEXT(M902,"MMMM")</f>
        <v>diciembre</v>
      </c>
    </row>
    <row r="903" customFormat="false" ht="14.25" hidden="false" customHeight="false" outlineLevel="0" collapsed="false">
      <c r="A903" s="1" t="n">
        <v>10</v>
      </c>
      <c r="B903" s="1" t="s">
        <v>1516</v>
      </c>
      <c r="C903" s="1" t="s">
        <v>20</v>
      </c>
      <c r="D903" s="1" t="s">
        <v>478</v>
      </c>
      <c r="E903" s="2" t="n">
        <v>449842785</v>
      </c>
      <c r="H903" s="3" t="n">
        <v>1740</v>
      </c>
      <c r="I903" s="1" t="n">
        <v>1200</v>
      </c>
      <c r="J903" s="1" t="n">
        <v>0</v>
      </c>
      <c r="K903" s="1" t="n">
        <v>540</v>
      </c>
      <c r="M903" s="5" t="s">
        <v>1501</v>
      </c>
      <c r="N903" s="33" t="n">
        <f aca="false">DAY(M903)</f>
        <v>27</v>
      </c>
      <c r="O903" s="33" t="str">
        <f aca="false">TEXT(M903,"DDDD")</f>
        <v>sábado</v>
      </c>
      <c r="P903" s="6" t="n">
        <f aca="false">MONTH(M903)</f>
        <v>12</v>
      </c>
      <c r="Q903" s="26" t="str">
        <f aca="false">TEXT(M903,"MMMM")</f>
        <v>diciembre</v>
      </c>
      <c r="R903" s="21" t="s">
        <v>478</v>
      </c>
      <c r="S903" s="1" t="n">
        <v>15220</v>
      </c>
    </row>
    <row r="904" customFormat="false" ht="14.25" hidden="false" customHeight="false" outlineLevel="0" collapsed="false">
      <c r="A904" s="1" t="n">
        <v>9</v>
      </c>
      <c r="B904" s="1" t="s">
        <v>1517</v>
      </c>
      <c r="C904" s="1" t="s">
        <v>20</v>
      </c>
      <c r="D904" s="1" t="s">
        <v>1492</v>
      </c>
      <c r="E904" s="2" t="n">
        <v>449835487</v>
      </c>
      <c r="H904" s="3" t="n">
        <v>2200</v>
      </c>
      <c r="I904" s="1" t="n">
        <v>2200</v>
      </c>
      <c r="J904" s="1" t="n">
        <v>0</v>
      </c>
      <c r="K904" s="1" t="n">
        <v>0</v>
      </c>
      <c r="M904" s="5" t="s">
        <v>1501</v>
      </c>
      <c r="N904" s="33" t="n">
        <f aca="false">DAY(M904)</f>
        <v>27</v>
      </c>
      <c r="O904" s="33" t="str">
        <f aca="false">TEXT(M904,"DDDD")</f>
        <v>sábado</v>
      </c>
      <c r="P904" s="6" t="n">
        <f aca="false">MONTH(M904)</f>
        <v>12</v>
      </c>
      <c r="Q904" s="26" t="str">
        <f aca="false">TEXT(M904,"MMMM")</f>
        <v>diciembre</v>
      </c>
    </row>
    <row r="905" customFormat="false" ht="14.25" hidden="false" customHeight="false" outlineLevel="0" collapsed="false">
      <c r="A905" s="1" t="n">
        <v>6</v>
      </c>
      <c r="B905" s="1" t="s">
        <v>1518</v>
      </c>
      <c r="C905" s="1" t="s">
        <v>20</v>
      </c>
      <c r="D905" s="1" t="s">
        <v>1519</v>
      </c>
      <c r="E905" s="2" t="n">
        <v>449803244</v>
      </c>
      <c r="H905" s="3" t="n">
        <v>2700</v>
      </c>
      <c r="I905" s="1" t="n">
        <v>1200</v>
      </c>
      <c r="J905" s="1" t="n">
        <v>0</v>
      </c>
      <c r="K905" s="1" t="n">
        <v>1500</v>
      </c>
      <c r="M905" s="5" t="s">
        <v>1501</v>
      </c>
      <c r="N905" s="33" t="n">
        <f aca="false">DAY(M905)</f>
        <v>27</v>
      </c>
      <c r="O905" s="33" t="str">
        <f aca="false">TEXT(M905,"DDDD")</f>
        <v>sábado</v>
      </c>
      <c r="P905" s="6" t="n">
        <f aca="false">MONTH(M905)</f>
        <v>12</v>
      </c>
      <c r="Q905" s="26" t="str">
        <f aca="false">TEXT(M905,"MMMM")</f>
        <v>diciembre</v>
      </c>
    </row>
    <row r="906" customFormat="false" ht="14.25" hidden="false" customHeight="false" outlineLevel="0" collapsed="false">
      <c r="A906" s="1" t="n">
        <v>6</v>
      </c>
      <c r="B906" s="1" t="s">
        <v>1520</v>
      </c>
      <c r="C906" s="1" t="s">
        <v>20</v>
      </c>
      <c r="D906" s="1" t="s">
        <v>1521</v>
      </c>
      <c r="E906" s="2" t="n">
        <v>449802008</v>
      </c>
      <c r="H906" s="3" t="n">
        <v>2640</v>
      </c>
      <c r="I906" s="1" t="n">
        <v>1300</v>
      </c>
      <c r="J906" s="1" t="n">
        <v>0</v>
      </c>
      <c r="K906" s="1" t="n">
        <v>1340</v>
      </c>
      <c r="M906" s="5" t="s">
        <v>1501</v>
      </c>
      <c r="N906" s="33" t="n">
        <f aca="false">DAY(M906)</f>
        <v>27</v>
      </c>
      <c r="O906" s="33" t="str">
        <f aca="false">TEXT(M906,"DDDD")</f>
        <v>sábado</v>
      </c>
      <c r="P906" s="6" t="n">
        <f aca="false">MONTH(M906)</f>
        <v>12</v>
      </c>
      <c r="Q906" s="26" t="str">
        <f aca="false">TEXT(M906,"MMMM")</f>
        <v>diciembre</v>
      </c>
    </row>
    <row r="907" customFormat="false" ht="14.25" hidden="false" customHeight="false" outlineLevel="0" collapsed="false">
      <c r="A907" s="1" t="n">
        <v>6</v>
      </c>
      <c r="B907" s="1" t="s">
        <v>1522</v>
      </c>
      <c r="C907" s="1" t="s">
        <v>38</v>
      </c>
      <c r="D907" s="1" t="s">
        <v>684</v>
      </c>
      <c r="E907" s="2" t="n">
        <v>449800185</v>
      </c>
      <c r="F907" s="21" t="s">
        <v>684</v>
      </c>
      <c r="G907" s="1" t="n">
        <v>449800463</v>
      </c>
      <c r="H907" s="3" t="n">
        <v>2937</v>
      </c>
      <c r="I907" s="1" t="n">
        <v>1900</v>
      </c>
      <c r="J907" s="1" t="n">
        <v>0</v>
      </c>
      <c r="K907" s="1" t="n">
        <v>1037</v>
      </c>
      <c r="M907" s="5" t="s">
        <v>1501</v>
      </c>
      <c r="N907" s="33" t="n">
        <f aca="false">DAY(M907)</f>
        <v>27</v>
      </c>
      <c r="O907" s="33" t="str">
        <f aca="false">TEXT(M907,"DDDD")</f>
        <v>sábado</v>
      </c>
      <c r="P907" s="6" t="n">
        <f aca="false">MONTH(M907)</f>
        <v>12</v>
      </c>
      <c r="Q907" s="26" t="str">
        <f aca="false">TEXT(M907,"MMMM")</f>
        <v>diciembre</v>
      </c>
    </row>
    <row r="908" customFormat="false" ht="14.25" hidden="false" customHeight="false" outlineLevel="0" collapsed="false">
      <c r="A908" s="1" t="n">
        <v>5</v>
      </c>
      <c r="B908" s="1" t="s">
        <v>1523</v>
      </c>
      <c r="C908" s="1" t="s">
        <v>20</v>
      </c>
      <c r="D908" s="1" t="s">
        <v>1524</v>
      </c>
      <c r="E908" s="2" t="n">
        <v>449799710</v>
      </c>
      <c r="H908" s="3" t="n">
        <v>2750</v>
      </c>
      <c r="I908" s="1" t="n">
        <v>1950</v>
      </c>
      <c r="J908" s="1" t="n">
        <v>0</v>
      </c>
      <c r="K908" s="1" t="n">
        <v>800</v>
      </c>
      <c r="M908" s="5" t="s">
        <v>1501</v>
      </c>
      <c r="N908" s="33" t="n">
        <f aca="false">DAY(M908)</f>
        <v>27</v>
      </c>
      <c r="O908" s="33" t="str">
        <f aca="false">TEXT(M908,"DDDD")</f>
        <v>sábado</v>
      </c>
      <c r="P908" s="6" t="n">
        <f aca="false">MONTH(M908)</f>
        <v>12</v>
      </c>
      <c r="Q908" s="26" t="str">
        <f aca="false">TEXT(M908,"MMMM")</f>
        <v>diciembre</v>
      </c>
    </row>
    <row r="909" customFormat="false" ht="14.25" hidden="false" customHeight="false" outlineLevel="0" collapsed="false">
      <c r="A909" s="1" t="n">
        <v>5</v>
      </c>
      <c r="B909" s="1" t="s">
        <v>1525</v>
      </c>
      <c r="C909" s="1" t="s">
        <v>20</v>
      </c>
      <c r="D909" s="1" t="s">
        <v>1526</v>
      </c>
      <c r="E909" s="2" t="n">
        <v>449798751</v>
      </c>
      <c r="F909" s="21" t="s">
        <v>1526</v>
      </c>
      <c r="G909" s="1" t="n">
        <v>449798688</v>
      </c>
      <c r="H909" s="3" t="n">
        <v>3200</v>
      </c>
      <c r="I909" s="1" t="n">
        <v>1800</v>
      </c>
      <c r="J909" s="1" t="n">
        <v>0</v>
      </c>
      <c r="K909" s="1" t="n">
        <v>1400</v>
      </c>
      <c r="M909" s="5" t="s">
        <v>1501</v>
      </c>
      <c r="N909" s="33" t="n">
        <f aca="false">DAY(M909)</f>
        <v>27</v>
      </c>
      <c r="O909" s="33" t="str">
        <f aca="false">TEXT(M909,"DDDD")</f>
        <v>sábado</v>
      </c>
      <c r="P909" s="6" t="n">
        <f aca="false">MONTH(M909)</f>
        <v>12</v>
      </c>
      <c r="Q909" s="26" t="str">
        <f aca="false">TEXT(M909,"MMMM")</f>
        <v>diciembre</v>
      </c>
    </row>
    <row r="910" customFormat="false" ht="14.25" hidden="false" customHeight="false" outlineLevel="0" collapsed="false">
      <c r="A910" s="1" t="n">
        <v>11</v>
      </c>
      <c r="B910" s="1" t="s">
        <v>1527</v>
      </c>
      <c r="C910" s="1" t="s">
        <v>20</v>
      </c>
      <c r="D910" s="1" t="s">
        <v>85</v>
      </c>
      <c r="E910" s="2" t="n">
        <v>449993328</v>
      </c>
      <c r="H910" s="3" t="n">
        <v>3190</v>
      </c>
      <c r="I910" s="1" t="n">
        <v>1450</v>
      </c>
      <c r="J910" s="1" t="n">
        <v>0</v>
      </c>
      <c r="K910" s="1" t="n">
        <v>1740</v>
      </c>
      <c r="M910" s="5" t="n">
        <v>46019</v>
      </c>
      <c r="N910" s="33" t="n">
        <f aca="false">DAY(M910)</f>
        <v>28</v>
      </c>
      <c r="O910" s="33" t="str">
        <f aca="false">TEXT(M910,"DDDD")</f>
        <v>domingo</v>
      </c>
      <c r="P910" s="6" t="n">
        <f aca="false">MONTH(M910)</f>
        <v>12</v>
      </c>
      <c r="Q910" s="26" t="str">
        <f aca="false">TEXT(M910,"MMMM")</f>
        <v>diciembre</v>
      </c>
    </row>
    <row r="911" customFormat="false" ht="14.25" hidden="false" customHeight="false" outlineLevel="0" collapsed="false">
      <c r="A911" s="1" t="n">
        <v>11</v>
      </c>
      <c r="B911" s="1" t="s">
        <v>1528</v>
      </c>
      <c r="C911" s="1" t="s">
        <v>20</v>
      </c>
      <c r="D911" s="1" t="s">
        <v>101</v>
      </c>
      <c r="E911" s="2" t="n">
        <v>449985875</v>
      </c>
      <c r="F911" s="21" t="s">
        <v>1529</v>
      </c>
      <c r="G911" s="1" t="n">
        <v>449986946</v>
      </c>
      <c r="H911" s="3" t="n">
        <v>4020</v>
      </c>
      <c r="I911" s="1" t="n">
        <v>2300</v>
      </c>
      <c r="J911" s="1" t="n">
        <v>0</v>
      </c>
      <c r="K911" s="1" t="n">
        <v>1720</v>
      </c>
      <c r="M911" s="5" t="n">
        <v>46019</v>
      </c>
      <c r="N911" s="33" t="n">
        <f aca="false">DAY(M911)</f>
        <v>28</v>
      </c>
      <c r="O911" s="33" t="str">
        <f aca="false">TEXT(M911,"DDDD")</f>
        <v>domingo</v>
      </c>
      <c r="P911" s="6" t="n">
        <f aca="false">MONTH(M911)</f>
        <v>12</v>
      </c>
      <c r="Q911" s="26" t="str">
        <f aca="false">TEXT(M911,"MMMM")</f>
        <v>diciembre</v>
      </c>
    </row>
    <row r="912" customFormat="false" ht="14.25" hidden="false" customHeight="false" outlineLevel="0" collapsed="false">
      <c r="A912" s="1" t="n">
        <v>11</v>
      </c>
      <c r="B912" s="1" t="s">
        <v>1530</v>
      </c>
      <c r="C912" s="1" t="s">
        <v>20</v>
      </c>
      <c r="D912" s="1" t="s">
        <v>1531</v>
      </c>
      <c r="E912" s="2" t="n">
        <v>449977577</v>
      </c>
      <c r="F912" s="21" t="s">
        <v>228</v>
      </c>
      <c r="G912" s="1" t="n">
        <v>449976440</v>
      </c>
      <c r="H912" s="3" t="n">
        <v>6640</v>
      </c>
      <c r="I912" s="1" t="n">
        <v>2350</v>
      </c>
      <c r="J912" s="1" t="n">
        <v>0</v>
      </c>
      <c r="K912" s="1" t="n">
        <v>4290</v>
      </c>
      <c r="M912" s="5" t="n">
        <v>46019</v>
      </c>
      <c r="N912" s="33" t="n">
        <f aca="false">DAY(M912)</f>
        <v>28</v>
      </c>
      <c r="O912" s="33" t="str">
        <f aca="false">TEXT(M912,"DDDD")</f>
        <v>domingo</v>
      </c>
      <c r="P912" s="6" t="n">
        <f aca="false">MONTH(M912)</f>
        <v>12</v>
      </c>
      <c r="Q912" s="26" t="str">
        <f aca="false">TEXT(M912,"MMMM")</f>
        <v>diciembre</v>
      </c>
    </row>
    <row r="913" customFormat="false" ht="14.25" hidden="false" customHeight="false" outlineLevel="0" collapsed="false">
      <c r="A913" s="1" t="n">
        <v>11</v>
      </c>
      <c r="B913" s="1" t="s">
        <v>1532</v>
      </c>
      <c r="C913" s="1" t="s">
        <v>20</v>
      </c>
      <c r="D913" s="1" t="s">
        <v>474</v>
      </c>
      <c r="E913" s="2" t="n">
        <v>449968057</v>
      </c>
      <c r="F913" s="21" t="s">
        <v>1533</v>
      </c>
      <c r="G913" s="1" t="n">
        <v>449966455</v>
      </c>
      <c r="H913" s="3" t="n">
        <v>5030</v>
      </c>
      <c r="I913" s="1" t="n">
        <v>2450</v>
      </c>
      <c r="J913" s="1" t="n">
        <v>0</v>
      </c>
      <c r="K913" s="1" t="n">
        <v>2580</v>
      </c>
      <c r="M913" s="5" t="n">
        <v>46019</v>
      </c>
      <c r="N913" s="33" t="n">
        <f aca="false">DAY(M913)</f>
        <v>28</v>
      </c>
      <c r="O913" s="33" t="str">
        <f aca="false">TEXT(M913,"DDDD")</f>
        <v>domingo</v>
      </c>
      <c r="P913" s="6" t="n">
        <f aca="false">MONTH(M913)</f>
        <v>12</v>
      </c>
      <c r="Q913" s="26" t="str">
        <f aca="false">TEXT(M913,"MMMM")</f>
        <v>diciembre</v>
      </c>
    </row>
    <row r="914" customFormat="false" ht="14.25" hidden="false" customHeight="false" outlineLevel="0" collapsed="false">
      <c r="A914" s="1" t="n">
        <v>11</v>
      </c>
      <c r="B914" s="1" t="s">
        <v>1421</v>
      </c>
      <c r="C914" s="1" t="s">
        <v>20</v>
      </c>
      <c r="D914" s="1" t="s">
        <v>1534</v>
      </c>
      <c r="E914" s="2" t="n">
        <v>449962124</v>
      </c>
      <c r="F914" s="21" t="s">
        <v>693</v>
      </c>
      <c r="G914" s="1" t="n">
        <v>449962533</v>
      </c>
      <c r="H914" s="3" t="n">
        <v>3960</v>
      </c>
      <c r="I914" s="1" t="n">
        <v>1800</v>
      </c>
      <c r="J914" s="1" t="n">
        <v>0</v>
      </c>
      <c r="K914" s="1" t="n">
        <v>2160</v>
      </c>
      <c r="M914" s="5" t="n">
        <v>46019</v>
      </c>
      <c r="N914" s="33" t="n">
        <f aca="false">DAY(M914)</f>
        <v>28</v>
      </c>
      <c r="O914" s="33" t="str">
        <f aca="false">TEXT(M914,"DDDD")</f>
        <v>domingo</v>
      </c>
      <c r="P914" s="6" t="n">
        <f aca="false">MONTH(M914)</f>
        <v>12</v>
      </c>
      <c r="Q914" s="26" t="str">
        <f aca="false">TEXT(M914,"MMMM")</f>
        <v>diciembre</v>
      </c>
    </row>
    <row r="915" customFormat="false" ht="14.25" hidden="false" customHeight="false" outlineLevel="0" collapsed="false">
      <c r="A915" s="1" t="n">
        <v>10</v>
      </c>
      <c r="B915" s="1" t="s">
        <v>1535</v>
      </c>
      <c r="C915" s="1" t="s">
        <v>38</v>
      </c>
      <c r="D915" s="1" t="s">
        <v>747</v>
      </c>
      <c r="E915" s="2" t="n">
        <v>449956884</v>
      </c>
      <c r="F915" s="21" t="s">
        <v>1536</v>
      </c>
      <c r="G915" s="1" t="n">
        <v>449956958</v>
      </c>
      <c r="H915" s="3" t="n">
        <v>9010</v>
      </c>
      <c r="I915" s="1" t="n">
        <v>3450</v>
      </c>
      <c r="J915" s="1" t="n">
        <v>0</v>
      </c>
      <c r="K915" s="1" t="n">
        <v>5560</v>
      </c>
      <c r="M915" s="5" t="n">
        <v>46019</v>
      </c>
      <c r="N915" s="33" t="n">
        <f aca="false">DAY(M915)</f>
        <v>28</v>
      </c>
      <c r="O915" s="33" t="str">
        <f aca="false">TEXT(M915,"DDDD")</f>
        <v>domingo</v>
      </c>
      <c r="P915" s="6" t="n">
        <f aca="false">MONTH(M915)</f>
        <v>12</v>
      </c>
      <c r="Q915" s="26" t="str">
        <f aca="false">TEXT(M915,"MMMM")</f>
        <v>diciembre</v>
      </c>
    </row>
    <row r="916" customFormat="false" ht="14.25" hidden="false" customHeight="false" outlineLevel="0" collapsed="false">
      <c r="A916" s="1" t="n">
        <v>7</v>
      </c>
      <c r="B916" s="1" t="s">
        <v>1537</v>
      </c>
      <c r="C916" s="1" t="s">
        <v>38</v>
      </c>
      <c r="D916" s="1" t="s">
        <v>1108</v>
      </c>
      <c r="E916" s="2" t="n">
        <v>449917451</v>
      </c>
      <c r="H916" s="3" t="n">
        <v>2200</v>
      </c>
      <c r="I916" s="1" t="n">
        <v>1200</v>
      </c>
      <c r="J916" s="1" t="n">
        <v>0</v>
      </c>
      <c r="K916" s="1" t="n">
        <v>1000</v>
      </c>
      <c r="M916" s="5" t="n">
        <v>46019</v>
      </c>
      <c r="N916" s="33" t="n">
        <f aca="false">DAY(M916)</f>
        <v>28</v>
      </c>
      <c r="O916" s="33" t="str">
        <f aca="false">TEXT(M916,"DDDD")</f>
        <v>domingo</v>
      </c>
      <c r="P916" s="6" t="n">
        <f aca="false">MONTH(M916)</f>
        <v>12</v>
      </c>
      <c r="Q916" s="26" t="str">
        <f aca="false">TEXT(M916,"MMMM")</f>
        <v>diciembre</v>
      </c>
    </row>
    <row r="917" customFormat="false" ht="14.25" hidden="false" customHeight="false" outlineLevel="0" collapsed="false">
      <c r="A917" s="1" t="n">
        <v>6</v>
      </c>
      <c r="B917" s="1" t="s">
        <v>1538</v>
      </c>
      <c r="C917" s="1" t="s">
        <v>38</v>
      </c>
      <c r="D917" s="1" t="s">
        <v>1539</v>
      </c>
      <c r="E917" s="2" t="n">
        <v>449906527</v>
      </c>
      <c r="H917" s="3" t="n">
        <v>9140</v>
      </c>
      <c r="I917" s="1" t="n">
        <v>5000</v>
      </c>
      <c r="J917" s="1" t="n">
        <v>0</v>
      </c>
      <c r="K917" s="1" t="n">
        <v>4140</v>
      </c>
      <c r="M917" s="5" t="n">
        <v>46019</v>
      </c>
      <c r="N917" s="33" t="n">
        <f aca="false">DAY(M917)</f>
        <v>28</v>
      </c>
      <c r="O917" s="33" t="str">
        <f aca="false">TEXT(M917,"DDDD")</f>
        <v>domingo</v>
      </c>
      <c r="P917" s="6" t="n">
        <f aca="false">MONTH(M917)</f>
        <v>12</v>
      </c>
      <c r="Q917" s="26" t="str">
        <f aca="false">TEXT(M917,"MMMM")</f>
        <v>diciembre</v>
      </c>
    </row>
    <row r="918" customFormat="false" ht="14.25" hidden="false" customHeight="false" outlineLevel="0" collapsed="false">
      <c r="A918" s="1" t="n">
        <v>6</v>
      </c>
      <c r="B918" s="1" t="s">
        <v>1540</v>
      </c>
      <c r="C918" s="1" t="s">
        <v>20</v>
      </c>
      <c r="D918" s="1" t="s">
        <v>1541</v>
      </c>
      <c r="E918" s="2" t="n">
        <v>449909748</v>
      </c>
      <c r="H918" s="3" t="n">
        <v>2430</v>
      </c>
      <c r="I918" s="1" t="n">
        <v>1450</v>
      </c>
      <c r="J918" s="1" t="n">
        <v>0</v>
      </c>
      <c r="K918" s="1" t="n">
        <v>980</v>
      </c>
      <c r="M918" s="5" t="n">
        <v>46019</v>
      </c>
      <c r="N918" s="33" t="n">
        <f aca="false">DAY(M918)</f>
        <v>28</v>
      </c>
      <c r="O918" s="33" t="str">
        <f aca="false">TEXT(M918,"DDDD")</f>
        <v>domingo</v>
      </c>
      <c r="P918" s="6" t="n">
        <f aca="false">MONTH(M918)</f>
        <v>12</v>
      </c>
      <c r="Q918" s="26" t="str">
        <f aca="false">TEXT(M918,"MMMM")</f>
        <v>diciembre</v>
      </c>
    </row>
    <row r="919" customFormat="false" ht="14.25" hidden="false" customHeight="false" outlineLevel="0" collapsed="false">
      <c r="A919" s="1" t="n">
        <v>5</v>
      </c>
      <c r="B919" s="1" t="s">
        <v>1542</v>
      </c>
      <c r="C919" s="1" t="s">
        <v>20</v>
      </c>
      <c r="D919" s="1" t="s">
        <v>1543</v>
      </c>
      <c r="E919" s="2" t="n">
        <v>449909088</v>
      </c>
      <c r="H919" s="3" t="n">
        <v>1200</v>
      </c>
      <c r="I919" s="1" t="n">
        <v>1200</v>
      </c>
      <c r="J919" s="1" t="n">
        <v>0</v>
      </c>
      <c r="K919" s="1" t="n">
        <v>0</v>
      </c>
      <c r="M919" s="5" t="n">
        <v>46019</v>
      </c>
      <c r="N919" s="33" t="n">
        <f aca="false">DAY(M919)</f>
        <v>28</v>
      </c>
      <c r="O919" s="33" t="str">
        <f aca="false">TEXT(M919,"DDDD")</f>
        <v>domingo</v>
      </c>
      <c r="P919" s="6" t="n">
        <f aca="false">MONTH(M919)</f>
        <v>12</v>
      </c>
      <c r="Q919" s="26" t="str">
        <f aca="false">TEXT(M919,"MMMM")</f>
        <v>diciembre</v>
      </c>
    </row>
    <row r="920" customFormat="false" ht="14.25" hidden="false" customHeight="false" outlineLevel="0" collapsed="false">
      <c r="A920" s="1" t="n">
        <v>5</v>
      </c>
      <c r="B920" s="1" t="s">
        <v>1544</v>
      </c>
      <c r="C920" s="1" t="s">
        <v>38</v>
      </c>
      <c r="D920" s="1" t="s">
        <v>1545</v>
      </c>
      <c r="E920" s="2" t="n">
        <v>449908619</v>
      </c>
      <c r="H920" s="3" t="n">
        <v>3580</v>
      </c>
      <c r="I920" s="1" t="n">
        <v>1200</v>
      </c>
      <c r="J920" s="1" t="n">
        <v>0</v>
      </c>
      <c r="K920" s="1" t="n">
        <v>2380</v>
      </c>
      <c r="M920" s="5" t="n">
        <v>46019</v>
      </c>
      <c r="N920" s="33" t="n">
        <f aca="false">DAY(M920)</f>
        <v>28</v>
      </c>
      <c r="O920" s="33" t="str">
        <f aca="false">TEXT(M920,"DDDD")</f>
        <v>domingo</v>
      </c>
      <c r="P920" s="6" t="n">
        <f aca="false">MONTH(M920)</f>
        <v>12</v>
      </c>
      <c r="Q920" s="26" t="str">
        <f aca="false">TEXT(M920,"MMMM")</f>
        <v>diciembre</v>
      </c>
    </row>
    <row r="921" customFormat="false" ht="14.25" hidden="false" customHeight="false" outlineLevel="0" collapsed="false">
      <c r="A921" s="1" t="n">
        <v>5</v>
      </c>
      <c r="B921" s="1" t="s">
        <v>1546</v>
      </c>
      <c r="C921" s="1" t="s">
        <v>20</v>
      </c>
      <c r="D921" s="1" t="s">
        <v>1541</v>
      </c>
      <c r="E921" s="2" t="n">
        <v>449908490</v>
      </c>
      <c r="H921" s="3" t="n">
        <v>2400</v>
      </c>
      <c r="I921" s="1" t="n">
        <v>2400</v>
      </c>
      <c r="J921" s="1" t="n">
        <v>0</v>
      </c>
      <c r="K921" s="1" t="n">
        <v>0</v>
      </c>
      <c r="M921" s="5" t="n">
        <v>46019</v>
      </c>
      <c r="N921" s="33" t="n">
        <f aca="false">DAY(M921)</f>
        <v>28</v>
      </c>
      <c r="O921" s="33" t="str">
        <f aca="false">TEXT(M921,"DDDD")</f>
        <v>domingo</v>
      </c>
      <c r="P921" s="6" t="n">
        <f aca="false">MONTH(M921)</f>
        <v>12</v>
      </c>
      <c r="Q921" s="26" t="str">
        <f aca="false">TEXT(M921,"MMMM")</f>
        <v>diciembre</v>
      </c>
    </row>
    <row r="922" customFormat="false" ht="14.25" hidden="false" customHeight="false" outlineLevel="0" collapsed="false">
      <c r="A922" s="1" t="n">
        <v>11</v>
      </c>
      <c r="B922" s="1" t="s">
        <v>1547</v>
      </c>
      <c r="C922" s="1" t="s">
        <v>20</v>
      </c>
      <c r="D922" s="1" t="s">
        <v>1548</v>
      </c>
      <c r="E922" s="2" t="n">
        <v>450077986</v>
      </c>
      <c r="H922" s="3" t="n">
        <v>1400</v>
      </c>
      <c r="I922" s="1" t="n">
        <v>1200</v>
      </c>
      <c r="J922" s="1" t="n">
        <v>0</v>
      </c>
      <c r="K922" s="1" t="n">
        <v>200</v>
      </c>
      <c r="M922" s="5" t="n">
        <v>46020</v>
      </c>
      <c r="N922" s="33" t="n">
        <f aca="false">DAY(M922)</f>
        <v>29</v>
      </c>
      <c r="O922" s="33" t="str">
        <f aca="false">TEXT(M922,"DDDD")</f>
        <v>lunes</v>
      </c>
      <c r="P922" s="6" t="n">
        <f aca="false">MONTH(M922)</f>
        <v>12</v>
      </c>
      <c r="Q922" s="26" t="str">
        <f aca="false">TEXT(M922,"MMMM")</f>
        <v>diciembre</v>
      </c>
    </row>
    <row r="923" customFormat="false" ht="14.25" hidden="false" customHeight="false" outlineLevel="0" collapsed="false">
      <c r="A923" s="1" t="n">
        <v>11</v>
      </c>
      <c r="B923" s="1" t="s">
        <v>1549</v>
      </c>
      <c r="C923" s="1" t="s">
        <v>20</v>
      </c>
      <c r="D923" s="1" t="s">
        <v>508</v>
      </c>
      <c r="E923" s="2" t="n">
        <v>450072640</v>
      </c>
      <c r="F923" s="21" t="s">
        <v>1550</v>
      </c>
      <c r="G923" s="1" t="n">
        <v>450072406</v>
      </c>
      <c r="H923" s="3" t="n">
        <v>2150</v>
      </c>
      <c r="I923" s="1" t="n">
        <v>1850</v>
      </c>
      <c r="J923" s="1" t="n">
        <v>0</v>
      </c>
      <c r="K923" s="1" t="n">
        <v>300</v>
      </c>
      <c r="M923" s="5" t="n">
        <v>46020</v>
      </c>
      <c r="N923" s="33" t="n">
        <f aca="false">DAY(M923)</f>
        <v>29</v>
      </c>
      <c r="O923" s="33" t="str">
        <f aca="false">TEXT(M923,"DDDD")</f>
        <v>lunes</v>
      </c>
      <c r="P923" s="6" t="n">
        <f aca="false">MONTH(M923)</f>
        <v>12</v>
      </c>
      <c r="Q923" s="26" t="str">
        <f aca="false">TEXT(M923,"MMMM")</f>
        <v>diciembre</v>
      </c>
    </row>
    <row r="924" customFormat="false" ht="14.25" hidden="false" customHeight="false" outlineLevel="0" collapsed="false">
      <c r="A924" s="1" t="n">
        <v>11</v>
      </c>
      <c r="B924" s="1" t="s">
        <v>1551</v>
      </c>
      <c r="C924" s="1" t="s">
        <v>20</v>
      </c>
      <c r="D924" s="1" t="s">
        <v>1341</v>
      </c>
      <c r="E924" s="2" t="n">
        <v>450066878</v>
      </c>
      <c r="H924" s="3" t="n">
        <v>2570</v>
      </c>
      <c r="I924" s="1" t="n">
        <v>1250</v>
      </c>
      <c r="J924" s="1" t="n">
        <v>0</v>
      </c>
      <c r="K924" s="1" t="n">
        <v>1320</v>
      </c>
      <c r="M924" s="5" t="n">
        <v>46020</v>
      </c>
      <c r="N924" s="33" t="n">
        <f aca="false">DAY(M924)</f>
        <v>29</v>
      </c>
      <c r="O924" s="33" t="str">
        <f aca="false">TEXT(M924,"DDDD")</f>
        <v>lunes</v>
      </c>
      <c r="P924" s="6" t="n">
        <f aca="false">MONTH(M924)</f>
        <v>12</v>
      </c>
      <c r="Q924" s="26" t="str">
        <f aca="false">TEXT(M924,"MMMM")</f>
        <v>diciembre</v>
      </c>
    </row>
    <row r="925" customFormat="false" ht="14.25" hidden="false" customHeight="false" outlineLevel="0" collapsed="false">
      <c r="A925" s="1" t="n">
        <v>11</v>
      </c>
      <c r="B925" s="1" t="s">
        <v>1552</v>
      </c>
      <c r="C925" s="1" t="s">
        <v>38</v>
      </c>
      <c r="D925" s="1" t="s">
        <v>878</v>
      </c>
      <c r="E925" s="2" t="n">
        <v>450064333</v>
      </c>
      <c r="H925" s="3" t="n">
        <v>2057</v>
      </c>
      <c r="I925" s="1" t="n">
        <v>1950</v>
      </c>
      <c r="J925" s="1" t="n">
        <v>0</v>
      </c>
      <c r="K925" s="1" t="n">
        <v>107</v>
      </c>
      <c r="M925" s="5" t="n">
        <v>46020</v>
      </c>
      <c r="N925" s="33" t="n">
        <f aca="false">DAY(M925)</f>
        <v>29</v>
      </c>
      <c r="O925" s="33" t="str">
        <f aca="false">TEXT(M925,"DDDD")</f>
        <v>lunes</v>
      </c>
      <c r="P925" s="6" t="n">
        <f aca="false">MONTH(M925)</f>
        <v>12</v>
      </c>
      <c r="Q925" s="26" t="str">
        <f aca="false">TEXT(M925,"MMMM")</f>
        <v>diciembre</v>
      </c>
    </row>
    <row r="926" customFormat="false" ht="14.25" hidden="false" customHeight="false" outlineLevel="0" collapsed="false">
      <c r="A926" s="1" t="n">
        <v>10</v>
      </c>
      <c r="B926" s="1" t="s">
        <v>1553</v>
      </c>
      <c r="C926" s="1" t="s">
        <v>38</v>
      </c>
      <c r="D926" s="1" t="s">
        <v>423</v>
      </c>
      <c r="E926" s="2" t="n">
        <v>450061563</v>
      </c>
      <c r="H926" s="3" t="n">
        <v>1200</v>
      </c>
      <c r="I926" s="1" t="n">
        <v>1200</v>
      </c>
      <c r="J926" s="1" t="n">
        <v>0</v>
      </c>
      <c r="K926" s="1" t="n">
        <v>0</v>
      </c>
      <c r="M926" s="5" t="n">
        <v>46020</v>
      </c>
      <c r="N926" s="33" t="n">
        <f aca="false">DAY(M926)</f>
        <v>29</v>
      </c>
      <c r="O926" s="33" t="str">
        <f aca="false">TEXT(M926,"DDDD")</f>
        <v>lunes</v>
      </c>
      <c r="P926" s="6" t="n">
        <f aca="false">MONTH(M926)</f>
        <v>12</v>
      </c>
      <c r="Q926" s="26" t="str">
        <f aca="false">TEXT(M926,"MMMM")</f>
        <v>diciembre</v>
      </c>
    </row>
    <row r="927" customFormat="false" ht="14.25" hidden="false" customHeight="false" outlineLevel="0" collapsed="false">
      <c r="A927" s="1" t="n">
        <v>12</v>
      </c>
      <c r="B927" s="1" t="s">
        <v>1554</v>
      </c>
      <c r="C927" s="1" t="s">
        <v>38</v>
      </c>
      <c r="D927" s="1" t="s">
        <v>1555</v>
      </c>
      <c r="E927" s="2" t="n">
        <v>450203608</v>
      </c>
      <c r="H927" s="3" t="n">
        <v>2100</v>
      </c>
      <c r="I927" s="1" t="n">
        <v>2100</v>
      </c>
      <c r="J927" s="1" t="n">
        <v>0</v>
      </c>
      <c r="K927" s="1" t="n">
        <v>0</v>
      </c>
      <c r="M927" s="5" t="n">
        <v>46021</v>
      </c>
      <c r="N927" s="33" t="n">
        <f aca="false">DAY(M927)</f>
        <v>30</v>
      </c>
      <c r="O927" s="33" t="str">
        <f aca="false">TEXT(M927,"DDDD")</f>
        <v>martes</v>
      </c>
      <c r="P927" s="6" t="n">
        <f aca="false">MONTH(M927)</f>
        <v>12</v>
      </c>
      <c r="Q927" s="26" t="str">
        <f aca="false">TEXT(M927,"MMMM")</f>
        <v>diciembre</v>
      </c>
    </row>
    <row r="928" customFormat="false" ht="14.25" hidden="false" customHeight="false" outlineLevel="0" collapsed="false">
      <c r="A928" s="1" t="n">
        <v>11</v>
      </c>
      <c r="B928" s="1" t="s">
        <v>1556</v>
      </c>
      <c r="C928" s="1" t="s">
        <v>38</v>
      </c>
      <c r="D928" s="1" t="s">
        <v>1557</v>
      </c>
      <c r="E928" s="2" t="n">
        <v>450182368</v>
      </c>
      <c r="H928" s="3" t="n">
        <v>2810</v>
      </c>
      <c r="I928" s="1" t="n">
        <v>1750</v>
      </c>
      <c r="J928" s="1" t="n">
        <v>100</v>
      </c>
      <c r="K928" s="1" t="n">
        <v>960</v>
      </c>
      <c r="M928" s="5" t="n">
        <v>46021</v>
      </c>
      <c r="N928" s="33" t="n">
        <f aca="false">DAY(M928)</f>
        <v>30</v>
      </c>
      <c r="O928" s="33" t="str">
        <f aca="false">TEXT(M928,"DDDD")</f>
        <v>martes</v>
      </c>
      <c r="P928" s="6" t="n">
        <f aca="false">MONTH(M928)</f>
        <v>12</v>
      </c>
      <c r="Q928" s="26" t="str">
        <f aca="false">TEXT(M928,"MMMM")</f>
        <v>diciembre</v>
      </c>
    </row>
    <row r="929" customFormat="false" ht="14.25" hidden="false" customHeight="false" outlineLevel="0" collapsed="false">
      <c r="A929" s="1" t="n">
        <v>11</v>
      </c>
      <c r="B929" s="1" t="s">
        <v>1558</v>
      </c>
      <c r="C929" s="1" t="s">
        <v>20</v>
      </c>
      <c r="D929" s="1" t="s">
        <v>1559</v>
      </c>
      <c r="E929" s="2" t="n">
        <v>450182368</v>
      </c>
      <c r="H929" s="3" t="n">
        <v>7170</v>
      </c>
      <c r="I929" s="1" t="n">
        <v>1750</v>
      </c>
      <c r="J929" s="1" t="n">
        <v>100</v>
      </c>
      <c r="K929" s="1" t="n">
        <v>5320</v>
      </c>
      <c r="M929" s="5" t="n">
        <v>46021</v>
      </c>
      <c r="N929" s="33" t="n">
        <f aca="false">DAY(M929)</f>
        <v>30</v>
      </c>
      <c r="O929" s="33" t="str">
        <f aca="false">TEXT(M929,"DDDD")</f>
        <v>martes</v>
      </c>
      <c r="P929" s="6" t="n">
        <f aca="false">MONTH(M929)</f>
        <v>12</v>
      </c>
      <c r="Q929" s="26" t="str">
        <f aca="false">TEXT(M929,"MMMM")</f>
        <v>diciembre</v>
      </c>
    </row>
    <row r="930" customFormat="false" ht="14.25" hidden="false" customHeight="false" outlineLevel="0" collapsed="false">
      <c r="A930" s="1" t="n">
        <v>3</v>
      </c>
      <c r="B930" s="1" t="s">
        <v>1560</v>
      </c>
      <c r="C930" s="1" t="s">
        <v>20</v>
      </c>
      <c r="D930" s="1" t="s">
        <v>82</v>
      </c>
      <c r="E930" s="2" t="n">
        <v>450226268</v>
      </c>
      <c r="H930" s="3" t="n">
        <v>4020</v>
      </c>
      <c r="I930" s="1" t="n">
        <v>1200</v>
      </c>
      <c r="J930" s="1" t="n">
        <v>0</v>
      </c>
      <c r="K930" s="1" t="n">
        <v>2820</v>
      </c>
      <c r="M930" s="5" t="n">
        <v>46022</v>
      </c>
      <c r="N930" s="33" t="n">
        <f aca="false">DAY(M930)</f>
        <v>31</v>
      </c>
      <c r="O930" s="33" t="str">
        <f aca="false">TEXT(M930,"DDDD")</f>
        <v>miércoles</v>
      </c>
      <c r="P930" s="6" t="n">
        <f aca="false">MONTH(M930)</f>
        <v>12</v>
      </c>
      <c r="Q930" s="26" t="str">
        <f aca="false">TEXT(M930,"MMMM")</f>
        <v>diciembre</v>
      </c>
    </row>
    <row r="931" customFormat="false" ht="14.25" hidden="false" customHeight="false" outlineLevel="0" collapsed="false">
      <c r="A931" s="1" t="n">
        <v>2</v>
      </c>
      <c r="B931" s="1" t="s">
        <v>1561</v>
      </c>
      <c r="C931" s="1" t="s">
        <v>20</v>
      </c>
      <c r="D931" s="1" t="s">
        <v>82</v>
      </c>
      <c r="E931" s="2" t="n">
        <v>450225156</v>
      </c>
      <c r="H931" s="3" t="n">
        <v>1200</v>
      </c>
      <c r="I931" s="1" t="n">
        <v>1200</v>
      </c>
      <c r="J931" s="1" t="n">
        <v>0</v>
      </c>
      <c r="K931" s="1" t="n">
        <v>0</v>
      </c>
      <c r="M931" s="5" t="n">
        <v>46022</v>
      </c>
      <c r="N931" s="33" t="n">
        <f aca="false">DAY(M931)</f>
        <v>31</v>
      </c>
      <c r="O931" s="33" t="str">
        <f aca="false">TEXT(M931,"DDDD")</f>
        <v>miércoles</v>
      </c>
      <c r="P931" s="6" t="n">
        <f aca="false">MONTH(M931)</f>
        <v>12</v>
      </c>
      <c r="Q931" s="26" t="str">
        <f aca="false">TEXT(M931,"MMMM")</f>
        <v>diciembre</v>
      </c>
    </row>
    <row r="932" customFormat="false" ht="14.25" hidden="false" customHeight="false" outlineLevel="0" collapsed="false">
      <c r="A932" s="1" t="n">
        <v>2</v>
      </c>
      <c r="B932" s="1" t="s">
        <v>1562</v>
      </c>
      <c r="C932" s="1" t="s">
        <v>20</v>
      </c>
      <c r="D932" s="1" t="s">
        <v>82</v>
      </c>
      <c r="E932" s="2" t="n">
        <v>450224627</v>
      </c>
      <c r="H932" s="3" t="n">
        <v>3460</v>
      </c>
      <c r="I932" s="1" t="n">
        <v>1200</v>
      </c>
      <c r="J932" s="1" t="n">
        <v>0</v>
      </c>
      <c r="K932" s="1" t="n">
        <v>2260</v>
      </c>
      <c r="M932" s="5" t="n">
        <v>46022</v>
      </c>
      <c r="N932" s="33" t="n">
        <f aca="false">DAY(M932)</f>
        <v>31</v>
      </c>
      <c r="O932" s="33" t="str">
        <f aca="false">TEXT(M932,"DDDD")</f>
        <v>miércoles</v>
      </c>
      <c r="P932" s="6" t="n">
        <f aca="false">MONTH(M932)</f>
        <v>12</v>
      </c>
      <c r="Q932" s="26" t="str">
        <f aca="false">TEXT(M932,"MMMM")</f>
        <v>diciembre</v>
      </c>
    </row>
    <row r="933" customFormat="false" ht="14.25" hidden="false" customHeight="false" outlineLevel="0" collapsed="false">
      <c r="A933" s="1" t="n">
        <v>1</v>
      </c>
      <c r="B933" s="1" t="s">
        <v>1563</v>
      </c>
      <c r="C933" s="1" t="s">
        <v>20</v>
      </c>
      <c r="D933" s="1" t="s">
        <v>82</v>
      </c>
      <c r="E933" s="2" t="n">
        <v>450223647</v>
      </c>
      <c r="H933" s="3" t="n">
        <v>4200</v>
      </c>
      <c r="I933" s="1" t="n">
        <v>1200</v>
      </c>
      <c r="J933" s="1" t="n">
        <v>0</v>
      </c>
      <c r="K933" s="1" t="n">
        <v>3000</v>
      </c>
      <c r="M933" s="5" t="n">
        <v>46022</v>
      </c>
      <c r="N933" s="33" t="n">
        <f aca="false">DAY(M933)</f>
        <v>31</v>
      </c>
      <c r="O933" s="33" t="str">
        <f aca="false">TEXT(M933,"DDDD")</f>
        <v>miércoles</v>
      </c>
      <c r="P933" s="6" t="n">
        <f aca="false">MONTH(M933)</f>
        <v>12</v>
      </c>
      <c r="Q933" s="26" t="str">
        <f aca="false">TEXT(M933,"MMMM")</f>
        <v>diciembre</v>
      </c>
    </row>
    <row r="934" customFormat="false" ht="14.25" hidden="false" customHeight="false" outlineLevel="0" collapsed="false">
      <c r="A934" s="1" t="n">
        <v>1</v>
      </c>
      <c r="B934" s="1" t="s">
        <v>1564</v>
      </c>
      <c r="C934" s="1" t="s">
        <v>20</v>
      </c>
      <c r="D934" s="1" t="s">
        <v>82</v>
      </c>
      <c r="E934" s="2" t="n">
        <v>450223647</v>
      </c>
      <c r="H934" s="3" t="n">
        <v>4200</v>
      </c>
      <c r="I934" s="1" t="n">
        <v>1200</v>
      </c>
      <c r="J934" s="1" t="n">
        <v>0</v>
      </c>
      <c r="K934" s="1" t="n">
        <v>3000</v>
      </c>
      <c r="M934" s="5" t="n">
        <v>46022</v>
      </c>
      <c r="N934" s="33" t="n">
        <f aca="false">DAY(M934)</f>
        <v>31</v>
      </c>
      <c r="O934" s="33" t="str">
        <f aca="false">TEXT(M934,"DDDD")</f>
        <v>miércoles</v>
      </c>
      <c r="P934" s="6" t="n">
        <f aca="false">MONTH(M934)</f>
        <v>12</v>
      </c>
      <c r="Q934" s="26" t="str">
        <f aca="false">TEXT(M934,"MMMM")</f>
        <v>diciembre</v>
      </c>
    </row>
    <row r="935" customFormat="false" ht="14.25" hidden="false" customHeight="false" outlineLevel="0" collapsed="false">
      <c r="A935" s="1" t="n">
        <v>11</v>
      </c>
      <c r="B935" s="1" t="s">
        <v>1565</v>
      </c>
      <c r="C935" s="1" t="s">
        <v>20</v>
      </c>
      <c r="D935" s="1" t="s">
        <v>728</v>
      </c>
      <c r="E935" s="2" t="n">
        <v>450342754</v>
      </c>
      <c r="H935" s="3" t="n">
        <v>3370</v>
      </c>
      <c r="I935" s="1" t="n">
        <v>1950</v>
      </c>
      <c r="J935" s="1" t="n">
        <v>0</v>
      </c>
      <c r="K935" s="1" t="n">
        <v>1420</v>
      </c>
      <c r="M935" s="5" t="s">
        <v>1566</v>
      </c>
      <c r="N935" s="33" t="n">
        <f aca="false">DAY(M935)</f>
        <v>1</v>
      </c>
      <c r="O935" s="33" t="str">
        <f aca="false">TEXT(M935,"DDDD")</f>
        <v>jueves</v>
      </c>
      <c r="P935" s="6" t="n">
        <f aca="false">MONTH(M935)</f>
        <v>1</v>
      </c>
      <c r="Q935" s="26" t="str">
        <f aca="false">TEXT(M935,"MMMM")</f>
        <v>enero</v>
      </c>
      <c r="R935" s="21" t="s">
        <v>728</v>
      </c>
      <c r="S935" s="1" t="n">
        <v>26222</v>
      </c>
    </row>
    <row r="936" customFormat="false" ht="14.25" hidden="false" customHeight="false" outlineLevel="0" collapsed="false">
      <c r="A936" s="1" t="n">
        <v>11</v>
      </c>
      <c r="B936" s="1" t="s">
        <v>1567</v>
      </c>
      <c r="C936" s="1" t="s">
        <v>20</v>
      </c>
      <c r="D936" s="1" t="s">
        <v>1568</v>
      </c>
      <c r="E936" s="2" t="n">
        <v>450339164</v>
      </c>
      <c r="F936" s="21" t="s">
        <v>1569</v>
      </c>
      <c r="G936" s="1" t="n">
        <v>450338611</v>
      </c>
      <c r="H936" s="3" t="n">
        <v>5280</v>
      </c>
      <c r="I936" s="1" t="n">
        <v>2600</v>
      </c>
      <c r="J936" s="1" t="n">
        <v>0</v>
      </c>
      <c r="K936" s="1" t="n">
        <v>2680</v>
      </c>
      <c r="M936" s="5" t="s">
        <v>1566</v>
      </c>
      <c r="N936" s="33" t="n">
        <f aca="false">DAY(M936)</f>
        <v>1</v>
      </c>
      <c r="O936" s="33" t="str">
        <f aca="false">TEXT(M936,"DDDD")</f>
        <v>jueves</v>
      </c>
      <c r="P936" s="6" t="n">
        <f aca="false">MONTH(M936)</f>
        <v>1</v>
      </c>
      <c r="Q936" s="26" t="str">
        <f aca="false">TEXT(M936,"MMMM")</f>
        <v>enero</v>
      </c>
      <c r="R936" s="21" t="s">
        <v>1568</v>
      </c>
      <c r="S936" s="1" t="n">
        <v>28360</v>
      </c>
    </row>
    <row r="937" customFormat="false" ht="14.25" hidden="false" customHeight="false" outlineLevel="0" collapsed="false">
      <c r="A937" s="1" t="n">
        <v>10</v>
      </c>
      <c r="B937" s="1" t="s">
        <v>1570</v>
      </c>
      <c r="C937" s="1" t="s">
        <v>20</v>
      </c>
      <c r="D937" s="1" t="s">
        <v>82</v>
      </c>
      <c r="E937" s="2" t="n">
        <v>450337545</v>
      </c>
      <c r="H937" s="3" t="n">
        <v>1700</v>
      </c>
      <c r="I937" s="1" t="n">
        <v>1200</v>
      </c>
      <c r="J937" s="1" t="n">
        <v>0</v>
      </c>
      <c r="K937" s="1" t="n">
        <v>500</v>
      </c>
      <c r="M937" s="5" t="s">
        <v>1566</v>
      </c>
      <c r="N937" s="33" t="n">
        <f aca="false">DAY(M937)</f>
        <v>1</v>
      </c>
      <c r="O937" s="33" t="str">
        <f aca="false">TEXT(M937,"DDDD")</f>
        <v>jueves</v>
      </c>
      <c r="P937" s="6" t="n">
        <f aca="false">MONTH(M937)</f>
        <v>1</v>
      </c>
      <c r="Q937" s="26" t="str">
        <f aca="false">TEXT(M937,"MMMM")</f>
        <v>enero</v>
      </c>
    </row>
    <row r="938" customFormat="false" ht="14.25" hidden="false" customHeight="false" outlineLevel="0" collapsed="false">
      <c r="A938" s="1" t="n">
        <v>10</v>
      </c>
      <c r="B938" s="1" t="s">
        <v>1515</v>
      </c>
      <c r="C938" s="1" t="s">
        <v>20</v>
      </c>
      <c r="D938" s="1" t="s">
        <v>1571</v>
      </c>
      <c r="E938" s="2" t="n">
        <v>450334133</v>
      </c>
      <c r="H938" s="3" t="n">
        <v>2000</v>
      </c>
      <c r="I938" s="1" t="n">
        <v>1200</v>
      </c>
      <c r="J938" s="1" t="n">
        <v>0</v>
      </c>
      <c r="K938" s="1" t="n">
        <v>800</v>
      </c>
      <c r="M938" s="5" t="s">
        <v>1566</v>
      </c>
      <c r="N938" s="33" t="n">
        <f aca="false">DAY(M938)</f>
        <v>1</v>
      </c>
      <c r="O938" s="33" t="str">
        <f aca="false">TEXT(M938,"DDDD")</f>
        <v>jueves</v>
      </c>
      <c r="P938" s="6" t="n">
        <f aca="false">MONTH(M938)</f>
        <v>1</v>
      </c>
      <c r="Q938" s="26" t="str">
        <f aca="false">TEXT(M938,"MMMM")</f>
        <v>enero</v>
      </c>
    </row>
    <row r="939" customFormat="false" ht="14.25" hidden="false" customHeight="false" outlineLevel="0" collapsed="false">
      <c r="A939" s="1" t="n">
        <v>9</v>
      </c>
      <c r="B939" s="1" t="s">
        <v>1572</v>
      </c>
      <c r="C939" s="1" t="s">
        <v>20</v>
      </c>
      <c r="D939" s="1" t="s">
        <v>1573</v>
      </c>
      <c r="E939" s="2" t="n">
        <v>450329237</v>
      </c>
      <c r="H939" s="3" t="n">
        <v>2120</v>
      </c>
      <c r="I939" s="1" t="n">
        <v>1200</v>
      </c>
      <c r="J939" s="1" t="n">
        <v>0</v>
      </c>
      <c r="K939" s="1" t="n">
        <v>920</v>
      </c>
      <c r="M939" s="5" t="s">
        <v>1566</v>
      </c>
      <c r="N939" s="33" t="n">
        <f aca="false">DAY(M939)</f>
        <v>1</v>
      </c>
      <c r="O939" s="33" t="str">
        <f aca="false">TEXT(M939,"DDDD")</f>
        <v>jueves</v>
      </c>
      <c r="P939" s="6" t="n">
        <f aca="false">MONTH(M939)</f>
        <v>1</v>
      </c>
      <c r="Q939" s="26" t="str">
        <f aca="false">TEXT(M939,"MMMM")</f>
        <v>enero</v>
      </c>
    </row>
    <row r="940" customFormat="false" ht="14.25" hidden="false" customHeight="false" outlineLevel="0" collapsed="false">
      <c r="A940" s="1" t="n">
        <v>9</v>
      </c>
      <c r="B940" s="1" t="s">
        <v>1574</v>
      </c>
      <c r="C940" s="1" t="s">
        <v>20</v>
      </c>
      <c r="D940" s="1" t="s">
        <v>1575</v>
      </c>
      <c r="E940" s="2" t="n">
        <v>450328258</v>
      </c>
      <c r="H940" s="3" t="n">
        <v>1400</v>
      </c>
      <c r="I940" s="1" t="n">
        <v>1200</v>
      </c>
      <c r="J940" s="1" t="n">
        <v>0</v>
      </c>
      <c r="K940" s="1" t="n">
        <v>200</v>
      </c>
      <c r="M940" s="5" t="s">
        <v>1566</v>
      </c>
      <c r="N940" s="33" t="n">
        <f aca="false">DAY(M940)</f>
        <v>1</v>
      </c>
      <c r="O940" s="33" t="str">
        <f aca="false">TEXT(M940,"DDDD")</f>
        <v>jueves</v>
      </c>
      <c r="P940" s="6" t="n">
        <f aca="false">MONTH(M940)</f>
        <v>1</v>
      </c>
      <c r="Q940" s="26" t="str">
        <f aca="false">TEXT(M940,"MMMM")</f>
        <v>enero</v>
      </c>
    </row>
    <row r="941" customFormat="false" ht="14.25" hidden="false" customHeight="false" outlineLevel="0" collapsed="false">
      <c r="A941" s="1" t="n">
        <v>9</v>
      </c>
      <c r="B941" s="1" t="s">
        <v>1576</v>
      </c>
      <c r="C941" s="1" t="s">
        <v>20</v>
      </c>
      <c r="D941" s="1" t="s">
        <v>1335</v>
      </c>
      <c r="E941" s="2" t="n">
        <v>450324951</v>
      </c>
      <c r="H941" s="3" t="n">
        <v>1740</v>
      </c>
      <c r="I941" s="1" t="n">
        <v>1200</v>
      </c>
      <c r="J941" s="1" t="n">
        <v>0</v>
      </c>
      <c r="K941" s="1" t="n">
        <v>540</v>
      </c>
      <c r="M941" s="5" t="s">
        <v>1566</v>
      </c>
      <c r="N941" s="33" t="n">
        <f aca="false">DAY(M941)</f>
        <v>1</v>
      </c>
      <c r="O941" s="33" t="str">
        <f aca="false">TEXT(M941,"DDDD")</f>
        <v>jueves</v>
      </c>
      <c r="P941" s="6" t="n">
        <f aca="false">MONTH(M941)</f>
        <v>1</v>
      </c>
      <c r="Q941" s="26" t="str">
        <f aca="false">TEXT(M941,"MMMM")</f>
        <v>enero</v>
      </c>
    </row>
    <row r="942" customFormat="false" ht="14.25" hidden="false" customHeight="false" outlineLevel="0" collapsed="false">
      <c r="A942" s="1" t="n">
        <v>9</v>
      </c>
      <c r="B942" s="1" t="s">
        <v>1577</v>
      </c>
      <c r="C942" s="1" t="s">
        <v>20</v>
      </c>
      <c r="D942" s="1" t="s">
        <v>1578</v>
      </c>
      <c r="E942" s="2" t="n">
        <v>450323354</v>
      </c>
      <c r="H942" s="3" t="n">
        <v>1700</v>
      </c>
      <c r="I942" s="1" t="n">
        <v>1200</v>
      </c>
      <c r="J942" s="1" t="n">
        <v>0</v>
      </c>
      <c r="K942" s="1" t="n">
        <v>500</v>
      </c>
      <c r="M942" s="5" t="s">
        <v>1566</v>
      </c>
      <c r="N942" s="33" t="n">
        <f aca="false">DAY(M942)</f>
        <v>1</v>
      </c>
      <c r="O942" s="33" t="str">
        <f aca="false">TEXT(M942,"DDDD")</f>
        <v>jueves</v>
      </c>
      <c r="P942" s="6" t="n">
        <f aca="false">MONTH(M942)</f>
        <v>1</v>
      </c>
      <c r="Q942" s="26" t="str">
        <f aca="false">TEXT(M942,"MMMM")</f>
        <v>enero</v>
      </c>
    </row>
    <row r="943" customFormat="false" ht="14.25" hidden="false" customHeight="false" outlineLevel="0" collapsed="false">
      <c r="A943" s="1" t="n">
        <v>9</v>
      </c>
      <c r="B943" s="1" t="s">
        <v>1579</v>
      </c>
      <c r="C943" s="1" t="s">
        <v>20</v>
      </c>
      <c r="D943" s="1" t="s">
        <v>1580</v>
      </c>
      <c r="E943" s="2" t="n">
        <v>450322778</v>
      </c>
      <c r="H943" s="3" t="n">
        <v>3100</v>
      </c>
      <c r="I943" s="1" t="n">
        <v>1500</v>
      </c>
      <c r="J943" s="1" t="n">
        <v>0</v>
      </c>
      <c r="K943" s="1" t="n">
        <v>1600</v>
      </c>
      <c r="M943" s="5" t="s">
        <v>1566</v>
      </c>
      <c r="N943" s="33" t="n">
        <f aca="false">DAY(M943)</f>
        <v>1</v>
      </c>
      <c r="O943" s="33" t="str">
        <f aca="false">TEXT(M943,"DDDD")</f>
        <v>jueves</v>
      </c>
      <c r="P943" s="6" t="n">
        <f aca="false">MONTH(M943)</f>
        <v>1</v>
      </c>
      <c r="Q943" s="26" t="str">
        <f aca="false">TEXT(M943,"MMMM")</f>
        <v>enero</v>
      </c>
    </row>
    <row r="944" customFormat="false" ht="14.25" hidden="false" customHeight="false" outlineLevel="0" collapsed="false">
      <c r="A944" s="1" t="n">
        <v>9</v>
      </c>
      <c r="B944" s="1" t="s">
        <v>1581</v>
      </c>
      <c r="C944" s="1" t="s">
        <v>20</v>
      </c>
      <c r="D944" s="1" t="s">
        <v>1582</v>
      </c>
      <c r="E944" s="2" t="n">
        <v>450322239</v>
      </c>
      <c r="H944" s="3" t="n">
        <v>1600</v>
      </c>
      <c r="I944" s="1" t="n">
        <v>1200</v>
      </c>
      <c r="J944" s="1" t="n">
        <v>0</v>
      </c>
      <c r="K944" s="1" t="n">
        <v>400</v>
      </c>
      <c r="M944" s="5" t="s">
        <v>1566</v>
      </c>
      <c r="N944" s="33" t="n">
        <f aca="false">DAY(M944)</f>
        <v>1</v>
      </c>
      <c r="O944" s="33" t="str">
        <f aca="false">TEXT(M944,"DDDD")</f>
        <v>jueves</v>
      </c>
      <c r="P944" s="6" t="n">
        <f aca="false">MONTH(M944)</f>
        <v>1</v>
      </c>
      <c r="Q944" s="26" t="str">
        <f aca="false">TEXT(M944,"MMMM")</f>
        <v>enero</v>
      </c>
    </row>
    <row r="945" customFormat="false" ht="14.25" hidden="false" customHeight="false" outlineLevel="0" collapsed="false">
      <c r="A945" s="1" t="n">
        <v>9</v>
      </c>
      <c r="B945" s="1" t="s">
        <v>1583</v>
      </c>
      <c r="C945" s="1" t="s">
        <v>20</v>
      </c>
      <c r="D945" s="1" t="s">
        <v>1584</v>
      </c>
      <c r="E945" s="2" t="n">
        <v>450319694</v>
      </c>
      <c r="H945" s="3" t="n">
        <v>1700</v>
      </c>
      <c r="I945" s="1" t="n">
        <v>1700</v>
      </c>
      <c r="J945" s="1" t="n">
        <v>0</v>
      </c>
      <c r="K945" s="1" t="n">
        <v>0</v>
      </c>
      <c r="M945" s="5" t="s">
        <v>1566</v>
      </c>
      <c r="N945" s="33" t="n">
        <f aca="false">DAY(M945)</f>
        <v>1</v>
      </c>
      <c r="O945" s="33" t="str">
        <f aca="false">TEXT(M945,"DDDD")</f>
        <v>jueves</v>
      </c>
      <c r="P945" s="6" t="n">
        <f aca="false">MONTH(M945)</f>
        <v>1</v>
      </c>
      <c r="Q945" s="26" t="str">
        <f aca="false">TEXT(M945,"MMMM")</f>
        <v>enero</v>
      </c>
    </row>
    <row r="946" customFormat="false" ht="14.25" hidden="false" customHeight="false" outlineLevel="0" collapsed="false">
      <c r="A946" s="1" t="n">
        <v>9</v>
      </c>
      <c r="B946" s="1" t="s">
        <v>1585</v>
      </c>
      <c r="C946" s="1" t="s">
        <v>38</v>
      </c>
      <c r="D946" s="1" t="s">
        <v>1586</v>
      </c>
      <c r="E946" s="2" t="n">
        <v>450316840</v>
      </c>
      <c r="F946" s="21" t="s">
        <v>1587</v>
      </c>
      <c r="G946" s="1" t="n">
        <v>450317911</v>
      </c>
      <c r="H946" s="3" t="n">
        <v>2500</v>
      </c>
      <c r="I946" s="1" t="n">
        <v>1800</v>
      </c>
      <c r="J946" s="1" t="n">
        <v>0</v>
      </c>
      <c r="K946" s="1" t="n">
        <v>700</v>
      </c>
      <c r="M946" s="5" t="s">
        <v>1566</v>
      </c>
      <c r="N946" s="33" t="n">
        <f aca="false">DAY(M946)</f>
        <v>1</v>
      </c>
      <c r="O946" s="33" t="str">
        <f aca="false">TEXT(M946,"DDDD")</f>
        <v>jueves</v>
      </c>
      <c r="P946" s="6" t="n">
        <f aca="false">MONTH(M946)</f>
        <v>1</v>
      </c>
      <c r="Q946" s="26" t="str">
        <f aca="false">TEXT(M946,"MMMM")</f>
        <v>enero</v>
      </c>
    </row>
    <row r="947" customFormat="false" ht="14.25" hidden="false" customHeight="false" outlineLevel="0" collapsed="false">
      <c r="A947" s="1" t="n">
        <v>9</v>
      </c>
      <c r="B947" s="1" t="s">
        <v>1588</v>
      </c>
      <c r="C947" s="1" t="s">
        <v>38</v>
      </c>
      <c r="D947" s="1" t="s">
        <v>1586</v>
      </c>
      <c r="E947" s="2" t="n">
        <v>450315791</v>
      </c>
      <c r="H947" s="3" t="n">
        <v>1900</v>
      </c>
      <c r="I947" s="1" t="n">
        <v>1900</v>
      </c>
      <c r="J947" s="1" t="n">
        <v>0</v>
      </c>
      <c r="K947" s="1" t="n">
        <v>0</v>
      </c>
      <c r="M947" s="5" t="s">
        <v>1566</v>
      </c>
      <c r="N947" s="33" t="n">
        <f aca="false">DAY(M947)</f>
        <v>1</v>
      </c>
      <c r="O947" s="33" t="str">
        <f aca="false">TEXT(M947,"DDDD")</f>
        <v>jueves</v>
      </c>
      <c r="P947" s="6" t="n">
        <f aca="false">MONTH(M947)</f>
        <v>1</v>
      </c>
      <c r="Q947" s="26" t="str">
        <f aca="false">TEXT(M947,"MMMM")</f>
        <v>enero</v>
      </c>
    </row>
    <row r="948" customFormat="false" ht="14.25" hidden="false" customHeight="false" outlineLevel="0" collapsed="false">
      <c r="A948" s="1" t="n">
        <v>8</v>
      </c>
      <c r="B948" s="1" t="s">
        <v>1589</v>
      </c>
      <c r="C948" s="1" t="s">
        <v>20</v>
      </c>
      <c r="D948" s="1" t="s">
        <v>1582</v>
      </c>
      <c r="E948" s="2" t="n">
        <v>450314448</v>
      </c>
      <c r="H948" s="3" t="n">
        <v>1360</v>
      </c>
      <c r="I948" s="1" t="n">
        <v>1200</v>
      </c>
      <c r="J948" s="1" t="n">
        <v>0</v>
      </c>
      <c r="K948" s="1" t="n">
        <v>160</v>
      </c>
      <c r="M948" s="5" t="s">
        <v>1566</v>
      </c>
      <c r="N948" s="33" t="n">
        <f aca="false">DAY(M948)</f>
        <v>1</v>
      </c>
      <c r="O948" s="33" t="str">
        <f aca="false">TEXT(M948,"DDDD")</f>
        <v>jueves</v>
      </c>
      <c r="P948" s="6" t="n">
        <f aca="false">MONTH(M948)</f>
        <v>1</v>
      </c>
      <c r="Q948" s="26" t="str">
        <f aca="false">TEXT(M948,"MMMM")</f>
        <v>enero</v>
      </c>
    </row>
    <row r="949" customFormat="false" ht="14.25" hidden="false" customHeight="false" outlineLevel="0" collapsed="false">
      <c r="A949" s="1" t="n">
        <v>8</v>
      </c>
      <c r="B949" s="1" t="s">
        <v>1590</v>
      </c>
      <c r="C949" s="1" t="s">
        <v>20</v>
      </c>
      <c r="D949" s="1" t="s">
        <v>1591</v>
      </c>
      <c r="E949" s="2" t="n">
        <v>450313366</v>
      </c>
      <c r="H949" s="3" t="n">
        <v>4420</v>
      </c>
      <c r="I949" s="1" t="n">
        <v>1300</v>
      </c>
      <c r="J949" s="1" t="n">
        <v>0</v>
      </c>
      <c r="K949" s="1" t="n">
        <v>3120</v>
      </c>
      <c r="M949" s="5" t="s">
        <v>1566</v>
      </c>
      <c r="N949" s="33" t="n">
        <f aca="false">DAY(M949)</f>
        <v>1</v>
      </c>
      <c r="O949" s="33" t="str">
        <f aca="false">TEXT(M949,"DDDD")</f>
        <v>jueves</v>
      </c>
      <c r="P949" s="6" t="n">
        <f aca="false">MONTH(M949)</f>
        <v>1</v>
      </c>
      <c r="Q949" s="26" t="str">
        <f aca="false">TEXT(M949,"MMMM")</f>
        <v>enero</v>
      </c>
    </row>
    <row r="950" customFormat="false" ht="14.25" hidden="false" customHeight="false" outlineLevel="0" collapsed="false">
      <c r="A950" s="1" t="n">
        <v>8</v>
      </c>
      <c r="B950" s="1" t="s">
        <v>1592</v>
      </c>
      <c r="C950" s="1" t="s">
        <v>20</v>
      </c>
      <c r="D950" s="1" t="s">
        <v>1593</v>
      </c>
      <c r="E950" s="2" t="n">
        <v>450312607</v>
      </c>
      <c r="H950" s="3" t="n">
        <v>2820</v>
      </c>
      <c r="I950" s="1" t="n">
        <v>1200</v>
      </c>
      <c r="J950" s="1" t="n">
        <v>0</v>
      </c>
      <c r="K950" s="1" t="n">
        <v>1620</v>
      </c>
      <c r="M950" s="5" t="s">
        <v>1566</v>
      </c>
      <c r="N950" s="33" t="n">
        <f aca="false">DAY(M950)</f>
        <v>1</v>
      </c>
      <c r="O950" s="33" t="str">
        <f aca="false">TEXT(M950,"DDDD")</f>
        <v>jueves</v>
      </c>
      <c r="P950" s="6" t="n">
        <f aca="false">MONTH(M950)</f>
        <v>1</v>
      </c>
      <c r="Q950" s="26" t="str">
        <f aca="false">TEXT(M950,"MMMM")</f>
        <v>enero</v>
      </c>
    </row>
    <row r="951" customFormat="false" ht="14.25" hidden="false" customHeight="false" outlineLevel="0" collapsed="false">
      <c r="A951" s="1" t="n">
        <v>7</v>
      </c>
      <c r="B951" s="1" t="s">
        <v>1594</v>
      </c>
      <c r="C951" s="1" t="s">
        <v>20</v>
      </c>
      <c r="D951" s="1" t="s">
        <v>1595</v>
      </c>
      <c r="E951" s="2" t="n">
        <v>450310997</v>
      </c>
      <c r="H951" s="3" t="n">
        <v>1550</v>
      </c>
      <c r="I951" s="1" t="n">
        <v>1200</v>
      </c>
      <c r="J951" s="1" t="n">
        <v>0</v>
      </c>
      <c r="K951" s="1" t="n">
        <v>350</v>
      </c>
      <c r="M951" s="5" t="s">
        <v>1566</v>
      </c>
      <c r="N951" s="33" t="n">
        <f aca="false">DAY(M951)</f>
        <v>1</v>
      </c>
      <c r="O951" s="33" t="str">
        <f aca="false">TEXT(M951,"DDDD")</f>
        <v>jueves</v>
      </c>
      <c r="P951" s="6" t="n">
        <f aca="false">MONTH(M951)</f>
        <v>1</v>
      </c>
      <c r="Q951" s="26" t="str">
        <f aca="false">TEXT(M951,"MMMM")</f>
        <v>enero</v>
      </c>
    </row>
    <row r="952" customFormat="false" ht="14.25" hidden="false" customHeight="false" outlineLevel="0" collapsed="false">
      <c r="A952" s="1" t="n">
        <v>7</v>
      </c>
      <c r="B952" s="1" t="s">
        <v>1596</v>
      </c>
      <c r="C952" s="1" t="s">
        <v>38</v>
      </c>
      <c r="D952" s="1" t="s">
        <v>1597</v>
      </c>
      <c r="E952" s="2" t="n">
        <v>450309463</v>
      </c>
      <c r="H952" s="3" t="n">
        <v>1850</v>
      </c>
      <c r="I952" s="1" t="n">
        <v>1850</v>
      </c>
      <c r="J952" s="1" t="n">
        <v>0</v>
      </c>
      <c r="K952" s="1" t="n">
        <v>0</v>
      </c>
      <c r="M952" s="5" t="s">
        <v>1566</v>
      </c>
      <c r="N952" s="33" t="n">
        <f aca="false">DAY(M952)</f>
        <v>1</v>
      </c>
      <c r="O952" s="33" t="str">
        <f aca="false">TEXT(M952,"DDDD")</f>
        <v>jueves</v>
      </c>
      <c r="P952" s="6" t="n">
        <f aca="false">MONTH(M952)</f>
        <v>1</v>
      </c>
      <c r="Q952" s="26" t="str">
        <f aca="false">TEXT(M952,"MMMM")</f>
        <v>enero</v>
      </c>
    </row>
    <row r="953" customFormat="false" ht="14.25" hidden="false" customHeight="false" outlineLevel="0" collapsed="false">
      <c r="A953" s="1" t="n">
        <v>7</v>
      </c>
      <c r="B953" s="1" t="s">
        <v>1598</v>
      </c>
      <c r="C953" s="1" t="s">
        <v>20</v>
      </c>
      <c r="D953" s="1" t="s">
        <v>1599</v>
      </c>
      <c r="E953" s="2" t="n">
        <v>450309387</v>
      </c>
      <c r="H953" s="3" t="n">
        <v>1500</v>
      </c>
      <c r="I953" s="1" t="n">
        <v>1200</v>
      </c>
      <c r="J953" s="1" t="n">
        <v>0</v>
      </c>
      <c r="K953" s="1" t="n">
        <v>300</v>
      </c>
      <c r="M953" s="5" t="s">
        <v>1566</v>
      </c>
      <c r="N953" s="33" t="n">
        <f aca="false">DAY(M953)</f>
        <v>1</v>
      </c>
      <c r="O953" s="33" t="str">
        <f aca="false">TEXT(M953,"DDDD")</f>
        <v>jueves</v>
      </c>
      <c r="P953" s="6" t="n">
        <f aca="false">MONTH(M953)</f>
        <v>1</v>
      </c>
      <c r="Q953" s="26" t="str">
        <f aca="false">TEXT(M953,"MMMM")</f>
        <v>enero</v>
      </c>
    </row>
    <row r="954" customFormat="false" ht="14.25" hidden="false" customHeight="false" outlineLevel="0" collapsed="false">
      <c r="A954" s="1" t="n">
        <v>6</v>
      </c>
      <c r="B954" s="1" t="s">
        <v>1600</v>
      </c>
      <c r="C954" s="1" t="s">
        <v>38</v>
      </c>
      <c r="D954" s="1" t="s">
        <v>366</v>
      </c>
      <c r="E954" s="2" t="n">
        <v>450309434</v>
      </c>
      <c r="H954" s="3" t="n">
        <v>1400</v>
      </c>
      <c r="I954" s="1" t="n">
        <v>1200</v>
      </c>
      <c r="J954" s="1" t="n">
        <v>0</v>
      </c>
      <c r="K954" s="1" t="n">
        <v>200</v>
      </c>
      <c r="M954" s="5" t="s">
        <v>1566</v>
      </c>
      <c r="N954" s="33" t="n">
        <f aca="false">DAY(M954)</f>
        <v>1</v>
      </c>
      <c r="O954" s="33" t="str">
        <f aca="false">TEXT(M954,"DDDD")</f>
        <v>jueves</v>
      </c>
      <c r="P954" s="6" t="n">
        <f aca="false">MONTH(M954)</f>
        <v>1</v>
      </c>
      <c r="Q954" s="26" t="str">
        <f aca="false">TEXT(M954,"MMMM")</f>
        <v>enero</v>
      </c>
    </row>
    <row r="955" customFormat="false" ht="14.25" hidden="false" customHeight="false" outlineLevel="0" collapsed="false">
      <c r="A955" s="1" t="n">
        <v>6</v>
      </c>
      <c r="B955" s="1" t="s">
        <v>660</v>
      </c>
      <c r="C955" s="1" t="s">
        <v>20</v>
      </c>
      <c r="D955" s="1" t="s">
        <v>1601</v>
      </c>
      <c r="E955" s="2" t="n">
        <v>450308920</v>
      </c>
      <c r="H955" s="3" t="n">
        <v>5940</v>
      </c>
      <c r="I955" s="1" t="n">
        <v>1200</v>
      </c>
      <c r="J955" s="1" t="n">
        <v>3000</v>
      </c>
      <c r="K955" s="1" t="n">
        <v>1740</v>
      </c>
      <c r="M955" s="5" t="s">
        <v>1566</v>
      </c>
      <c r="N955" s="33" t="n">
        <f aca="false">DAY(M955)</f>
        <v>1</v>
      </c>
      <c r="O955" s="33" t="str">
        <f aca="false">TEXT(M955,"DDDD")</f>
        <v>jueves</v>
      </c>
      <c r="P955" s="6" t="n">
        <f aca="false">MONTH(M955)</f>
        <v>1</v>
      </c>
      <c r="Q955" s="26" t="str">
        <f aca="false">TEXT(M955,"MMMM")</f>
        <v>enero</v>
      </c>
    </row>
    <row r="956" customFormat="false" ht="14.25" hidden="false" customHeight="false" outlineLevel="0" collapsed="false">
      <c r="A956" s="1" t="n">
        <v>6</v>
      </c>
      <c r="B956" s="1" t="s">
        <v>1602</v>
      </c>
      <c r="C956" s="1" t="s">
        <v>20</v>
      </c>
      <c r="D956" s="1" t="s">
        <v>1205</v>
      </c>
      <c r="E956" s="2" t="n">
        <v>450308615</v>
      </c>
      <c r="H956" s="3" t="n">
        <v>4610</v>
      </c>
      <c r="I956" s="1" t="n">
        <v>1350</v>
      </c>
      <c r="J956" s="1" t="n">
        <v>3000</v>
      </c>
      <c r="K956" s="1" t="n">
        <v>260</v>
      </c>
      <c r="M956" s="5" t="s">
        <v>1566</v>
      </c>
      <c r="N956" s="33" t="n">
        <f aca="false">DAY(M956)</f>
        <v>1</v>
      </c>
      <c r="O956" s="33" t="str">
        <f aca="false">TEXT(M956,"DDDD")</f>
        <v>jueves</v>
      </c>
      <c r="P956" s="6" t="n">
        <f aca="false">MONTH(M956)</f>
        <v>1</v>
      </c>
      <c r="Q956" s="26" t="str">
        <f aca="false">TEXT(M956,"MMMM")</f>
        <v>enero</v>
      </c>
    </row>
    <row r="957" customFormat="false" ht="14.25" hidden="false" customHeight="false" outlineLevel="0" collapsed="false">
      <c r="A957" s="1" t="n">
        <v>11</v>
      </c>
      <c r="B957" s="1" t="s">
        <v>1603</v>
      </c>
      <c r="C957" s="1" t="s">
        <v>20</v>
      </c>
      <c r="D957" s="1" t="s">
        <v>47</v>
      </c>
      <c r="E957" s="2" t="n">
        <v>450445010</v>
      </c>
      <c r="H957" s="3" t="n">
        <v>3660</v>
      </c>
      <c r="I957" s="1" t="n">
        <v>1200</v>
      </c>
      <c r="J957" s="1" t="n">
        <v>100</v>
      </c>
      <c r="K957" s="1" t="n">
        <v>2360</v>
      </c>
      <c r="M957" s="5" t="s">
        <v>1604</v>
      </c>
      <c r="N957" s="33" t="n">
        <f aca="false">DAY(M957)</f>
        <v>2</v>
      </c>
      <c r="O957" s="33" t="str">
        <f aca="false">TEXT(M957,"DDDD")</f>
        <v>viernes</v>
      </c>
      <c r="P957" s="6" t="n">
        <f aca="false">MONTH(M957)</f>
        <v>1</v>
      </c>
      <c r="Q957" s="26" t="str">
        <f aca="false">TEXT(M957,"MMMM")</f>
        <v>enero</v>
      </c>
    </row>
    <row r="958" customFormat="false" ht="14.25" hidden="false" customHeight="false" outlineLevel="0" collapsed="false">
      <c r="A958" s="1" t="n">
        <v>12</v>
      </c>
      <c r="B958" s="1" t="s">
        <v>1605</v>
      </c>
      <c r="C958" s="1" t="s">
        <v>38</v>
      </c>
      <c r="D958" s="1" t="s">
        <v>1365</v>
      </c>
      <c r="E958" s="2" t="n">
        <v>450451533</v>
      </c>
      <c r="H958" s="3" t="n">
        <v>2000</v>
      </c>
      <c r="I958" s="1" t="n">
        <v>1200</v>
      </c>
      <c r="J958" s="1" t="n">
        <v>100</v>
      </c>
      <c r="K958" s="1" t="n">
        <v>700</v>
      </c>
      <c r="M958" s="5" t="s">
        <v>1604</v>
      </c>
      <c r="N958" s="33" t="n">
        <f aca="false">DAY(M958)</f>
        <v>2</v>
      </c>
      <c r="O958" s="33" t="str">
        <f aca="false">TEXT(M958,"DDDD")</f>
        <v>viernes</v>
      </c>
      <c r="P958" s="6" t="n">
        <f aca="false">MONTH(M958)</f>
        <v>1</v>
      </c>
      <c r="Q958" s="26" t="str">
        <f aca="false">TEXT(M958,"MMMM")</f>
        <v>enero</v>
      </c>
    </row>
    <row r="959" customFormat="false" ht="14.25" hidden="false" customHeight="false" outlineLevel="0" collapsed="false">
      <c r="A959" s="1" t="n">
        <v>12</v>
      </c>
      <c r="B959" s="1" t="s">
        <v>1193</v>
      </c>
      <c r="C959" s="1" t="s">
        <v>20</v>
      </c>
      <c r="D959" s="1" t="s">
        <v>47</v>
      </c>
      <c r="E959" s="2" t="n">
        <v>450457459</v>
      </c>
      <c r="F959" s="21" t="s">
        <v>47</v>
      </c>
      <c r="G959" s="1" t="n">
        <v>450458015</v>
      </c>
      <c r="H959" s="3" t="n">
        <v>3560</v>
      </c>
      <c r="I959" s="1" t="n">
        <v>1800</v>
      </c>
      <c r="J959" s="1" t="n">
        <v>200</v>
      </c>
      <c r="K959" s="1" t="n">
        <v>1560</v>
      </c>
      <c r="M959" s="5" t="s">
        <v>1604</v>
      </c>
      <c r="N959" s="33" t="n">
        <f aca="false">DAY(M959)</f>
        <v>2</v>
      </c>
      <c r="O959" s="33" t="str">
        <f aca="false">TEXT(M959,"DDDD")</f>
        <v>viernes</v>
      </c>
      <c r="P959" s="6" t="n">
        <f aca="false">MONTH(M959)</f>
        <v>1</v>
      </c>
      <c r="Q959" s="26" t="str">
        <f aca="false">TEXT(M959,"MMMM")</f>
        <v>enero</v>
      </c>
    </row>
    <row r="960" customFormat="false" ht="14.25" hidden="false" customHeight="false" outlineLevel="0" collapsed="false">
      <c r="A960" s="1" t="n">
        <v>12</v>
      </c>
      <c r="B960" s="1" t="s">
        <v>1606</v>
      </c>
      <c r="C960" s="1" t="s">
        <v>20</v>
      </c>
      <c r="D960" s="1" t="s">
        <v>1062</v>
      </c>
      <c r="E960" s="2" t="n">
        <v>450461754</v>
      </c>
      <c r="H960" s="3" t="n">
        <v>6830</v>
      </c>
      <c r="I960" s="1" t="n">
        <v>1750</v>
      </c>
      <c r="J960" s="1" t="n">
        <v>100</v>
      </c>
      <c r="K960" s="1" t="n">
        <v>4980</v>
      </c>
      <c r="M960" s="5" t="s">
        <v>1604</v>
      </c>
      <c r="N960" s="33" t="n">
        <f aca="false">DAY(M960)</f>
        <v>2</v>
      </c>
      <c r="O960" s="33" t="str">
        <f aca="false">TEXT(M960,"DDDD")</f>
        <v>viernes</v>
      </c>
      <c r="P960" s="6" t="n">
        <f aca="false">MONTH(M960)</f>
        <v>1</v>
      </c>
      <c r="Q960" s="26" t="str">
        <f aca="false">TEXT(M960,"MMMM")</f>
        <v>enero</v>
      </c>
    </row>
    <row r="961" customFormat="false" ht="14.25" hidden="false" customHeight="false" outlineLevel="0" collapsed="false">
      <c r="A961" s="1" t="n">
        <v>12</v>
      </c>
      <c r="B961" s="1" t="s">
        <v>1237</v>
      </c>
      <c r="C961" s="1" t="s">
        <v>20</v>
      </c>
      <c r="D961" s="1" t="s">
        <v>1607</v>
      </c>
      <c r="E961" s="2" t="n">
        <v>450466743</v>
      </c>
      <c r="F961" s="21" t="s">
        <v>1608</v>
      </c>
      <c r="G961" s="1" t="n">
        <v>450466620</v>
      </c>
      <c r="H961" s="3" t="n">
        <v>3200</v>
      </c>
      <c r="I961" s="1" t="n">
        <v>1800</v>
      </c>
      <c r="J961" s="1" t="n">
        <v>200</v>
      </c>
      <c r="K961" s="1" t="n">
        <v>1200</v>
      </c>
      <c r="M961" s="5" t="s">
        <v>1604</v>
      </c>
      <c r="N961" s="33" t="n">
        <f aca="false">DAY(M961)</f>
        <v>2</v>
      </c>
      <c r="O961" s="33" t="str">
        <f aca="false">TEXT(M961,"DDDD")</f>
        <v>viernes</v>
      </c>
      <c r="P961" s="6" t="n">
        <f aca="false">MONTH(M961)</f>
        <v>1</v>
      </c>
      <c r="Q961" s="26" t="str">
        <f aca="false">TEXT(M961,"MMMM")</f>
        <v>enero</v>
      </c>
    </row>
    <row r="962" customFormat="false" ht="14.25" hidden="false" customHeight="false" outlineLevel="0" collapsed="false">
      <c r="A962" s="1" t="n">
        <v>12</v>
      </c>
      <c r="B962" s="1" t="s">
        <v>1609</v>
      </c>
      <c r="C962" s="1" t="s">
        <v>20</v>
      </c>
      <c r="D962" s="1" t="s">
        <v>1610</v>
      </c>
      <c r="E962" s="2" t="n">
        <v>450469376</v>
      </c>
      <c r="H962" s="3" t="n">
        <v>2460</v>
      </c>
      <c r="I962" s="1" t="n">
        <v>1500</v>
      </c>
      <c r="J962" s="1" t="n">
        <v>100</v>
      </c>
      <c r="K962" s="1" t="n">
        <v>860</v>
      </c>
      <c r="M962" s="5" t="s">
        <v>1604</v>
      </c>
      <c r="N962" s="33" t="n">
        <f aca="false">DAY(M962)</f>
        <v>2</v>
      </c>
      <c r="O962" s="33" t="str">
        <f aca="false">TEXT(M962,"DDDD")</f>
        <v>viernes</v>
      </c>
      <c r="P962" s="6" t="n">
        <f aca="false">MONTH(M962)</f>
        <v>1</v>
      </c>
      <c r="Q962" s="26" t="str">
        <f aca="false">TEXT(M962,"MMMM")</f>
        <v>enero</v>
      </c>
    </row>
    <row r="963" customFormat="false" ht="14.25" hidden="false" customHeight="false" outlineLevel="0" collapsed="false">
      <c r="A963" s="1" t="n">
        <v>3</v>
      </c>
      <c r="B963" s="1" t="s">
        <v>1611</v>
      </c>
      <c r="C963" s="1" t="s">
        <v>20</v>
      </c>
      <c r="D963" s="1" t="s">
        <v>1033</v>
      </c>
      <c r="E963" s="2" t="n">
        <v>450478545</v>
      </c>
      <c r="H963" s="3" t="n">
        <v>1200</v>
      </c>
      <c r="I963" s="1" t="n">
        <v>1200</v>
      </c>
      <c r="J963" s="1" t="n">
        <v>0</v>
      </c>
      <c r="K963" s="1" t="n">
        <v>0</v>
      </c>
      <c r="M963" s="5" t="s">
        <v>1612</v>
      </c>
      <c r="N963" s="33" t="n">
        <f aca="false">DAY(M963)</f>
        <v>3</v>
      </c>
      <c r="O963" s="33" t="str">
        <f aca="false">TEXT(M963,"DDDD")</f>
        <v>sábado</v>
      </c>
      <c r="P963" s="6" t="n">
        <f aca="false">MONTH(M963)</f>
        <v>1</v>
      </c>
      <c r="Q963" s="26" t="str">
        <f aca="false">TEXT(M963,"MMMM")</f>
        <v>enero</v>
      </c>
      <c r="R963" s="21" t="s">
        <v>1033</v>
      </c>
      <c r="S963" s="1" t="n">
        <v>30802</v>
      </c>
    </row>
    <row r="964" customFormat="false" ht="14.25" hidden="false" customHeight="false" outlineLevel="0" collapsed="false">
      <c r="A964" s="1" t="n">
        <v>3</v>
      </c>
      <c r="B964" s="1" t="s">
        <v>1613</v>
      </c>
      <c r="C964" s="1" t="s">
        <v>38</v>
      </c>
      <c r="D964" s="1" t="s">
        <v>87</v>
      </c>
      <c r="E964" s="2" t="n">
        <v>450478475</v>
      </c>
      <c r="H964" s="3" t="n">
        <v>2160</v>
      </c>
      <c r="I964" s="1" t="n">
        <v>2000</v>
      </c>
      <c r="J964" s="1" t="n">
        <v>0</v>
      </c>
      <c r="K964" s="1" t="n">
        <v>160</v>
      </c>
      <c r="M964" s="5" t="s">
        <v>1612</v>
      </c>
      <c r="N964" s="33" t="n">
        <f aca="false">DAY(M964)</f>
        <v>3</v>
      </c>
      <c r="O964" s="33" t="str">
        <f aca="false">TEXT(M964,"DDDD")</f>
        <v>sábado</v>
      </c>
      <c r="P964" s="6" t="n">
        <f aca="false">MONTH(M964)</f>
        <v>1</v>
      </c>
      <c r="Q964" s="26" t="str">
        <f aca="false">TEXT(M964,"MMMM")</f>
        <v>enero</v>
      </c>
    </row>
    <row r="965" customFormat="false" ht="14.25" hidden="false" customHeight="false" outlineLevel="0" collapsed="false">
      <c r="A965" s="1" t="n">
        <v>3</v>
      </c>
      <c r="B965" s="1" t="s">
        <v>1614</v>
      </c>
      <c r="C965" s="1" t="s">
        <v>20</v>
      </c>
      <c r="D965" s="1" t="s">
        <v>85</v>
      </c>
      <c r="E965" s="2" t="n">
        <v>450478402</v>
      </c>
      <c r="H965" s="3" t="n">
        <v>1200</v>
      </c>
      <c r="I965" s="1" t="n">
        <v>1200</v>
      </c>
      <c r="J965" s="1" t="n">
        <v>0</v>
      </c>
      <c r="K965" s="1" t="n">
        <v>0</v>
      </c>
      <c r="M965" s="5" t="s">
        <v>1612</v>
      </c>
      <c r="N965" s="33" t="n">
        <f aca="false">DAY(M965)</f>
        <v>3</v>
      </c>
      <c r="O965" s="33" t="str">
        <f aca="false">TEXT(M965,"DDDD")</f>
        <v>sábado</v>
      </c>
      <c r="P965" s="6" t="n">
        <f aca="false">MONTH(M965)</f>
        <v>1</v>
      </c>
      <c r="Q965" s="26" t="str">
        <f aca="false">TEXT(M965,"MMMM")</f>
        <v>enero</v>
      </c>
    </row>
    <row r="966" customFormat="false" ht="14.25" hidden="false" customHeight="false" outlineLevel="0" collapsed="false">
      <c r="A966" s="1" t="n">
        <v>3</v>
      </c>
      <c r="B966" s="1" t="s">
        <v>1271</v>
      </c>
      <c r="C966" s="1" t="s">
        <v>38</v>
      </c>
      <c r="D966" s="1" t="s">
        <v>87</v>
      </c>
      <c r="E966" s="2" t="n">
        <v>450478067</v>
      </c>
      <c r="H966" s="3" t="n">
        <v>2180</v>
      </c>
      <c r="I966" s="1" t="n">
        <v>1500</v>
      </c>
      <c r="J966" s="1" t="n">
        <v>0</v>
      </c>
      <c r="K966" s="1" t="n">
        <v>680</v>
      </c>
      <c r="M966" s="5" t="s">
        <v>1612</v>
      </c>
      <c r="N966" s="33" t="n">
        <f aca="false">DAY(M966)</f>
        <v>3</v>
      </c>
      <c r="O966" s="33" t="str">
        <f aca="false">TEXT(M966,"DDDD")</f>
        <v>sábado</v>
      </c>
      <c r="P966" s="6" t="n">
        <f aca="false">MONTH(M966)</f>
        <v>1</v>
      </c>
      <c r="Q966" s="26" t="str">
        <f aca="false">TEXT(M966,"MMMM")</f>
        <v>enero</v>
      </c>
    </row>
    <row r="967" customFormat="false" ht="14.25" hidden="false" customHeight="false" outlineLevel="0" collapsed="false">
      <c r="A967" s="1" t="n">
        <v>2</v>
      </c>
      <c r="B967" s="1" t="s">
        <v>1615</v>
      </c>
      <c r="C967" s="1" t="s">
        <v>20</v>
      </c>
      <c r="D967" s="1" t="s">
        <v>221</v>
      </c>
      <c r="E967" s="2" t="n">
        <v>450477812</v>
      </c>
      <c r="H967" s="3" t="n">
        <v>2340</v>
      </c>
      <c r="I967" s="1" t="n">
        <v>1200</v>
      </c>
      <c r="J967" s="1" t="n">
        <v>0</v>
      </c>
      <c r="K967" s="1" t="n">
        <v>1140</v>
      </c>
      <c r="M967" s="5" t="s">
        <v>1612</v>
      </c>
      <c r="N967" s="33" t="n">
        <f aca="false">DAY(M967)</f>
        <v>3</v>
      </c>
      <c r="O967" s="33" t="str">
        <f aca="false">TEXT(M967,"DDDD")</f>
        <v>sábado</v>
      </c>
      <c r="P967" s="6" t="n">
        <f aca="false">MONTH(M967)</f>
        <v>1</v>
      </c>
      <c r="Q967" s="26" t="str">
        <f aca="false">TEXT(M967,"MMMM")</f>
        <v>enero</v>
      </c>
    </row>
    <row r="968" customFormat="false" ht="14.25" hidden="false" customHeight="false" outlineLevel="0" collapsed="false">
      <c r="A968" s="1" t="n">
        <v>2</v>
      </c>
      <c r="B968" s="1" t="s">
        <v>1616</v>
      </c>
      <c r="C968" s="1" t="s">
        <v>20</v>
      </c>
      <c r="D968" s="1" t="s">
        <v>85</v>
      </c>
      <c r="E968" s="2" t="n">
        <v>450477641</v>
      </c>
      <c r="F968" s="21" t="s">
        <v>85</v>
      </c>
      <c r="G968" s="1" t="n">
        <v>450477724</v>
      </c>
      <c r="H968" s="3" t="n">
        <v>2980</v>
      </c>
      <c r="I968" s="1" t="n">
        <v>1800</v>
      </c>
      <c r="J968" s="1" t="n">
        <v>0</v>
      </c>
      <c r="K968" s="1" t="n">
        <v>1180</v>
      </c>
      <c r="M968" s="5" t="s">
        <v>1612</v>
      </c>
      <c r="N968" s="33" t="n">
        <f aca="false">DAY(M968)</f>
        <v>3</v>
      </c>
      <c r="O968" s="33" t="str">
        <f aca="false">TEXT(M968,"DDDD")</f>
        <v>sábado</v>
      </c>
      <c r="P968" s="6" t="n">
        <f aca="false">MONTH(M968)</f>
        <v>1</v>
      </c>
      <c r="Q968" s="26" t="str">
        <f aca="false">TEXT(M968,"MMMM")</f>
        <v>enero</v>
      </c>
    </row>
    <row r="969" customFormat="false" ht="14.25" hidden="false" customHeight="false" outlineLevel="0" collapsed="false">
      <c r="A969" s="1" t="n">
        <v>2</v>
      </c>
      <c r="B969" s="1" t="s">
        <v>1617</v>
      </c>
      <c r="C969" s="1" t="s">
        <v>20</v>
      </c>
      <c r="D969" s="1" t="s">
        <v>1618</v>
      </c>
      <c r="E969" s="2" t="n">
        <v>450477550</v>
      </c>
      <c r="H969" s="3" t="n">
        <v>1350</v>
      </c>
      <c r="I969" s="1" t="n">
        <v>1350</v>
      </c>
      <c r="J969" s="1" t="n">
        <v>0</v>
      </c>
      <c r="K969" s="1" t="n">
        <v>0</v>
      </c>
      <c r="M969" s="5" t="s">
        <v>1612</v>
      </c>
      <c r="N969" s="33" t="n">
        <f aca="false">DAY(M969)</f>
        <v>3</v>
      </c>
      <c r="O969" s="33" t="str">
        <f aca="false">TEXT(M969,"DDDD")</f>
        <v>sábado</v>
      </c>
      <c r="P969" s="6" t="n">
        <f aca="false">MONTH(M969)</f>
        <v>1</v>
      </c>
      <c r="Q969" s="26" t="str">
        <f aca="false">TEXT(M969,"MMMM")</f>
        <v>enero</v>
      </c>
    </row>
    <row r="970" customFormat="false" ht="14.25" hidden="false" customHeight="false" outlineLevel="0" collapsed="false">
      <c r="A970" s="1" t="n">
        <v>1</v>
      </c>
      <c r="B970" s="1" t="s">
        <v>1563</v>
      </c>
      <c r="C970" s="1" t="s">
        <v>38</v>
      </c>
      <c r="D970" s="1" t="s">
        <v>1438</v>
      </c>
      <c r="E970" s="2" t="n">
        <v>450476067</v>
      </c>
      <c r="H970" s="3" t="n">
        <v>1201</v>
      </c>
      <c r="I970" s="1" t="n">
        <v>1200</v>
      </c>
      <c r="J970" s="1" t="n">
        <v>0</v>
      </c>
      <c r="K970" s="1" t="n">
        <v>1</v>
      </c>
      <c r="M970" s="5" t="s">
        <v>1612</v>
      </c>
      <c r="N970" s="33" t="n">
        <f aca="false">DAY(M970)</f>
        <v>3</v>
      </c>
      <c r="O970" s="33" t="str">
        <f aca="false">TEXT(M970,"DDDD")</f>
        <v>sábado</v>
      </c>
      <c r="P970" s="6" t="n">
        <f aca="false">MONTH(M970)</f>
        <v>1</v>
      </c>
      <c r="Q970" s="26" t="str">
        <f aca="false">TEXT(M970,"MMMM")</f>
        <v>enero</v>
      </c>
    </row>
    <row r="971" customFormat="false" ht="14.25" hidden="false" customHeight="false" outlineLevel="0" collapsed="false">
      <c r="A971" s="1" t="n">
        <v>1</v>
      </c>
      <c r="B971" s="1" t="s">
        <v>1619</v>
      </c>
      <c r="C971" s="1" t="s">
        <v>20</v>
      </c>
      <c r="D971" s="1" t="s">
        <v>103</v>
      </c>
      <c r="E971" s="2" t="n">
        <v>450474963</v>
      </c>
      <c r="F971" s="21" t="s">
        <v>103</v>
      </c>
      <c r="G971" s="1" t="n">
        <v>450475097</v>
      </c>
      <c r="H971" s="3" t="n">
        <v>3120</v>
      </c>
      <c r="I971" s="1" t="n">
        <v>1800</v>
      </c>
      <c r="J971" s="1" t="n">
        <v>0</v>
      </c>
      <c r="K971" s="1" t="n">
        <v>1320</v>
      </c>
      <c r="M971" s="5" t="s">
        <v>1612</v>
      </c>
      <c r="N971" s="33" t="n">
        <f aca="false">DAY(M971)</f>
        <v>3</v>
      </c>
      <c r="O971" s="33" t="str">
        <f aca="false">TEXT(M971,"DDDD")</f>
        <v>sábado</v>
      </c>
      <c r="P971" s="6" t="n">
        <f aca="false">MONTH(M971)</f>
        <v>1</v>
      </c>
      <c r="Q971" s="26" t="str">
        <f aca="false">TEXT(M971,"MMMM")</f>
        <v>enero</v>
      </c>
    </row>
    <row r="972" customFormat="false" ht="14.25" hidden="false" customHeight="false" outlineLevel="0" collapsed="false">
      <c r="A972" s="1" t="n">
        <v>1</v>
      </c>
      <c r="B972" s="1" t="s">
        <v>1620</v>
      </c>
      <c r="C972" s="1" t="s">
        <v>20</v>
      </c>
      <c r="D972" s="1" t="s">
        <v>47</v>
      </c>
      <c r="E972" s="2" t="n">
        <v>450473836</v>
      </c>
      <c r="H972" s="3" t="n">
        <v>1200</v>
      </c>
      <c r="I972" s="1" t="n">
        <v>1200</v>
      </c>
      <c r="J972" s="1" t="n">
        <v>0</v>
      </c>
      <c r="K972" s="1" t="n">
        <v>0</v>
      </c>
      <c r="M972" s="5" t="s">
        <v>1612</v>
      </c>
      <c r="N972" s="33" t="n">
        <f aca="false">DAY(M972)</f>
        <v>3</v>
      </c>
      <c r="O972" s="33" t="str">
        <f aca="false">TEXT(M972,"DDDD")</f>
        <v>sábado</v>
      </c>
      <c r="P972" s="6" t="n">
        <f aca="false">MONTH(M972)</f>
        <v>1</v>
      </c>
      <c r="Q972" s="26" t="str">
        <f aca="false">TEXT(M972,"MMMM")</f>
        <v>enero</v>
      </c>
      <c r="R972" s="21" t="s">
        <v>47</v>
      </c>
      <c r="S972" s="1" t="n">
        <v>21980</v>
      </c>
    </row>
    <row r="973" customFormat="false" ht="14.25" hidden="false" customHeight="false" outlineLevel="0" collapsed="false">
      <c r="A973" s="1" t="n">
        <v>12</v>
      </c>
      <c r="B973" s="1" t="s">
        <v>1621</v>
      </c>
      <c r="C973" s="1" t="s">
        <v>20</v>
      </c>
      <c r="D973" s="1" t="s">
        <v>198</v>
      </c>
      <c r="E973" s="2" t="n">
        <v>450664738</v>
      </c>
      <c r="F973" s="21" t="s">
        <v>1622</v>
      </c>
      <c r="G973" s="1" t="n">
        <v>450665463</v>
      </c>
      <c r="H973" s="3" t="n">
        <v>4080</v>
      </c>
      <c r="I973" s="1" t="n">
        <v>1800</v>
      </c>
      <c r="J973" s="1" t="n">
        <v>200</v>
      </c>
      <c r="K973" s="1" t="n">
        <v>2080</v>
      </c>
      <c r="M973" s="5" t="s">
        <v>1623</v>
      </c>
      <c r="N973" s="33" t="n">
        <f aca="false">DAY(M973)</f>
        <v>4</v>
      </c>
      <c r="O973" s="33" t="str">
        <f aca="false">TEXT(M973,"DDDD")</f>
        <v>domingo</v>
      </c>
      <c r="P973" s="6" t="n">
        <f aca="false">MONTH(M973)</f>
        <v>1</v>
      </c>
      <c r="Q973" s="26" t="str">
        <f aca="false">TEXT(M973,"MMMM")</f>
        <v>enero</v>
      </c>
    </row>
    <row r="974" customFormat="false" ht="14.25" hidden="false" customHeight="false" outlineLevel="0" collapsed="false">
      <c r="A974" s="1" t="n">
        <v>11</v>
      </c>
      <c r="B974" s="1" t="s">
        <v>1624</v>
      </c>
      <c r="C974" s="1" t="s">
        <v>20</v>
      </c>
      <c r="D974" s="1" t="s">
        <v>1625</v>
      </c>
      <c r="E974" s="2" t="n">
        <v>450637049</v>
      </c>
      <c r="H974" s="3" t="n">
        <v>2670</v>
      </c>
      <c r="I974" s="1" t="n">
        <v>1250</v>
      </c>
      <c r="J974" s="1" t="n">
        <v>100</v>
      </c>
      <c r="K974" s="1" t="n">
        <v>1320</v>
      </c>
      <c r="M974" s="5" t="s">
        <v>1623</v>
      </c>
      <c r="N974" s="33" t="n">
        <f aca="false">DAY(M974)</f>
        <v>4</v>
      </c>
      <c r="O974" s="33" t="str">
        <f aca="false">TEXT(M974,"DDDD")</f>
        <v>domingo</v>
      </c>
      <c r="P974" s="6" t="n">
        <f aca="false">MONTH(M974)</f>
        <v>1</v>
      </c>
      <c r="Q974" s="26" t="str">
        <f aca="false">TEXT(M974,"MMMM")</f>
        <v>enero</v>
      </c>
    </row>
    <row r="975" customFormat="false" ht="14.25" hidden="false" customHeight="false" outlineLevel="0" collapsed="false">
      <c r="A975" s="1" t="n">
        <v>11</v>
      </c>
      <c r="B975" s="1" t="s">
        <v>1626</v>
      </c>
      <c r="C975" s="1" t="s">
        <v>38</v>
      </c>
      <c r="D975" s="1" t="s">
        <v>1627</v>
      </c>
      <c r="E975" s="2" t="n">
        <v>450624899</v>
      </c>
      <c r="H975" s="3" t="n">
        <v>5000</v>
      </c>
      <c r="I975" s="1" t="n">
        <v>5000</v>
      </c>
      <c r="J975" s="1" t="n">
        <v>0</v>
      </c>
      <c r="K975" s="1" t="n">
        <v>0</v>
      </c>
      <c r="M975" s="5" t="s">
        <v>1623</v>
      </c>
      <c r="N975" s="33" t="n">
        <f aca="false">DAY(M975)</f>
        <v>4</v>
      </c>
      <c r="O975" s="33" t="str">
        <f aca="false">TEXT(M975,"DDDD")</f>
        <v>domingo</v>
      </c>
      <c r="P975" s="6" t="n">
        <f aca="false">MONTH(M975)</f>
        <v>1</v>
      </c>
      <c r="Q975" s="26" t="str">
        <f aca="false">TEXT(M975,"MMMM")</f>
        <v>enero</v>
      </c>
    </row>
    <row r="976" customFormat="false" ht="14.25" hidden="false" customHeight="false" outlineLevel="0" collapsed="false">
      <c r="A976" s="1" t="n">
        <v>10</v>
      </c>
      <c r="B976" s="1" t="s">
        <v>1628</v>
      </c>
      <c r="C976" s="1" t="s">
        <v>20</v>
      </c>
      <c r="D976" s="1" t="s">
        <v>1629</v>
      </c>
      <c r="E976" s="2" t="n">
        <v>450619589</v>
      </c>
      <c r="H976" s="3" t="n">
        <v>2710</v>
      </c>
      <c r="I976" s="1" t="n">
        <v>1350</v>
      </c>
      <c r="J976" s="1" t="n">
        <v>0</v>
      </c>
      <c r="K976" s="1" t="n">
        <v>1360</v>
      </c>
      <c r="M976" s="5" t="s">
        <v>1623</v>
      </c>
      <c r="N976" s="33" t="n">
        <f aca="false">DAY(M976)</f>
        <v>4</v>
      </c>
      <c r="O976" s="33" t="str">
        <f aca="false">TEXT(M976,"DDDD")</f>
        <v>domingo</v>
      </c>
      <c r="P976" s="6" t="n">
        <f aca="false">MONTH(M976)</f>
        <v>1</v>
      </c>
      <c r="Q976" s="26" t="str">
        <f aca="false">TEXT(M976,"MMMM")</f>
        <v>enero</v>
      </c>
    </row>
    <row r="977" customFormat="false" ht="14.25" hidden="false" customHeight="false" outlineLevel="0" collapsed="false">
      <c r="A977" s="1" t="n">
        <v>11</v>
      </c>
      <c r="B977" s="1" t="s">
        <v>1630</v>
      </c>
      <c r="C977" s="1" t="s">
        <v>20</v>
      </c>
      <c r="D977" s="1" t="s">
        <v>82</v>
      </c>
      <c r="E977" s="2" t="n">
        <v>450757461</v>
      </c>
      <c r="H977" s="3" t="n">
        <v>2100</v>
      </c>
      <c r="I977" s="1" t="n">
        <v>1200</v>
      </c>
      <c r="J977" s="1" t="n">
        <v>0</v>
      </c>
      <c r="K977" s="1" t="n">
        <v>900</v>
      </c>
      <c r="M977" s="5" t="s">
        <v>1631</v>
      </c>
      <c r="N977" s="33" t="n">
        <f aca="false">DAY(M977)</f>
        <v>5</v>
      </c>
      <c r="O977" s="33" t="str">
        <f aca="false">TEXT(M977,"DDDD")</f>
        <v>lunes</v>
      </c>
      <c r="P977" s="6" t="n">
        <f aca="false">MONTH(M977)</f>
        <v>1</v>
      </c>
      <c r="Q977" s="26" t="str">
        <f aca="false">TEXT(M977,"MMMM")</f>
        <v>enero</v>
      </c>
    </row>
    <row r="978" customFormat="false" ht="14.25" hidden="false" customHeight="false" outlineLevel="0" collapsed="false">
      <c r="A978" s="1" t="n">
        <v>11</v>
      </c>
      <c r="B978" s="1" t="s">
        <v>1632</v>
      </c>
      <c r="C978" s="1" t="s">
        <v>20</v>
      </c>
      <c r="D978" s="1" t="s">
        <v>1629</v>
      </c>
      <c r="E978" s="2" t="n">
        <v>450754229</v>
      </c>
      <c r="H978" s="3" t="n">
        <v>1200</v>
      </c>
      <c r="I978" s="1" t="n">
        <v>1200</v>
      </c>
      <c r="J978" s="1" t="n">
        <v>0</v>
      </c>
      <c r="K978" s="1" t="n">
        <v>0</v>
      </c>
      <c r="M978" s="5" t="s">
        <v>1631</v>
      </c>
      <c r="N978" s="33" t="n">
        <f aca="false">DAY(M978)</f>
        <v>5</v>
      </c>
      <c r="O978" s="33" t="str">
        <f aca="false">TEXT(M978,"DDDD")</f>
        <v>lunes</v>
      </c>
      <c r="P978" s="6" t="n">
        <f aca="false">MONTH(M978)</f>
        <v>1</v>
      </c>
      <c r="Q978" s="26" t="str">
        <f aca="false">TEXT(M978,"MMMM")</f>
        <v>enero</v>
      </c>
    </row>
    <row r="979" customFormat="false" ht="14.25" hidden="false" customHeight="false" outlineLevel="0" collapsed="false">
      <c r="A979" s="1" t="n">
        <v>11</v>
      </c>
      <c r="B979" s="1" t="s">
        <v>1633</v>
      </c>
      <c r="C979" s="1" t="s">
        <v>20</v>
      </c>
      <c r="D979" s="1" t="s">
        <v>1634</v>
      </c>
      <c r="E979" s="2" t="n">
        <v>450751640</v>
      </c>
      <c r="H979" s="3" t="n">
        <v>1980</v>
      </c>
      <c r="I979" s="1" t="n">
        <v>1200</v>
      </c>
      <c r="J979" s="1" t="n">
        <v>0</v>
      </c>
      <c r="K979" s="1" t="n">
        <v>780</v>
      </c>
      <c r="M979" s="5" t="s">
        <v>1631</v>
      </c>
      <c r="N979" s="33" t="n">
        <f aca="false">DAY(M979)</f>
        <v>5</v>
      </c>
      <c r="O979" s="33" t="str">
        <f aca="false">TEXT(M979,"DDDD")</f>
        <v>lunes</v>
      </c>
      <c r="P979" s="6" t="n">
        <f aca="false">MONTH(M979)</f>
        <v>1</v>
      </c>
      <c r="Q979" s="26" t="str">
        <f aca="false">TEXT(M979,"MMMM")</f>
        <v>enero</v>
      </c>
    </row>
    <row r="980" customFormat="false" ht="14.25" hidden="false" customHeight="false" outlineLevel="0" collapsed="false">
      <c r="A980" s="1" t="n">
        <v>11</v>
      </c>
      <c r="B980" s="1" t="s">
        <v>1635</v>
      </c>
      <c r="C980" s="1" t="s">
        <v>20</v>
      </c>
      <c r="D980" s="1" t="s">
        <v>198</v>
      </c>
      <c r="E980" s="2" t="n">
        <v>450746578</v>
      </c>
      <c r="F980" s="21" t="s">
        <v>1569</v>
      </c>
      <c r="G980" s="1" t="n">
        <v>450746488</v>
      </c>
      <c r="H980" s="3" t="n">
        <v>5840</v>
      </c>
      <c r="I980" s="1" t="n">
        <v>1800</v>
      </c>
      <c r="J980" s="1" t="n">
        <v>0</v>
      </c>
      <c r="K980" s="1" t="n">
        <v>4040</v>
      </c>
      <c r="M980" s="5" t="s">
        <v>1631</v>
      </c>
      <c r="N980" s="33" t="n">
        <f aca="false">DAY(M980)</f>
        <v>5</v>
      </c>
      <c r="O980" s="33" t="str">
        <f aca="false">TEXT(M980,"DDDD")</f>
        <v>lunes</v>
      </c>
      <c r="P980" s="6" t="n">
        <f aca="false">MONTH(M980)</f>
        <v>1</v>
      </c>
      <c r="Q980" s="26" t="str">
        <f aca="false">TEXT(M980,"MMMM")</f>
        <v>enero</v>
      </c>
    </row>
    <row r="981" customFormat="false" ht="14.25" hidden="false" customHeight="false" outlineLevel="0" collapsed="false">
      <c r="A981" s="1" t="n">
        <v>11</v>
      </c>
      <c r="B981" s="1" t="s">
        <v>1636</v>
      </c>
      <c r="C981" s="1" t="s">
        <v>38</v>
      </c>
      <c r="D981" s="1" t="s">
        <v>1637</v>
      </c>
      <c r="E981" s="2" t="n">
        <v>450745172</v>
      </c>
      <c r="H981" s="3" t="n">
        <v>1200</v>
      </c>
      <c r="I981" s="1" t="n">
        <v>1200</v>
      </c>
      <c r="J981" s="1" t="n">
        <v>0</v>
      </c>
      <c r="K981" s="1" t="n">
        <v>0</v>
      </c>
      <c r="M981" s="5" t="s">
        <v>1631</v>
      </c>
      <c r="N981" s="33" t="n">
        <f aca="false">DAY(M981)</f>
        <v>5</v>
      </c>
      <c r="O981" s="33" t="str">
        <f aca="false">TEXT(M981,"DDDD")</f>
        <v>lunes</v>
      </c>
      <c r="P981" s="6" t="n">
        <f aca="false">MONTH(M981)</f>
        <v>1</v>
      </c>
      <c r="Q981" s="26" t="str">
        <f aca="false">TEXT(M981,"MMMM")</f>
        <v>enero</v>
      </c>
    </row>
    <row r="982" customFormat="false" ht="14.25" hidden="false" customHeight="false" outlineLevel="0" collapsed="false">
      <c r="A982" s="1" t="n">
        <v>10</v>
      </c>
      <c r="B982" s="1" t="s">
        <v>1638</v>
      </c>
      <c r="C982" s="1" t="s">
        <v>20</v>
      </c>
      <c r="D982" s="1" t="s">
        <v>1639</v>
      </c>
      <c r="E982" s="2" t="n">
        <v>450735171</v>
      </c>
      <c r="H982" s="3" t="n">
        <v>2850</v>
      </c>
      <c r="I982" s="1" t="n">
        <v>1250</v>
      </c>
      <c r="J982" s="1" t="n">
        <v>0</v>
      </c>
      <c r="K982" s="1" t="n">
        <v>1600</v>
      </c>
      <c r="M982" s="5" t="s">
        <v>1631</v>
      </c>
      <c r="N982" s="33" t="n">
        <f aca="false">DAY(M982)</f>
        <v>5</v>
      </c>
      <c r="O982" s="33" t="str">
        <f aca="false">TEXT(M982,"DDDD")</f>
        <v>lunes</v>
      </c>
      <c r="P982" s="6" t="n">
        <f aca="false">MONTH(M982)</f>
        <v>1</v>
      </c>
      <c r="Q982" s="26" t="str">
        <f aca="false">TEXT(M982,"MMMM")</f>
        <v>enero</v>
      </c>
    </row>
    <row r="983" customFormat="false" ht="14.25" hidden="false" customHeight="false" outlineLevel="0" collapsed="false">
      <c r="A983" s="1" t="n">
        <v>10</v>
      </c>
      <c r="B983" s="1" t="s">
        <v>1640</v>
      </c>
      <c r="C983" s="1" t="s">
        <v>20</v>
      </c>
      <c r="D983" s="1" t="s">
        <v>1641</v>
      </c>
      <c r="E983" s="2" t="n">
        <v>450732745</v>
      </c>
      <c r="F983" s="21" t="s">
        <v>523</v>
      </c>
      <c r="G983" s="1" t="n">
        <v>450730909</v>
      </c>
      <c r="H983" s="3" t="n">
        <v>2580</v>
      </c>
      <c r="I983" s="1" t="n">
        <v>1800</v>
      </c>
      <c r="J983" s="1" t="n">
        <v>0</v>
      </c>
      <c r="K983" s="1" t="n">
        <v>780</v>
      </c>
      <c r="M983" s="5" t="s">
        <v>1631</v>
      </c>
      <c r="N983" s="33" t="n">
        <f aca="false">DAY(M983)</f>
        <v>5</v>
      </c>
      <c r="O983" s="33" t="str">
        <f aca="false">TEXT(M983,"DDDD")</f>
        <v>lunes</v>
      </c>
      <c r="P983" s="6" t="n">
        <f aca="false">MONTH(M983)</f>
        <v>1</v>
      </c>
      <c r="Q983" s="26" t="str">
        <f aca="false">TEXT(M983,"MMMM")</f>
        <v>enero</v>
      </c>
      <c r="R983" s="21" t="s">
        <v>1641</v>
      </c>
      <c r="S983" s="1" t="n">
        <v>27432</v>
      </c>
    </row>
    <row r="984" customFormat="false" ht="14.25" hidden="false" customHeight="false" outlineLevel="0" collapsed="false">
      <c r="A984" s="1" t="n">
        <v>10</v>
      </c>
      <c r="B984" s="1" t="s">
        <v>1642</v>
      </c>
      <c r="C984" s="1" t="s">
        <v>38</v>
      </c>
      <c r="D984" s="1" t="s">
        <v>392</v>
      </c>
      <c r="E984" s="2" t="n">
        <v>450724496</v>
      </c>
      <c r="F984" s="21" t="s">
        <v>392</v>
      </c>
      <c r="G984" s="1" t="n">
        <v>450726226</v>
      </c>
      <c r="H984" s="3" t="n">
        <v>7260</v>
      </c>
      <c r="I984" s="1" t="n">
        <v>5500</v>
      </c>
      <c r="J984" s="1" t="n">
        <v>0</v>
      </c>
      <c r="K984" s="1" t="n">
        <v>1760</v>
      </c>
      <c r="M984" s="5" t="s">
        <v>1631</v>
      </c>
      <c r="N984" s="33" t="n">
        <f aca="false">DAY(M984)</f>
        <v>5</v>
      </c>
      <c r="O984" s="33" t="str">
        <f aca="false">TEXT(M984,"DDDD")</f>
        <v>lunes</v>
      </c>
      <c r="P984" s="6" t="n">
        <f aca="false">MONTH(M984)</f>
        <v>1</v>
      </c>
      <c r="Q984" s="26" t="str">
        <f aca="false">TEXT(M984,"MMMM")</f>
        <v>enero</v>
      </c>
    </row>
    <row r="985" customFormat="false" ht="14.25" hidden="false" customHeight="false" outlineLevel="0" collapsed="false">
      <c r="A985" s="1" t="n">
        <v>3</v>
      </c>
      <c r="B985" s="1" t="s">
        <v>1643</v>
      </c>
      <c r="C985" s="1" t="s">
        <v>20</v>
      </c>
      <c r="D985" s="1" t="s">
        <v>482</v>
      </c>
      <c r="E985" s="2" t="n">
        <v>450765739</v>
      </c>
      <c r="H985" s="3" t="n">
        <v>1200</v>
      </c>
      <c r="I985" s="1" t="n">
        <v>1200</v>
      </c>
      <c r="J985" s="1" t="n">
        <v>0</v>
      </c>
      <c r="K985" s="1" t="n">
        <v>0</v>
      </c>
      <c r="M985" s="5" t="n">
        <v>46028</v>
      </c>
      <c r="N985" s="33" t="n">
        <f aca="false">DAY(M985)</f>
        <v>6</v>
      </c>
      <c r="O985" s="33" t="str">
        <f aca="false">TEXT(M985,"DDDD")</f>
        <v>martes</v>
      </c>
      <c r="P985" s="6" t="n">
        <f aca="false">MONTH(M985)</f>
        <v>1</v>
      </c>
      <c r="Q985" s="26" t="str">
        <f aca="false">TEXT(M985,"MMMM")</f>
        <v>enero</v>
      </c>
      <c r="R985" s="21" t="s">
        <v>482</v>
      </c>
      <c r="S985" s="1" t="n">
        <v>9339</v>
      </c>
    </row>
    <row r="986" customFormat="false" ht="14.25" hidden="false" customHeight="false" outlineLevel="0" collapsed="false">
      <c r="A986" s="1" t="n">
        <v>3</v>
      </c>
      <c r="B986" s="1" t="s">
        <v>1644</v>
      </c>
      <c r="C986" s="1" t="s">
        <v>38</v>
      </c>
      <c r="D986" s="1" t="s">
        <v>1645</v>
      </c>
      <c r="E986" s="2" t="n">
        <v>450765702</v>
      </c>
      <c r="H986" s="3" t="n">
        <v>2380</v>
      </c>
      <c r="I986" s="1" t="n">
        <v>1200</v>
      </c>
      <c r="J986" s="1" t="n">
        <v>0</v>
      </c>
      <c r="K986" s="1" t="n">
        <v>1180</v>
      </c>
      <c r="M986" s="5" t="n">
        <v>46028</v>
      </c>
      <c r="N986" s="33" t="n">
        <f aca="false">DAY(M986)</f>
        <v>6</v>
      </c>
      <c r="O986" s="33" t="str">
        <f aca="false">TEXT(M986,"DDDD")</f>
        <v>martes</v>
      </c>
      <c r="P986" s="6" t="n">
        <f aca="false">MONTH(M986)</f>
        <v>1</v>
      </c>
      <c r="Q986" s="26" t="str">
        <f aca="false">TEXT(M986,"MMMM")</f>
        <v>enero</v>
      </c>
    </row>
    <row r="987" customFormat="false" ht="14.25" hidden="false" customHeight="false" outlineLevel="0" collapsed="false">
      <c r="A987" s="1" t="n">
        <v>3</v>
      </c>
      <c r="B987" s="1" t="s">
        <v>1646</v>
      </c>
      <c r="C987" s="1" t="s">
        <v>20</v>
      </c>
      <c r="D987" s="1" t="s">
        <v>1647</v>
      </c>
      <c r="E987" s="2" t="n">
        <v>450765577</v>
      </c>
      <c r="H987" s="3" t="n">
        <v>2510</v>
      </c>
      <c r="I987" s="1" t="n">
        <v>1850</v>
      </c>
      <c r="J987" s="1" t="n">
        <v>0</v>
      </c>
      <c r="K987" s="1" t="n">
        <v>660</v>
      </c>
      <c r="M987" s="5" t="n">
        <v>46028</v>
      </c>
      <c r="N987" s="33" t="n">
        <f aca="false">DAY(M987)</f>
        <v>6</v>
      </c>
      <c r="O987" s="33" t="str">
        <f aca="false">TEXT(M987,"DDDD")</f>
        <v>martes</v>
      </c>
      <c r="P987" s="6" t="n">
        <f aca="false">MONTH(M987)</f>
        <v>1</v>
      </c>
      <c r="Q987" s="26" t="str">
        <f aca="false">TEXT(M987,"MMMM")</f>
        <v>enero</v>
      </c>
    </row>
    <row r="988" customFormat="false" ht="14.25" hidden="false" customHeight="false" outlineLevel="0" collapsed="false">
      <c r="A988" s="1" t="n">
        <v>3</v>
      </c>
      <c r="B988" s="1" t="s">
        <v>1648</v>
      </c>
      <c r="C988" s="1" t="s">
        <v>20</v>
      </c>
      <c r="D988" s="1" t="s">
        <v>482</v>
      </c>
      <c r="E988" s="2" t="n">
        <v>450765467</v>
      </c>
      <c r="F988" s="21" t="s">
        <v>1455</v>
      </c>
      <c r="G988" s="1" t="n">
        <v>450765523</v>
      </c>
      <c r="H988" s="3" t="n">
        <v>2800</v>
      </c>
      <c r="I988" s="1" t="n">
        <v>1800</v>
      </c>
      <c r="J988" s="1" t="n">
        <v>0</v>
      </c>
      <c r="K988" s="1" t="n">
        <v>1000</v>
      </c>
      <c r="M988" s="5" t="n">
        <v>46028</v>
      </c>
      <c r="N988" s="33" t="n">
        <f aca="false">DAY(M988)</f>
        <v>6</v>
      </c>
      <c r="O988" s="33" t="str">
        <f aca="false">TEXT(M988,"DDDD")</f>
        <v>martes</v>
      </c>
      <c r="P988" s="6" t="n">
        <f aca="false">MONTH(M988)</f>
        <v>1</v>
      </c>
      <c r="Q988" s="26" t="str">
        <f aca="false">TEXT(M988,"MMMM")</f>
        <v>enero</v>
      </c>
    </row>
    <row r="989" customFormat="false" ht="14.25" hidden="false" customHeight="false" outlineLevel="0" collapsed="false">
      <c r="A989" s="1" t="n">
        <v>2</v>
      </c>
      <c r="B989" s="1" t="s">
        <v>1649</v>
      </c>
      <c r="C989" s="1" t="s">
        <v>20</v>
      </c>
      <c r="D989" s="1" t="s">
        <v>484</v>
      </c>
      <c r="E989" s="2" t="n">
        <v>450764911</v>
      </c>
      <c r="H989" s="3" t="n">
        <v>4000</v>
      </c>
      <c r="I989" s="1" t="n">
        <v>1200</v>
      </c>
      <c r="J989" s="1" t="n">
        <v>0</v>
      </c>
      <c r="K989" s="1" t="n">
        <v>2800</v>
      </c>
      <c r="M989" s="5" t="n">
        <v>46028</v>
      </c>
      <c r="N989" s="33" t="n">
        <f aca="false">DAY(M989)</f>
        <v>6</v>
      </c>
      <c r="O989" s="33" t="str">
        <f aca="false">TEXT(M989,"DDDD")</f>
        <v>martes</v>
      </c>
      <c r="P989" s="6" t="n">
        <f aca="false">MONTH(M989)</f>
        <v>1</v>
      </c>
      <c r="Q989" s="26" t="str">
        <f aca="false">TEXT(M989,"MMMM")</f>
        <v>enero</v>
      </c>
    </row>
    <row r="990" customFormat="false" ht="14.25" hidden="false" customHeight="false" outlineLevel="0" collapsed="false">
      <c r="A990" s="1" t="n">
        <v>2</v>
      </c>
      <c r="B990" s="1" t="s">
        <v>1650</v>
      </c>
      <c r="C990" s="1" t="s">
        <v>20</v>
      </c>
      <c r="D990" s="1" t="s">
        <v>491</v>
      </c>
      <c r="E990" s="2" t="n">
        <v>450764710</v>
      </c>
      <c r="H990" s="3" t="n">
        <v>2680</v>
      </c>
      <c r="I990" s="1" t="n">
        <v>2400</v>
      </c>
      <c r="J990" s="1" t="n">
        <v>0</v>
      </c>
      <c r="K990" s="1" t="n">
        <v>280</v>
      </c>
      <c r="M990" s="5" t="n">
        <v>46028</v>
      </c>
      <c r="N990" s="33" t="n">
        <f aca="false">DAY(M990)</f>
        <v>6</v>
      </c>
      <c r="O990" s="33" t="str">
        <f aca="false">TEXT(M990,"DDDD")</f>
        <v>martes</v>
      </c>
      <c r="P990" s="6" t="n">
        <f aca="false">MONTH(M990)</f>
        <v>1</v>
      </c>
      <c r="Q990" s="26" t="str">
        <f aca="false">TEXT(M990,"MMMM")</f>
        <v>enero</v>
      </c>
      <c r="R990" s="21" t="s">
        <v>491</v>
      </c>
      <c r="S990" s="1" t="n">
        <v>7770</v>
      </c>
    </row>
    <row r="991" customFormat="false" ht="14.25" hidden="false" customHeight="false" outlineLevel="0" collapsed="false">
      <c r="A991" s="1" t="n">
        <v>1</v>
      </c>
      <c r="B991" s="1" t="s">
        <v>1563</v>
      </c>
      <c r="C991" s="1" t="s">
        <v>20</v>
      </c>
      <c r="D991" s="1" t="s">
        <v>755</v>
      </c>
      <c r="E991" s="2" t="n">
        <v>450764388</v>
      </c>
      <c r="H991" s="3" t="n">
        <v>3260</v>
      </c>
      <c r="I991" s="1" t="n">
        <v>1200</v>
      </c>
      <c r="J991" s="1" t="n">
        <v>0</v>
      </c>
      <c r="K991" s="1" t="n">
        <v>2060</v>
      </c>
      <c r="M991" s="5" t="n">
        <v>46028</v>
      </c>
      <c r="N991" s="33" t="n">
        <f aca="false">DAY(M991)</f>
        <v>6</v>
      </c>
      <c r="O991" s="33" t="str">
        <f aca="false">TEXT(M991,"DDDD")</f>
        <v>martes</v>
      </c>
      <c r="P991" s="6" t="n">
        <f aca="false">MONTH(M991)</f>
        <v>1</v>
      </c>
      <c r="Q991" s="26" t="str">
        <f aca="false">TEXT(M991,"MMMM")</f>
        <v>enero</v>
      </c>
    </row>
    <row r="992" customFormat="false" ht="14.25" hidden="false" customHeight="false" outlineLevel="0" collapsed="false">
      <c r="A992" s="1" t="n">
        <v>1</v>
      </c>
      <c r="B992" s="1" t="s">
        <v>1651</v>
      </c>
      <c r="C992" s="1" t="s">
        <v>20</v>
      </c>
      <c r="D992" s="1" t="s">
        <v>47</v>
      </c>
      <c r="E992" s="2" t="n">
        <v>450764195</v>
      </c>
      <c r="H992" s="3" t="n">
        <v>1200</v>
      </c>
      <c r="I992" s="1" t="n">
        <v>1200</v>
      </c>
      <c r="J992" s="1" t="n">
        <v>0</v>
      </c>
      <c r="K992" s="1" t="n">
        <v>0</v>
      </c>
      <c r="M992" s="5" t="n">
        <v>46028</v>
      </c>
      <c r="N992" s="33" t="n">
        <f aca="false">DAY(M992)</f>
        <v>6</v>
      </c>
      <c r="O992" s="33" t="str">
        <f aca="false">TEXT(M992,"DDDD")</f>
        <v>martes</v>
      </c>
      <c r="P992" s="6" t="n">
        <f aca="false">MONTH(M992)</f>
        <v>1</v>
      </c>
      <c r="Q992" s="26" t="str">
        <f aca="false">TEXT(M992,"MMMM")</f>
        <v>enero</v>
      </c>
    </row>
    <row r="993" customFormat="false" ht="14.25" hidden="false" customHeight="false" outlineLevel="0" collapsed="false">
      <c r="A993" s="1" t="n">
        <v>1</v>
      </c>
      <c r="B993" s="1" t="s">
        <v>1652</v>
      </c>
      <c r="C993" s="1" t="s">
        <v>20</v>
      </c>
      <c r="D993" s="1" t="s">
        <v>82</v>
      </c>
      <c r="E993" s="2" t="n">
        <v>450763676</v>
      </c>
      <c r="H993" s="3" t="n">
        <v>1200</v>
      </c>
      <c r="I993" s="1" t="n">
        <v>1200</v>
      </c>
      <c r="J993" s="1" t="n">
        <v>0</v>
      </c>
      <c r="K993" s="1" t="n">
        <v>0</v>
      </c>
      <c r="M993" s="5" t="n">
        <v>46028</v>
      </c>
      <c r="N993" s="33" t="n">
        <f aca="false">DAY(M993)</f>
        <v>6</v>
      </c>
      <c r="O993" s="33" t="str">
        <f aca="false">TEXT(M993,"DDDD")</f>
        <v>martes</v>
      </c>
      <c r="P993" s="6" t="n">
        <f aca="false">MONTH(M993)</f>
        <v>1</v>
      </c>
      <c r="Q993" s="26" t="str">
        <f aca="false">TEXT(M993,"MMMM")</f>
        <v>enero</v>
      </c>
    </row>
    <row r="994" customFormat="false" ht="14.25" hidden="false" customHeight="false" outlineLevel="0" collapsed="false">
      <c r="A994" s="1" t="n">
        <v>1</v>
      </c>
      <c r="B994" s="1" t="s">
        <v>1620</v>
      </c>
      <c r="C994" s="1" t="s">
        <v>20</v>
      </c>
      <c r="D994" s="1" t="s">
        <v>82</v>
      </c>
      <c r="E994" s="2" t="n">
        <v>450762211</v>
      </c>
      <c r="F994" s="21" t="s">
        <v>82</v>
      </c>
      <c r="G994" s="1" t="n">
        <v>450762285</v>
      </c>
      <c r="H994" s="3" t="n">
        <v>4640</v>
      </c>
      <c r="I994" s="1" t="n">
        <v>1800</v>
      </c>
      <c r="J994" s="1" t="n">
        <v>0</v>
      </c>
      <c r="K994" s="1" t="n">
        <v>2840</v>
      </c>
      <c r="M994" s="5" t="n">
        <v>46028</v>
      </c>
      <c r="N994" s="33" t="n">
        <f aca="false">DAY(M994)</f>
        <v>6</v>
      </c>
      <c r="O994" s="33" t="str">
        <f aca="false">TEXT(M994,"DDDD")</f>
        <v>martes</v>
      </c>
      <c r="P994" s="6" t="n">
        <f aca="false">MONTH(M994)</f>
        <v>1</v>
      </c>
      <c r="Q994" s="26" t="str">
        <f aca="false">TEXT(M994,"MMMM")</f>
        <v>enero</v>
      </c>
    </row>
    <row r="995" customFormat="false" ht="14.25" hidden="false" customHeight="false" outlineLevel="0" collapsed="false">
      <c r="A995" s="1" t="n">
        <v>8</v>
      </c>
      <c r="B995" s="1" t="s">
        <v>1496</v>
      </c>
      <c r="C995" s="1" t="s">
        <v>20</v>
      </c>
      <c r="D995" s="1" t="s">
        <v>411</v>
      </c>
      <c r="E995" s="2" t="n">
        <v>450885459</v>
      </c>
      <c r="F995" s="21" t="s">
        <v>411</v>
      </c>
      <c r="G995" s="1" t="n">
        <v>450886084</v>
      </c>
      <c r="H995" s="3" t="n">
        <v>1800</v>
      </c>
      <c r="I995" s="1" t="n">
        <v>1800</v>
      </c>
      <c r="J995" s="1" t="n">
        <v>0</v>
      </c>
      <c r="K995" s="1" t="n">
        <v>0</v>
      </c>
      <c r="M995" s="5" t="n">
        <v>46029</v>
      </c>
      <c r="N995" s="33" t="n">
        <f aca="false">DAY(M995)</f>
        <v>7</v>
      </c>
      <c r="O995" s="33" t="str">
        <f aca="false">TEXT(M995,"DDDD")</f>
        <v>miércoles</v>
      </c>
      <c r="P995" s="6" t="n">
        <f aca="false">MONTH(M995)</f>
        <v>1</v>
      </c>
      <c r="Q995" s="26" t="str">
        <f aca="false">TEXT(M995,"MMMM")</f>
        <v>enero</v>
      </c>
      <c r="R995" s="21" t="s">
        <v>411</v>
      </c>
      <c r="S995" s="21" t="n">
        <f aca="false">949.11+23280</f>
        <v>24229.11</v>
      </c>
    </row>
    <row r="996" customFormat="false" ht="14.25" hidden="false" customHeight="false" outlineLevel="0" collapsed="false">
      <c r="A996" s="1" t="n">
        <v>7</v>
      </c>
      <c r="B996" s="1" t="s">
        <v>1653</v>
      </c>
      <c r="C996" s="1" t="s">
        <v>38</v>
      </c>
      <c r="D996" s="1" t="s">
        <v>1654</v>
      </c>
      <c r="E996" s="2" t="n">
        <v>450864985</v>
      </c>
      <c r="H996" s="3" t="n">
        <v>6600</v>
      </c>
      <c r="I996" s="1" t="n">
        <v>5000</v>
      </c>
      <c r="J996" s="1" t="n">
        <v>0</v>
      </c>
      <c r="K996" s="1" t="n">
        <v>1600</v>
      </c>
      <c r="M996" s="5" t="n">
        <v>46029</v>
      </c>
      <c r="N996" s="33" t="n">
        <f aca="false">DAY(M996)</f>
        <v>7</v>
      </c>
      <c r="O996" s="33" t="str">
        <f aca="false">TEXT(M996,"DDDD")</f>
        <v>miércoles</v>
      </c>
      <c r="P996" s="6" t="n">
        <f aca="false">MONTH(M996)</f>
        <v>1</v>
      </c>
      <c r="Q996" s="26" t="str">
        <f aca="false">TEXT(M996,"MMMM")</f>
        <v>enero</v>
      </c>
    </row>
    <row r="997" customFormat="false" ht="14.25" hidden="false" customHeight="false" outlineLevel="0" collapsed="false">
      <c r="A997" s="1" t="n">
        <v>6</v>
      </c>
      <c r="B997" s="1" t="s">
        <v>1655</v>
      </c>
      <c r="C997" s="1" t="s">
        <v>20</v>
      </c>
      <c r="D997" s="1" t="s">
        <v>1656</v>
      </c>
      <c r="E997" s="2" t="n">
        <v>450864930</v>
      </c>
      <c r="H997" s="3" t="n">
        <v>1720</v>
      </c>
      <c r="I997" s="1" t="n">
        <v>1200</v>
      </c>
      <c r="J997" s="1" t="n">
        <v>0</v>
      </c>
      <c r="K997" s="1" t="n">
        <v>520</v>
      </c>
      <c r="M997" s="5" t="n">
        <v>46029</v>
      </c>
      <c r="N997" s="33" t="n">
        <f aca="false">DAY(M997)</f>
        <v>7</v>
      </c>
      <c r="O997" s="33" t="str">
        <f aca="false">TEXT(M997,"DDDD")</f>
        <v>miércoles</v>
      </c>
      <c r="P997" s="6" t="n">
        <f aca="false">MONTH(M997)</f>
        <v>1</v>
      </c>
      <c r="Q997" s="26" t="str">
        <f aca="false">TEXT(M997,"MMMM")</f>
        <v>enero</v>
      </c>
    </row>
    <row r="998" customFormat="false" ht="14.25" hidden="false" customHeight="false" outlineLevel="0" collapsed="false">
      <c r="A998" s="1" t="n">
        <v>6</v>
      </c>
      <c r="B998" s="1" t="s">
        <v>1522</v>
      </c>
      <c r="C998" s="1" t="s">
        <v>20</v>
      </c>
      <c r="D998" s="1" t="s">
        <v>1657</v>
      </c>
      <c r="E998" s="2" t="n">
        <v>450863266</v>
      </c>
      <c r="H998" s="3" t="n">
        <v>1200</v>
      </c>
      <c r="I998" s="1" t="n">
        <v>1200</v>
      </c>
      <c r="J998" s="1" t="n">
        <v>0</v>
      </c>
      <c r="K998" s="1" t="n">
        <v>0</v>
      </c>
      <c r="M998" s="5" t="n">
        <v>46029</v>
      </c>
      <c r="N998" s="33" t="n">
        <f aca="false">DAY(M998)</f>
        <v>7</v>
      </c>
      <c r="O998" s="33" t="str">
        <f aca="false">TEXT(M998,"DDDD")</f>
        <v>miércoles</v>
      </c>
      <c r="P998" s="6" t="n">
        <f aca="false">MONTH(M998)</f>
        <v>1</v>
      </c>
      <c r="Q998" s="26" t="str">
        <f aca="false">TEXT(M998,"MMMM")</f>
        <v>enero</v>
      </c>
    </row>
    <row r="999" customFormat="false" ht="14.25" hidden="false" customHeight="false" outlineLevel="0" collapsed="false">
      <c r="A999" s="1" t="n">
        <v>5</v>
      </c>
      <c r="B999" s="1" t="s">
        <v>1658</v>
      </c>
      <c r="C999" s="1" t="s">
        <v>20</v>
      </c>
      <c r="D999" s="1" t="s">
        <v>1659</v>
      </c>
      <c r="E999" s="2" t="n">
        <v>450861932</v>
      </c>
      <c r="F999" s="21" t="s">
        <v>1659</v>
      </c>
      <c r="G999" s="1" t="n">
        <v>450861984</v>
      </c>
      <c r="H999" s="3" t="n">
        <v>6560</v>
      </c>
      <c r="I999" s="1" t="n">
        <v>1800</v>
      </c>
      <c r="J999" s="1" t="n">
        <v>0</v>
      </c>
      <c r="K999" s="1" t="n">
        <v>4760</v>
      </c>
      <c r="M999" s="5" t="n">
        <v>46029</v>
      </c>
      <c r="N999" s="33" t="n">
        <f aca="false">DAY(M999)</f>
        <v>7</v>
      </c>
      <c r="O999" s="33" t="str">
        <f aca="false">TEXT(M999,"DDDD")</f>
        <v>miércoles</v>
      </c>
      <c r="P999" s="6" t="n">
        <f aca="false">MONTH(M999)</f>
        <v>1</v>
      </c>
      <c r="Q999" s="26" t="str">
        <f aca="false">TEXT(M999,"MMMM")</f>
        <v>enero</v>
      </c>
    </row>
    <row r="1000" customFormat="false" ht="14.25" hidden="false" customHeight="false" outlineLevel="0" collapsed="false">
      <c r="A1000" s="1" t="n">
        <v>5</v>
      </c>
      <c r="B1000" s="1" t="s">
        <v>1660</v>
      </c>
      <c r="C1000" s="1" t="s">
        <v>20</v>
      </c>
      <c r="D1000" s="1" t="s">
        <v>1661</v>
      </c>
      <c r="E1000" s="2" t="n">
        <v>450861034</v>
      </c>
      <c r="H1000" s="3" t="n">
        <v>2260</v>
      </c>
      <c r="I1000" s="1" t="n">
        <v>1200</v>
      </c>
      <c r="J1000" s="1" t="n">
        <v>0</v>
      </c>
      <c r="K1000" s="1" t="n">
        <v>1060</v>
      </c>
      <c r="M1000" s="5" t="n">
        <v>46029</v>
      </c>
      <c r="N1000" s="33" t="n">
        <f aca="false">DAY(M1000)</f>
        <v>7</v>
      </c>
      <c r="O1000" s="33" t="str">
        <f aca="false">TEXT(M1000,"DDDD")</f>
        <v>miércoles</v>
      </c>
      <c r="P1000" s="6" t="n">
        <f aca="false">MONTH(M1000)</f>
        <v>1</v>
      </c>
      <c r="Q1000" s="26" t="str">
        <f aca="false">TEXT(M1000,"MMMM")</f>
        <v>enero</v>
      </c>
    </row>
    <row r="1001" customFormat="false" ht="14.25" hidden="false" customHeight="false" outlineLevel="0" collapsed="false">
      <c r="A1001" s="1" t="n">
        <v>5</v>
      </c>
      <c r="B1001" s="1" t="s">
        <v>1662</v>
      </c>
      <c r="C1001" s="1" t="s">
        <v>20</v>
      </c>
      <c r="D1001" s="1" t="s">
        <v>1663</v>
      </c>
      <c r="E1001" s="2" t="n">
        <v>450860593</v>
      </c>
      <c r="H1001" s="3" t="n">
        <v>2190</v>
      </c>
      <c r="I1001" s="1" t="n">
        <v>1850</v>
      </c>
      <c r="J1001" s="1" t="n">
        <v>0</v>
      </c>
      <c r="K1001" s="1" t="n">
        <v>340</v>
      </c>
      <c r="M1001" s="5" t="n">
        <v>46029</v>
      </c>
      <c r="N1001" s="33" t="n">
        <f aca="false">DAY(M1001)</f>
        <v>7</v>
      </c>
      <c r="O1001" s="33" t="str">
        <f aca="false">TEXT(M1001,"DDDD")</f>
        <v>miércoles</v>
      </c>
      <c r="P1001" s="6" t="n">
        <f aca="false">MONTH(M1001)</f>
        <v>1</v>
      </c>
      <c r="Q1001" s="26" t="str">
        <f aca="false">TEXT(M1001,"MMMM")</f>
        <v>enero</v>
      </c>
    </row>
    <row r="1002" customFormat="false" ht="14.25" hidden="false" customHeight="false" outlineLevel="0" collapsed="false">
      <c r="A1002" s="1" t="n">
        <v>5</v>
      </c>
      <c r="B1002" s="1" t="s">
        <v>1658</v>
      </c>
      <c r="C1002" s="1" t="s">
        <v>20</v>
      </c>
      <c r="D1002" s="1" t="s">
        <v>1659</v>
      </c>
      <c r="E1002" s="2" t="n">
        <v>450861932</v>
      </c>
      <c r="F1002" s="21" t="s">
        <v>1659</v>
      </c>
      <c r="G1002" s="1" t="n">
        <v>450861984</v>
      </c>
      <c r="H1002" s="3" t="n">
        <v>6560</v>
      </c>
      <c r="I1002" s="1" t="n">
        <v>1800</v>
      </c>
      <c r="J1002" s="1" t="n">
        <v>0</v>
      </c>
      <c r="K1002" s="1" t="n">
        <v>4760</v>
      </c>
      <c r="M1002" s="5" t="n">
        <v>46029</v>
      </c>
      <c r="N1002" s="33" t="n">
        <f aca="false">DAY(M1002)</f>
        <v>7</v>
      </c>
      <c r="O1002" s="33" t="str">
        <f aca="false">TEXT(M1002,"DDDD")</f>
        <v>miércoles</v>
      </c>
      <c r="P1002" s="6" t="n">
        <f aca="false">MONTH(M1002)</f>
        <v>1</v>
      </c>
      <c r="Q1002" s="26" t="str">
        <f aca="false">TEXT(M1002,"MMMM")</f>
        <v>enero</v>
      </c>
    </row>
    <row r="1003" customFormat="false" ht="14.25" hidden="false" customHeight="false" outlineLevel="0" collapsed="false">
      <c r="A1003" s="1" t="n">
        <v>5</v>
      </c>
      <c r="B1003" s="1" t="s">
        <v>1660</v>
      </c>
      <c r="C1003" s="1" t="s">
        <v>20</v>
      </c>
      <c r="D1003" s="1" t="s">
        <v>1661</v>
      </c>
      <c r="E1003" s="2" t="n">
        <v>450861034</v>
      </c>
      <c r="H1003" s="3" t="n">
        <v>2260</v>
      </c>
      <c r="I1003" s="1" t="n">
        <v>1200</v>
      </c>
      <c r="J1003" s="1" t="n">
        <v>0</v>
      </c>
      <c r="K1003" s="1" t="n">
        <v>1060</v>
      </c>
      <c r="M1003" s="5" t="n">
        <v>46029</v>
      </c>
      <c r="N1003" s="33" t="n">
        <f aca="false">DAY(M1003)</f>
        <v>7</v>
      </c>
      <c r="O1003" s="33" t="str">
        <f aca="false">TEXT(M1003,"DDDD")</f>
        <v>miércoles</v>
      </c>
      <c r="P1003" s="6" t="n">
        <f aca="false">MONTH(M1003)</f>
        <v>1</v>
      </c>
      <c r="Q1003" s="26" t="str">
        <f aca="false">TEXT(M1003,"MMMM")</f>
        <v>enero</v>
      </c>
    </row>
    <row r="1004" customFormat="false" ht="14.25" hidden="false" customHeight="false" outlineLevel="0" collapsed="false">
      <c r="A1004" s="1" t="n">
        <v>5</v>
      </c>
      <c r="B1004" s="1" t="s">
        <v>1662</v>
      </c>
      <c r="C1004" s="1" t="s">
        <v>20</v>
      </c>
      <c r="D1004" s="1" t="s">
        <v>1663</v>
      </c>
      <c r="E1004" s="2" t="n">
        <v>450860593</v>
      </c>
      <c r="H1004" s="3" t="n">
        <v>2190</v>
      </c>
      <c r="I1004" s="1" t="n">
        <v>1850</v>
      </c>
      <c r="J1004" s="1" t="n">
        <v>0</v>
      </c>
      <c r="K1004" s="1" t="n">
        <v>340</v>
      </c>
      <c r="M1004" s="5" t="n">
        <v>46029</v>
      </c>
      <c r="N1004" s="33" t="n">
        <f aca="false">DAY(M1004)</f>
        <v>7</v>
      </c>
      <c r="O1004" s="33" t="str">
        <f aca="false">TEXT(M1004,"DDDD")</f>
        <v>miércoles</v>
      </c>
      <c r="P1004" s="6" t="n">
        <f aca="false">MONTH(M1004)</f>
        <v>1</v>
      </c>
      <c r="Q1004" s="26" t="str">
        <f aca="false">TEXT(M1004,"MMMM")</f>
        <v>enero</v>
      </c>
    </row>
    <row r="1005" customFormat="false" ht="14.25" hidden="false" customHeight="false" outlineLevel="0" collapsed="false">
      <c r="A1005" s="1" t="n">
        <v>4</v>
      </c>
      <c r="B1005" s="1" t="s">
        <v>1664</v>
      </c>
      <c r="C1005" s="1" t="s">
        <v>20</v>
      </c>
      <c r="D1005" s="1" t="s">
        <v>1665</v>
      </c>
      <c r="E1005" s="2" t="n">
        <v>450860356</v>
      </c>
      <c r="H1005" s="3" t="n">
        <v>1200</v>
      </c>
      <c r="I1005" s="1" t="n">
        <v>1200</v>
      </c>
      <c r="J1005" s="1" t="n">
        <v>0</v>
      </c>
      <c r="K1005" s="1" t="n">
        <v>0</v>
      </c>
      <c r="M1005" s="5" t="n">
        <v>46029</v>
      </c>
      <c r="N1005" s="33" t="n">
        <f aca="false">DAY(M1005)</f>
        <v>7</v>
      </c>
      <c r="O1005" s="33" t="str">
        <f aca="false">TEXT(M1005,"DDDD")</f>
        <v>miércoles</v>
      </c>
      <c r="P1005" s="6" t="n">
        <f aca="false">MONTH(M1005)</f>
        <v>1</v>
      </c>
      <c r="Q1005" s="26" t="str">
        <f aca="false">TEXT(M1005,"MMMM")</f>
        <v>enero</v>
      </c>
    </row>
    <row r="1006" customFormat="false" ht="14.25" hidden="false" customHeight="false" outlineLevel="0" collapsed="false">
      <c r="A1006" s="1" t="n">
        <v>4</v>
      </c>
      <c r="B1006" s="1" t="s">
        <v>1666</v>
      </c>
      <c r="C1006" s="1" t="s">
        <v>38</v>
      </c>
      <c r="D1006" s="1" t="s">
        <v>1667</v>
      </c>
      <c r="E1006" s="2" t="n">
        <v>450860073</v>
      </c>
      <c r="H1006" s="3" t="n">
        <v>2930</v>
      </c>
      <c r="I1006" s="1" t="n">
        <v>1650</v>
      </c>
      <c r="J1006" s="1" t="n">
        <v>0</v>
      </c>
      <c r="K1006" s="1" t="n">
        <v>1280</v>
      </c>
      <c r="M1006" s="5" t="n">
        <v>46029</v>
      </c>
      <c r="N1006" s="33" t="n">
        <f aca="false">DAY(M1006)</f>
        <v>7</v>
      </c>
      <c r="O1006" s="33" t="str">
        <f aca="false">TEXT(M1006,"DDDD")</f>
        <v>miércoles</v>
      </c>
      <c r="P1006" s="6" t="n">
        <f aca="false">MONTH(M1006)</f>
        <v>1</v>
      </c>
      <c r="Q1006" s="26" t="str">
        <f aca="false">TEXT(M1006,"MMMM")</f>
        <v>enero</v>
      </c>
    </row>
    <row r="1007" customFormat="false" ht="14.25" hidden="false" customHeight="false" outlineLevel="0" collapsed="false">
      <c r="A1007" s="1" t="n">
        <v>4</v>
      </c>
      <c r="B1007" s="1" t="s">
        <v>1668</v>
      </c>
      <c r="C1007" s="1" t="s">
        <v>20</v>
      </c>
      <c r="D1007" s="1" t="s">
        <v>150</v>
      </c>
      <c r="E1007" s="2" t="n">
        <v>450860029</v>
      </c>
      <c r="H1007" s="3" t="n">
        <v>2650</v>
      </c>
      <c r="I1007" s="1" t="n">
        <v>2400</v>
      </c>
      <c r="J1007" s="1" t="n">
        <v>0</v>
      </c>
      <c r="K1007" s="1" t="n">
        <v>250</v>
      </c>
      <c r="M1007" s="5" t="n">
        <v>46029</v>
      </c>
      <c r="N1007" s="33" t="n">
        <f aca="false">DAY(M1007)</f>
        <v>7</v>
      </c>
      <c r="O1007" s="33" t="str">
        <f aca="false">TEXT(M1007,"DDDD")</f>
        <v>miércoles</v>
      </c>
      <c r="P1007" s="6" t="n">
        <f aca="false">MONTH(M1007)</f>
        <v>1</v>
      </c>
      <c r="Q1007" s="26" t="str">
        <f aca="false">TEXT(M1007,"MMMM")</f>
        <v>enero</v>
      </c>
    </row>
    <row r="1008" customFormat="false" ht="14.25" hidden="false" customHeight="false" outlineLevel="0" collapsed="false">
      <c r="A1008" s="1" t="n">
        <v>4</v>
      </c>
      <c r="B1008" s="1" t="s">
        <v>1664</v>
      </c>
      <c r="C1008" s="1" t="s">
        <v>20</v>
      </c>
      <c r="D1008" s="1" t="s">
        <v>1665</v>
      </c>
      <c r="E1008" s="2" t="n">
        <v>450860356</v>
      </c>
      <c r="H1008" s="3" t="n">
        <v>1200</v>
      </c>
      <c r="I1008" s="1" t="n">
        <v>1200</v>
      </c>
      <c r="J1008" s="1" t="n">
        <v>0</v>
      </c>
      <c r="K1008" s="1" t="n">
        <v>0</v>
      </c>
      <c r="M1008" s="5" t="n">
        <v>46029</v>
      </c>
      <c r="N1008" s="33" t="n">
        <f aca="false">DAY(M1008)</f>
        <v>7</v>
      </c>
      <c r="O1008" s="33" t="str">
        <f aca="false">TEXT(M1008,"DDDD")</f>
        <v>miércoles</v>
      </c>
      <c r="P1008" s="6" t="n">
        <f aca="false">MONTH(M1008)</f>
        <v>1</v>
      </c>
      <c r="Q1008" s="26" t="str">
        <f aca="false">TEXT(M1008,"MMMM")</f>
        <v>enero</v>
      </c>
    </row>
    <row r="1009" customFormat="false" ht="14.25" hidden="false" customHeight="false" outlineLevel="0" collapsed="false">
      <c r="A1009" s="1" t="n">
        <v>4</v>
      </c>
      <c r="B1009" s="1" t="s">
        <v>1666</v>
      </c>
      <c r="C1009" s="1" t="s">
        <v>38</v>
      </c>
      <c r="D1009" s="1" t="s">
        <v>1667</v>
      </c>
      <c r="E1009" s="2" t="n">
        <v>450860073</v>
      </c>
      <c r="H1009" s="3" t="n">
        <v>2930</v>
      </c>
      <c r="I1009" s="1" t="n">
        <v>1650</v>
      </c>
      <c r="J1009" s="1" t="n">
        <v>0</v>
      </c>
      <c r="K1009" s="1" t="n">
        <v>1280</v>
      </c>
      <c r="M1009" s="5" t="n">
        <v>46029</v>
      </c>
      <c r="N1009" s="33" t="n">
        <f aca="false">DAY(M1009)</f>
        <v>7</v>
      </c>
      <c r="O1009" s="33" t="str">
        <f aca="false">TEXT(M1009,"DDDD")</f>
        <v>miércoles</v>
      </c>
      <c r="P1009" s="6" t="n">
        <f aca="false">MONTH(M1009)</f>
        <v>1</v>
      </c>
      <c r="Q1009" s="26" t="str">
        <f aca="false">TEXT(M1009,"MMMM")</f>
        <v>enero</v>
      </c>
    </row>
    <row r="1010" customFormat="false" ht="14.25" hidden="false" customHeight="false" outlineLevel="0" collapsed="false">
      <c r="A1010" s="1" t="n">
        <v>4</v>
      </c>
      <c r="B1010" s="1" t="s">
        <v>1668</v>
      </c>
      <c r="C1010" s="1" t="s">
        <v>20</v>
      </c>
      <c r="D1010" s="1" t="s">
        <v>150</v>
      </c>
      <c r="E1010" s="2" t="n">
        <v>450860029</v>
      </c>
      <c r="H1010" s="3" t="n">
        <v>2650</v>
      </c>
      <c r="I1010" s="1" t="n">
        <v>2400</v>
      </c>
      <c r="J1010" s="1" t="n">
        <v>0</v>
      </c>
      <c r="K1010" s="1" t="n">
        <v>250</v>
      </c>
      <c r="M1010" s="5" t="n">
        <v>46029</v>
      </c>
      <c r="N1010" s="33" t="n">
        <f aca="false">DAY(M1010)</f>
        <v>7</v>
      </c>
      <c r="O1010" s="33" t="str">
        <f aca="false">TEXT(M1010,"DDDD")</f>
        <v>miércoles</v>
      </c>
      <c r="P1010" s="6" t="n">
        <f aca="false">MONTH(M1010)</f>
        <v>1</v>
      </c>
      <c r="Q1010" s="26" t="str">
        <f aca="false">TEXT(M1010,"MMMM")</f>
        <v>enero</v>
      </c>
    </row>
    <row r="1011" customFormat="false" ht="14.25" hidden="false" customHeight="false" outlineLevel="0" collapsed="false">
      <c r="A1011" s="1" t="n">
        <v>12</v>
      </c>
      <c r="B1011" s="1" t="s">
        <v>1630</v>
      </c>
      <c r="C1011" s="1" t="s">
        <v>38</v>
      </c>
      <c r="D1011" s="1" t="s">
        <v>223</v>
      </c>
      <c r="E1011" s="2" t="n">
        <v>451040406</v>
      </c>
      <c r="H1011" s="3" t="n">
        <v>1201</v>
      </c>
      <c r="I1011" s="1" t="n">
        <v>1200</v>
      </c>
      <c r="J1011" s="1" t="n">
        <v>0</v>
      </c>
      <c r="K1011" s="1" t="n">
        <v>1</v>
      </c>
      <c r="M1011" s="5" t="s">
        <v>1669</v>
      </c>
      <c r="N1011" s="33" t="n">
        <f aca="false">DAY(M1011)</f>
        <v>8</v>
      </c>
      <c r="O1011" s="33" t="str">
        <f aca="false">TEXT(M1011,"DDDD")</f>
        <v>jueves</v>
      </c>
      <c r="P1011" s="6" t="n">
        <f aca="false">MONTH(M1011)</f>
        <v>1</v>
      </c>
      <c r="Q1011" s="26" t="str">
        <f aca="false">TEXT(M1011,"MMMM")</f>
        <v>enero</v>
      </c>
    </row>
    <row r="1012" customFormat="false" ht="14.25" hidden="false" customHeight="false" outlineLevel="0" collapsed="false">
      <c r="A1012" s="1" t="n">
        <v>11</v>
      </c>
      <c r="B1012" s="1" t="s">
        <v>1670</v>
      </c>
      <c r="C1012" s="1" t="s">
        <v>20</v>
      </c>
      <c r="D1012" s="1" t="s">
        <v>1671</v>
      </c>
      <c r="E1012" s="2" t="n">
        <v>451031462</v>
      </c>
      <c r="H1012" s="3" t="n">
        <v>2300</v>
      </c>
      <c r="I1012" s="1" t="n">
        <v>2100</v>
      </c>
      <c r="J1012" s="1" t="n">
        <v>0</v>
      </c>
      <c r="K1012" s="1" t="n">
        <v>200</v>
      </c>
      <c r="M1012" s="5" t="s">
        <v>1669</v>
      </c>
      <c r="N1012" s="33" t="n">
        <f aca="false">DAY(M1012)</f>
        <v>8</v>
      </c>
      <c r="O1012" s="33" t="str">
        <f aca="false">TEXT(M1012,"DDDD")</f>
        <v>jueves</v>
      </c>
      <c r="P1012" s="6" t="n">
        <f aca="false">MONTH(M1012)</f>
        <v>1</v>
      </c>
      <c r="Q1012" s="26" t="str">
        <f aca="false">TEXT(M1012,"MMMM")</f>
        <v>enero</v>
      </c>
    </row>
    <row r="1013" customFormat="false" ht="14.25" hidden="false" customHeight="false" outlineLevel="0" collapsed="false">
      <c r="A1013" s="1" t="n">
        <v>11</v>
      </c>
      <c r="B1013" s="1" t="s">
        <v>1672</v>
      </c>
      <c r="C1013" s="1" t="s">
        <v>20</v>
      </c>
      <c r="D1013" s="1" t="s">
        <v>493</v>
      </c>
      <c r="E1013" s="2" t="n">
        <v>451024091</v>
      </c>
      <c r="F1013" s="21" t="s">
        <v>1673</v>
      </c>
      <c r="G1013" s="1" t="n">
        <v>451023917</v>
      </c>
      <c r="H1013" s="3" t="n">
        <v>2410</v>
      </c>
      <c r="I1013" s="1" t="n">
        <v>1950</v>
      </c>
      <c r="J1013" s="1" t="n">
        <v>0</v>
      </c>
      <c r="K1013" s="1" t="n">
        <v>460</v>
      </c>
      <c r="M1013" s="5" t="s">
        <v>1669</v>
      </c>
      <c r="N1013" s="33" t="n">
        <f aca="false">DAY(M1013)</f>
        <v>8</v>
      </c>
      <c r="O1013" s="33" t="str">
        <f aca="false">TEXT(M1013,"DDDD")</f>
        <v>jueves</v>
      </c>
      <c r="P1013" s="6" t="n">
        <f aca="false">MONTH(M1013)</f>
        <v>1</v>
      </c>
      <c r="Q1013" s="26" t="str">
        <f aca="false">TEXT(M1013,"MMMM")</f>
        <v>enero</v>
      </c>
    </row>
    <row r="1014" customFormat="false" ht="14.25" hidden="false" customHeight="false" outlineLevel="0" collapsed="false">
      <c r="A1014" s="1" t="n">
        <v>11</v>
      </c>
      <c r="B1014" s="1" t="s">
        <v>1638</v>
      </c>
      <c r="C1014" s="1" t="s">
        <v>20</v>
      </c>
      <c r="D1014" s="1" t="s">
        <v>1674</v>
      </c>
      <c r="E1014" s="2" t="n">
        <v>451019092</v>
      </c>
      <c r="H1014" s="3" t="n">
        <v>3300</v>
      </c>
      <c r="I1014" s="1" t="n">
        <v>1300</v>
      </c>
      <c r="J1014" s="1" t="n">
        <v>0</v>
      </c>
      <c r="K1014" s="1" t="n">
        <v>2000</v>
      </c>
      <c r="M1014" s="5" t="s">
        <v>1669</v>
      </c>
      <c r="N1014" s="33" t="n">
        <f aca="false">DAY(M1014)</f>
        <v>8</v>
      </c>
      <c r="O1014" s="33" t="str">
        <f aca="false">TEXT(M1014,"DDDD")</f>
        <v>jueves</v>
      </c>
      <c r="P1014" s="6" t="n">
        <f aca="false">MONTH(M1014)</f>
        <v>1</v>
      </c>
      <c r="Q1014" s="26" t="str">
        <f aca="false">TEXT(M1014,"MMMM")</f>
        <v>enero</v>
      </c>
    </row>
    <row r="1015" customFormat="false" ht="14.25" hidden="false" customHeight="false" outlineLevel="0" collapsed="false">
      <c r="A1015" s="1" t="n">
        <v>11</v>
      </c>
      <c r="B1015" s="1" t="s">
        <v>1549</v>
      </c>
      <c r="C1015" s="1" t="s">
        <v>20</v>
      </c>
      <c r="D1015" s="1" t="s">
        <v>1174</v>
      </c>
      <c r="E1015" s="2" t="n">
        <v>451014781</v>
      </c>
      <c r="H1015" s="3" t="n">
        <v>1700</v>
      </c>
      <c r="I1015" s="1" t="n">
        <v>1200</v>
      </c>
      <c r="J1015" s="1" t="n">
        <v>0</v>
      </c>
      <c r="K1015" s="1" t="n">
        <v>500</v>
      </c>
      <c r="M1015" s="5" t="s">
        <v>1669</v>
      </c>
      <c r="N1015" s="33" t="n">
        <f aca="false">DAY(M1015)</f>
        <v>8</v>
      </c>
      <c r="O1015" s="33" t="str">
        <f aca="false">TEXT(M1015,"DDDD")</f>
        <v>jueves</v>
      </c>
      <c r="P1015" s="6" t="n">
        <f aca="false">MONTH(M1015)</f>
        <v>1</v>
      </c>
      <c r="Q1015" s="26" t="str">
        <f aca="false">TEXT(M1015,"MMMM")</f>
        <v>enero</v>
      </c>
    </row>
    <row r="1016" customFormat="false" ht="14.25" hidden="false" customHeight="false" outlineLevel="0" collapsed="false">
      <c r="A1016" s="1" t="n">
        <v>11</v>
      </c>
      <c r="B1016" s="1" t="s">
        <v>1675</v>
      </c>
      <c r="C1016" s="1" t="s">
        <v>20</v>
      </c>
      <c r="D1016" s="1" t="s">
        <v>1608</v>
      </c>
      <c r="E1016" s="2" t="n">
        <v>451007503</v>
      </c>
      <c r="F1016" s="21" t="s">
        <v>1676</v>
      </c>
      <c r="G1016" s="1" t="n">
        <v>451009445</v>
      </c>
      <c r="H1016" s="3" t="n">
        <v>4730</v>
      </c>
      <c r="I1016" s="1" t="n">
        <v>1950</v>
      </c>
      <c r="J1016" s="1" t="n">
        <v>0</v>
      </c>
      <c r="K1016" s="1" t="n">
        <v>2780</v>
      </c>
      <c r="M1016" s="5" t="s">
        <v>1669</v>
      </c>
      <c r="N1016" s="33" t="n">
        <f aca="false">DAY(M1016)</f>
        <v>8</v>
      </c>
      <c r="O1016" s="33" t="str">
        <f aca="false">TEXT(M1016,"DDDD")</f>
        <v>jueves</v>
      </c>
      <c r="P1016" s="6" t="n">
        <f aca="false">MONTH(M1016)</f>
        <v>1</v>
      </c>
      <c r="Q1016" s="26" t="str">
        <f aca="false">TEXT(M1016,"MMMM")</f>
        <v>enero</v>
      </c>
    </row>
    <row r="1017" customFormat="false" ht="14.25" hidden="false" customHeight="false" outlineLevel="0" collapsed="false">
      <c r="A1017" s="1" t="n">
        <v>10</v>
      </c>
      <c r="B1017" s="1" t="s">
        <v>1677</v>
      </c>
      <c r="C1017" s="1" t="s">
        <v>38</v>
      </c>
      <c r="D1017" s="1" t="s">
        <v>278</v>
      </c>
      <c r="E1017" s="2" t="n">
        <v>451206070</v>
      </c>
      <c r="H1017" s="3" t="n">
        <v>8420</v>
      </c>
      <c r="I1017" s="1" t="n">
        <v>5000</v>
      </c>
      <c r="J1017" s="1" t="n">
        <v>0</v>
      </c>
      <c r="K1017" s="1" t="n">
        <v>3420</v>
      </c>
      <c r="M1017" s="5" t="s">
        <v>1669</v>
      </c>
      <c r="N1017" s="33" t="n">
        <f aca="false">DAY(M1017)</f>
        <v>8</v>
      </c>
      <c r="O1017" s="33" t="str">
        <f aca="false">TEXT(M1017,"DDDD")</f>
        <v>jueves</v>
      </c>
      <c r="P1017" s="6" t="n">
        <f aca="false">MONTH(M1017)</f>
        <v>1</v>
      </c>
      <c r="Q1017" s="26" t="str">
        <f aca="false">TEXT(M1017,"MMMM")</f>
        <v>enero</v>
      </c>
    </row>
    <row r="1018" customFormat="false" ht="14.25" hidden="false" customHeight="false" outlineLevel="0" collapsed="false">
      <c r="A1018" s="1" t="n">
        <v>9</v>
      </c>
      <c r="B1018" s="1" t="s">
        <v>1678</v>
      </c>
      <c r="C1018" s="1" t="s">
        <v>38</v>
      </c>
      <c r="D1018" s="1" t="s">
        <v>744</v>
      </c>
      <c r="E1018" s="2" t="n">
        <v>451206401</v>
      </c>
      <c r="H1018" s="3" t="n">
        <v>1250</v>
      </c>
      <c r="I1018" s="1" t="n">
        <v>1250</v>
      </c>
      <c r="J1018" s="1" t="n">
        <v>0</v>
      </c>
      <c r="K1018" s="1" t="n">
        <v>0</v>
      </c>
      <c r="M1018" s="5" t="s">
        <v>1669</v>
      </c>
      <c r="N1018" s="33" t="n">
        <f aca="false">DAY(M1018)</f>
        <v>8</v>
      </c>
      <c r="O1018" s="33" t="str">
        <f aca="false">TEXT(M1018,"DDDD")</f>
        <v>jueves</v>
      </c>
      <c r="P1018" s="6" t="n">
        <f aca="false">MONTH(M1018)</f>
        <v>1</v>
      </c>
      <c r="Q1018" s="26" t="str">
        <f aca="false">TEXT(M1018,"MMMM")</f>
        <v>enero</v>
      </c>
    </row>
    <row r="1019" customFormat="false" ht="14.25" hidden="false" customHeight="false" outlineLevel="0" collapsed="false">
      <c r="A1019" s="1" t="n">
        <v>7</v>
      </c>
      <c r="B1019" s="1" t="s">
        <v>1454</v>
      </c>
      <c r="C1019" s="1" t="s">
        <v>38</v>
      </c>
      <c r="D1019" s="1" t="s">
        <v>274</v>
      </c>
      <c r="E1019" s="2" t="n">
        <v>451181380</v>
      </c>
      <c r="H1019" s="3" t="n">
        <v>1550</v>
      </c>
      <c r="I1019" s="1" t="n">
        <v>1200</v>
      </c>
      <c r="J1019" s="1" t="n">
        <v>0</v>
      </c>
      <c r="K1019" s="1" t="n">
        <v>350</v>
      </c>
      <c r="M1019" s="5" t="s">
        <v>1669</v>
      </c>
      <c r="N1019" s="33" t="n">
        <f aca="false">DAY(M1019)</f>
        <v>8</v>
      </c>
      <c r="O1019" s="33" t="str">
        <f aca="false">TEXT(M1019,"DDDD")</f>
        <v>jueves</v>
      </c>
      <c r="P1019" s="6" t="n">
        <f aca="false">MONTH(M1019)</f>
        <v>1</v>
      </c>
      <c r="Q1019" s="26" t="str">
        <f aca="false">TEXT(M1019,"MMMM")</f>
        <v>enero</v>
      </c>
    </row>
    <row r="1020" customFormat="false" ht="14.25" hidden="false" customHeight="false" outlineLevel="0" collapsed="false">
      <c r="A1020" s="1" t="n">
        <v>7</v>
      </c>
      <c r="B1020" s="1" t="s">
        <v>1679</v>
      </c>
      <c r="C1020" s="1" t="s">
        <v>20</v>
      </c>
      <c r="D1020" s="1" t="s">
        <v>421</v>
      </c>
      <c r="E1020" s="2" t="n">
        <v>451177214</v>
      </c>
      <c r="F1020" s="21" t="s">
        <v>1024</v>
      </c>
      <c r="G1020" s="21" t="s">
        <v>1680</v>
      </c>
      <c r="H1020" s="3" t="n">
        <v>2380</v>
      </c>
      <c r="I1020" s="1" t="n">
        <v>1800</v>
      </c>
      <c r="J1020" s="1" t="n">
        <v>0</v>
      </c>
      <c r="K1020" s="1" t="n">
        <v>580</v>
      </c>
      <c r="M1020" s="5" t="s">
        <v>1669</v>
      </c>
      <c r="N1020" s="33" t="n">
        <f aca="false">DAY(M1020)</f>
        <v>8</v>
      </c>
      <c r="O1020" s="33" t="str">
        <f aca="false">TEXT(M1020,"DDDD")</f>
        <v>jueves</v>
      </c>
      <c r="P1020" s="6" t="n">
        <f aca="false">MONTH(M1020)</f>
        <v>1</v>
      </c>
      <c r="Q1020" s="26" t="str">
        <f aca="false">TEXT(M1020,"MMMM")</f>
        <v>enero</v>
      </c>
      <c r="R1020" s="21" t="s">
        <v>421</v>
      </c>
      <c r="S1020" s="1" t="n">
        <v>33732</v>
      </c>
    </row>
    <row r="1021" customFormat="false" ht="14.25" hidden="false" customHeight="false" outlineLevel="0" collapsed="false">
      <c r="A1021" s="1" t="n">
        <v>7</v>
      </c>
      <c r="B1021" s="1" t="s">
        <v>1681</v>
      </c>
      <c r="C1021" s="1" t="s">
        <v>38</v>
      </c>
      <c r="D1021" s="1" t="s">
        <v>1150</v>
      </c>
      <c r="E1021" s="2" t="n">
        <v>451171619</v>
      </c>
      <c r="H1021" s="3" t="n">
        <v>3200</v>
      </c>
      <c r="I1021" s="1" t="n">
        <v>2700</v>
      </c>
      <c r="J1021" s="1" t="n">
        <v>0</v>
      </c>
      <c r="K1021" s="1" t="n">
        <v>500</v>
      </c>
      <c r="M1021" s="5" t="s">
        <v>1669</v>
      </c>
      <c r="N1021" s="33" t="n">
        <f aca="false">DAY(M1021)</f>
        <v>8</v>
      </c>
      <c r="O1021" s="33" t="str">
        <f aca="false">TEXT(M1021,"DDDD")</f>
        <v>jueves</v>
      </c>
      <c r="P1021" s="6" t="n">
        <f aca="false">MONTH(M1021)</f>
        <v>1</v>
      </c>
      <c r="Q1021" s="26" t="str">
        <f aca="false">TEXT(M1021,"MMMM")</f>
        <v>enero</v>
      </c>
    </row>
    <row r="1022" customFormat="false" ht="14.25" hidden="false" customHeight="false" outlineLevel="0" collapsed="false">
      <c r="A1022" s="1" t="n">
        <v>6</v>
      </c>
      <c r="B1022" s="1" t="s">
        <v>1682</v>
      </c>
      <c r="C1022" s="1" t="s">
        <v>20</v>
      </c>
      <c r="D1022" s="1" t="s">
        <v>1683</v>
      </c>
      <c r="E1022" s="2" t="n">
        <v>451170694</v>
      </c>
      <c r="H1022" s="3" t="n">
        <v>1350</v>
      </c>
      <c r="I1022" s="1" t="n">
        <v>1350</v>
      </c>
      <c r="J1022" s="1" t="n">
        <v>0</v>
      </c>
      <c r="K1022" s="1" t="n">
        <v>0</v>
      </c>
      <c r="M1022" s="5" t="s">
        <v>1669</v>
      </c>
      <c r="N1022" s="33" t="n">
        <f aca="false">DAY(M1022)</f>
        <v>8</v>
      </c>
      <c r="O1022" s="33" t="str">
        <f aca="false">TEXT(M1022,"DDDD")</f>
        <v>jueves</v>
      </c>
      <c r="P1022" s="6" t="n">
        <f aca="false">MONTH(M1022)</f>
        <v>1</v>
      </c>
      <c r="Q1022" s="26" t="str">
        <f aca="false">TEXT(M1022,"MMMM")</f>
        <v>enero</v>
      </c>
    </row>
    <row r="1023" customFormat="false" ht="14.25" hidden="false" customHeight="false" outlineLevel="0" collapsed="false">
      <c r="A1023" s="1" t="n">
        <v>6</v>
      </c>
      <c r="B1023" s="1" t="s">
        <v>1684</v>
      </c>
      <c r="C1023" s="1" t="s">
        <v>20</v>
      </c>
      <c r="D1023" s="1" t="s">
        <v>1685</v>
      </c>
      <c r="E1023" s="2" t="n">
        <v>451169830</v>
      </c>
      <c r="H1023" s="3" t="n">
        <v>2650</v>
      </c>
      <c r="I1023" s="1" t="n">
        <v>1550</v>
      </c>
      <c r="J1023" s="1" t="n">
        <v>0</v>
      </c>
      <c r="K1023" s="1" t="n">
        <v>1100</v>
      </c>
      <c r="M1023" s="5" t="s">
        <v>1669</v>
      </c>
      <c r="N1023" s="33" t="n">
        <f aca="false">DAY(M1023)</f>
        <v>8</v>
      </c>
      <c r="O1023" s="33" t="str">
        <f aca="false">TEXT(M1023,"DDDD")</f>
        <v>jueves</v>
      </c>
      <c r="P1023" s="6" t="n">
        <f aca="false">MONTH(M1023)</f>
        <v>1</v>
      </c>
      <c r="Q1023" s="26" t="str">
        <f aca="false">TEXT(M1023,"MMMM")</f>
        <v>enero</v>
      </c>
    </row>
    <row r="1024" customFormat="false" ht="14.25" hidden="false" customHeight="false" outlineLevel="0" collapsed="false">
      <c r="A1024" s="1" t="n">
        <v>6</v>
      </c>
      <c r="B1024" s="1" t="s">
        <v>1686</v>
      </c>
      <c r="C1024" s="1" t="s">
        <v>38</v>
      </c>
      <c r="D1024" s="1" t="s">
        <v>1687</v>
      </c>
      <c r="E1024" s="2" t="n">
        <v>451168859</v>
      </c>
      <c r="H1024" s="3" t="n">
        <v>2100</v>
      </c>
      <c r="I1024" s="1" t="n">
        <v>1800</v>
      </c>
      <c r="J1024" s="1" t="n">
        <v>0</v>
      </c>
      <c r="K1024" s="1" t="n">
        <v>300</v>
      </c>
      <c r="M1024" s="5" t="s">
        <v>1669</v>
      </c>
      <c r="N1024" s="33" t="n">
        <f aca="false">DAY(M1024)</f>
        <v>8</v>
      </c>
      <c r="O1024" s="33" t="str">
        <f aca="false">TEXT(M1024,"DDDD")</f>
        <v>jueves</v>
      </c>
      <c r="P1024" s="6" t="n">
        <f aca="false">MONTH(M1024)</f>
        <v>1</v>
      </c>
      <c r="Q1024" s="26" t="str">
        <f aca="false">TEXT(M1024,"MMMM")</f>
        <v>enero</v>
      </c>
    </row>
    <row r="1025" customFormat="false" ht="14.25" hidden="false" customHeight="false" outlineLevel="0" collapsed="false">
      <c r="A1025" s="1" t="n">
        <v>6</v>
      </c>
      <c r="B1025" s="1" t="s">
        <v>1688</v>
      </c>
      <c r="C1025" s="1" t="s">
        <v>20</v>
      </c>
      <c r="D1025" s="1" t="s">
        <v>1689</v>
      </c>
      <c r="E1025" s="2" t="n">
        <v>451167815</v>
      </c>
      <c r="H1025" s="3" t="n">
        <v>3340</v>
      </c>
      <c r="I1025" s="1" t="n">
        <v>1200</v>
      </c>
      <c r="J1025" s="1" t="n">
        <v>0</v>
      </c>
      <c r="K1025" s="1" t="n">
        <v>2140</v>
      </c>
      <c r="M1025" s="5" t="s">
        <v>1669</v>
      </c>
      <c r="N1025" s="33" t="n">
        <f aca="false">DAY(M1025)</f>
        <v>8</v>
      </c>
      <c r="O1025" s="33" t="str">
        <f aca="false">TEXT(M1025,"DDDD")</f>
        <v>jueves</v>
      </c>
      <c r="P1025" s="6" t="n">
        <f aca="false">MONTH(M1025)</f>
        <v>1</v>
      </c>
      <c r="Q1025" s="26" t="str">
        <f aca="false">TEXT(M1025,"MMMM")</f>
        <v>enero</v>
      </c>
    </row>
    <row r="1026" customFormat="false" ht="14.25" hidden="false" customHeight="false" outlineLevel="0" collapsed="false">
      <c r="A1026" s="1" t="n">
        <v>6</v>
      </c>
      <c r="B1026" s="1" t="s">
        <v>1690</v>
      </c>
      <c r="C1026" s="1" t="s">
        <v>38</v>
      </c>
      <c r="D1026" s="1" t="s">
        <v>772</v>
      </c>
      <c r="E1026" s="2" t="n">
        <v>451166621</v>
      </c>
      <c r="H1026" s="3" t="n">
        <v>3860</v>
      </c>
      <c r="I1026" s="1" t="n">
        <v>2000</v>
      </c>
      <c r="J1026" s="1" t="n">
        <v>0</v>
      </c>
      <c r="K1026" s="1" t="n">
        <v>1860</v>
      </c>
      <c r="M1026" s="5" t="s">
        <v>1669</v>
      </c>
      <c r="N1026" s="33" t="n">
        <f aca="false">DAY(M1026)</f>
        <v>8</v>
      </c>
      <c r="O1026" s="33" t="str">
        <f aca="false">TEXT(M1026,"DDDD")</f>
        <v>jueves</v>
      </c>
      <c r="P1026" s="6" t="n">
        <f aca="false">MONTH(M1026)</f>
        <v>1</v>
      </c>
      <c r="Q1026" s="26" t="str">
        <f aca="false">TEXT(M1026,"MMMM")</f>
        <v>enero</v>
      </c>
    </row>
    <row r="1027" customFormat="false" ht="14.25" hidden="false" customHeight="false" outlineLevel="0" collapsed="false">
      <c r="A1027" s="1" t="n">
        <v>5</v>
      </c>
      <c r="B1027" s="1" t="s">
        <v>1691</v>
      </c>
      <c r="C1027" s="1" t="s">
        <v>20</v>
      </c>
      <c r="D1027" s="1" t="s">
        <v>1033</v>
      </c>
      <c r="E1027" s="2" t="n">
        <v>451163753</v>
      </c>
      <c r="H1027" s="3" t="n">
        <v>3120</v>
      </c>
      <c r="I1027" s="1" t="n">
        <v>2000</v>
      </c>
      <c r="J1027" s="1" t="n">
        <v>0</v>
      </c>
      <c r="K1027" s="1" t="n">
        <v>1120</v>
      </c>
      <c r="M1027" s="5" t="s">
        <v>1669</v>
      </c>
      <c r="N1027" s="33" t="n">
        <f aca="false">DAY(M1027)</f>
        <v>8</v>
      </c>
      <c r="O1027" s="33" t="str">
        <f aca="false">TEXT(M1027,"DDDD")</f>
        <v>jueves</v>
      </c>
      <c r="P1027" s="6" t="n">
        <f aca="false">MONTH(M1027)</f>
        <v>1</v>
      </c>
      <c r="Q1027" s="26" t="str">
        <f aca="false">TEXT(M1027,"MMMM")</f>
        <v>enero</v>
      </c>
    </row>
    <row r="1028" customFormat="false" ht="14.25" hidden="false" customHeight="false" outlineLevel="0" collapsed="false">
      <c r="A1028" s="1" t="n">
        <v>5</v>
      </c>
      <c r="B1028" s="1" t="s">
        <v>1692</v>
      </c>
      <c r="C1028" s="1" t="s">
        <v>20</v>
      </c>
      <c r="D1028" s="1" t="s">
        <v>150</v>
      </c>
      <c r="E1028" s="2" t="n">
        <v>451163606</v>
      </c>
      <c r="H1028" s="3" t="n">
        <v>2280</v>
      </c>
      <c r="I1028" s="1" t="n">
        <v>1200</v>
      </c>
      <c r="J1028" s="1" t="n">
        <v>0</v>
      </c>
      <c r="K1028" s="1" t="n">
        <v>1080</v>
      </c>
      <c r="M1028" s="5" t="s">
        <v>1669</v>
      </c>
      <c r="N1028" s="33" t="n">
        <f aca="false">DAY(M1028)</f>
        <v>8</v>
      </c>
      <c r="O1028" s="33" t="str">
        <f aca="false">TEXT(M1028,"DDDD")</f>
        <v>jueves</v>
      </c>
      <c r="P1028" s="6" t="n">
        <f aca="false">MONTH(M1028)</f>
        <v>1</v>
      </c>
      <c r="Q1028" s="26" t="str">
        <f aca="false">TEXT(M1028,"MMMM")</f>
        <v>enero</v>
      </c>
    </row>
    <row r="1029" customFormat="false" ht="14.25" hidden="false" customHeight="false" outlineLevel="0" collapsed="false">
      <c r="A1029" s="1" t="n">
        <v>4</v>
      </c>
      <c r="B1029" s="1" t="s">
        <v>1693</v>
      </c>
      <c r="C1029" s="1" t="s">
        <v>20</v>
      </c>
      <c r="D1029" s="1" t="s">
        <v>1573</v>
      </c>
      <c r="E1029" s="2" t="n">
        <v>451163417</v>
      </c>
      <c r="H1029" s="3" t="n">
        <v>1480</v>
      </c>
      <c r="I1029" s="1" t="n">
        <v>1200</v>
      </c>
      <c r="J1029" s="1" t="n">
        <v>0</v>
      </c>
      <c r="K1029" s="1" t="n">
        <v>280</v>
      </c>
      <c r="M1029" s="5" t="s">
        <v>1669</v>
      </c>
      <c r="N1029" s="33" t="n">
        <f aca="false">DAY(M1029)</f>
        <v>8</v>
      </c>
      <c r="O1029" s="33" t="str">
        <f aca="false">TEXT(M1029,"DDDD")</f>
        <v>jueves</v>
      </c>
      <c r="P1029" s="6" t="n">
        <f aca="false">MONTH(M1029)</f>
        <v>1</v>
      </c>
      <c r="Q1029" s="26" t="str">
        <f aca="false">TEXT(M1029,"MMMM")</f>
        <v>enero</v>
      </c>
    </row>
    <row r="1030" customFormat="false" ht="14.25" hidden="false" customHeight="false" outlineLevel="0" collapsed="false">
      <c r="A1030" s="1" t="n">
        <v>4</v>
      </c>
      <c r="B1030" s="1" t="s">
        <v>1694</v>
      </c>
      <c r="C1030" s="1" t="s">
        <v>20</v>
      </c>
      <c r="D1030" s="1" t="s">
        <v>531</v>
      </c>
      <c r="E1030" s="2" t="n">
        <v>451163375</v>
      </c>
      <c r="H1030" s="3" t="n">
        <v>2160</v>
      </c>
      <c r="I1030" s="1" t="n">
        <v>1200</v>
      </c>
      <c r="J1030" s="1" t="n">
        <v>0</v>
      </c>
      <c r="K1030" s="1" t="n">
        <v>960</v>
      </c>
      <c r="M1030" s="5" t="s">
        <v>1669</v>
      </c>
      <c r="N1030" s="33" t="n">
        <f aca="false">DAY(M1030)</f>
        <v>8</v>
      </c>
      <c r="O1030" s="33" t="str">
        <f aca="false">TEXT(M1030,"DDDD")</f>
        <v>jueves</v>
      </c>
      <c r="P1030" s="6" t="n">
        <f aca="false">MONTH(M1030)</f>
        <v>1</v>
      </c>
      <c r="Q1030" s="26" t="str">
        <f aca="false">TEXT(M1030,"MMMM")</f>
        <v>enero</v>
      </c>
    </row>
    <row r="1031" customFormat="false" ht="14.25" hidden="false" customHeight="false" outlineLevel="0" collapsed="false">
      <c r="A1031" s="1" t="n">
        <v>3</v>
      </c>
      <c r="B1031" s="1" t="s">
        <v>1695</v>
      </c>
      <c r="C1031" s="1" t="s">
        <v>20</v>
      </c>
      <c r="D1031" s="1" t="s">
        <v>531</v>
      </c>
      <c r="E1031" s="2" t="n">
        <v>451162627</v>
      </c>
      <c r="H1031" s="3" t="n">
        <v>2310</v>
      </c>
      <c r="I1031" s="1" t="n">
        <v>1750</v>
      </c>
      <c r="J1031" s="1" t="n">
        <v>0</v>
      </c>
      <c r="K1031" s="1" t="n">
        <v>560</v>
      </c>
      <c r="M1031" s="5" t="s">
        <v>1669</v>
      </c>
      <c r="N1031" s="33" t="n">
        <f aca="false">DAY(M1031)</f>
        <v>8</v>
      </c>
      <c r="O1031" s="33" t="str">
        <f aca="false">TEXT(M1031,"DDDD")</f>
        <v>jueves</v>
      </c>
      <c r="P1031" s="6" t="n">
        <f aca="false">MONTH(M1031)</f>
        <v>1</v>
      </c>
      <c r="Q1031" s="26" t="str">
        <f aca="false">TEXT(M1031,"MMMM")</f>
        <v>enero</v>
      </c>
    </row>
    <row r="1032" customFormat="false" ht="14.25" hidden="false" customHeight="false" outlineLevel="0" collapsed="false">
      <c r="A1032" s="1" t="n">
        <v>3</v>
      </c>
      <c r="B1032" s="1" t="s">
        <v>1696</v>
      </c>
      <c r="C1032" s="1" t="s">
        <v>20</v>
      </c>
      <c r="D1032" s="1" t="s">
        <v>213</v>
      </c>
      <c r="H1032" s="3" t="n">
        <v>1400</v>
      </c>
      <c r="I1032" s="1" t="n">
        <v>1400</v>
      </c>
      <c r="J1032" s="1" t="n">
        <v>0</v>
      </c>
      <c r="K1032" s="1" t="n">
        <v>0</v>
      </c>
      <c r="M1032" s="5" t="s">
        <v>1669</v>
      </c>
      <c r="N1032" s="33" t="n">
        <f aca="false">DAY(M1032)</f>
        <v>8</v>
      </c>
      <c r="O1032" s="33" t="str">
        <f aca="false">TEXT(M1032,"DDDD")</f>
        <v>jueves</v>
      </c>
      <c r="P1032" s="6" t="n">
        <f aca="false">MONTH(M1032)</f>
        <v>1</v>
      </c>
      <c r="Q1032" s="26" t="str">
        <f aca="false">TEXT(M1032,"MMMM")</f>
        <v>enero</v>
      </c>
    </row>
    <row r="1033" customFormat="false" ht="14.25" hidden="false" customHeight="false" outlineLevel="0" collapsed="false">
      <c r="A1033" s="1" t="n">
        <v>4</v>
      </c>
      <c r="B1033" s="1" t="s">
        <v>1697</v>
      </c>
      <c r="C1033" s="1" t="s">
        <v>20</v>
      </c>
      <c r="D1033" s="1" t="s">
        <v>531</v>
      </c>
      <c r="E1033" s="2" t="n">
        <v>451163198</v>
      </c>
      <c r="H1033" s="3" t="n">
        <v>1650</v>
      </c>
      <c r="I1033" s="1" t="n">
        <v>1650</v>
      </c>
      <c r="J1033" s="1" t="n">
        <v>0</v>
      </c>
      <c r="K1033" s="1" t="n">
        <v>0</v>
      </c>
      <c r="M1033" s="5" t="s">
        <v>1669</v>
      </c>
      <c r="N1033" s="33" t="n">
        <f aca="false">DAY(M1033)</f>
        <v>8</v>
      </c>
      <c r="O1033" s="33" t="str">
        <f aca="false">TEXT(M1033,"DDDD")</f>
        <v>jueves</v>
      </c>
      <c r="P1033" s="6" t="n">
        <f aca="false">MONTH(M1033)</f>
        <v>1</v>
      </c>
      <c r="Q1033" s="26" t="str">
        <f aca="false">TEXT(M1033,"MMMM")</f>
        <v>enero</v>
      </c>
    </row>
    <row r="1034" customFormat="false" ht="14.25" hidden="false" customHeight="false" outlineLevel="0" collapsed="false">
      <c r="A1034" s="1" t="n">
        <v>4</v>
      </c>
      <c r="B1034" s="1" t="s">
        <v>1698</v>
      </c>
      <c r="C1034" s="1" t="s">
        <v>38</v>
      </c>
      <c r="D1034" s="1" t="s">
        <v>1699</v>
      </c>
      <c r="E1034" s="2" t="n">
        <v>451163311</v>
      </c>
      <c r="H1034" s="3" t="n">
        <v>2140</v>
      </c>
      <c r="I1034" s="1" t="n">
        <v>1300</v>
      </c>
      <c r="J1034" s="1" t="n">
        <v>0</v>
      </c>
      <c r="K1034" s="1" t="n">
        <v>840</v>
      </c>
      <c r="M1034" s="5" t="s">
        <v>1669</v>
      </c>
      <c r="N1034" s="33" t="n">
        <f aca="false">DAY(M1034)</f>
        <v>8</v>
      </c>
      <c r="O1034" s="33" t="str">
        <f aca="false">TEXT(M1034,"DDDD")</f>
        <v>jueves</v>
      </c>
      <c r="P1034" s="6" t="n">
        <f aca="false">MONTH(M1034)</f>
        <v>1</v>
      </c>
      <c r="Q1034" s="26" t="str">
        <f aca="false">TEXT(M1034,"MMMM")</f>
        <v>enero</v>
      </c>
    </row>
    <row r="1035" customFormat="false" ht="14.25" hidden="false" customHeight="false" outlineLevel="0" collapsed="false">
      <c r="A1035" s="1" t="n">
        <v>2</v>
      </c>
      <c r="B1035" s="1" t="s">
        <v>1700</v>
      </c>
      <c r="C1035" s="1" t="s">
        <v>20</v>
      </c>
      <c r="D1035" s="1" t="s">
        <v>194</v>
      </c>
      <c r="E1035" s="2" t="n">
        <v>451046979</v>
      </c>
      <c r="H1035" s="3" t="n">
        <v>2220</v>
      </c>
      <c r="I1035" s="1" t="n">
        <v>1200</v>
      </c>
      <c r="J1035" s="1" t="n">
        <v>0</v>
      </c>
      <c r="K1035" s="1" t="n">
        <v>1020</v>
      </c>
      <c r="M1035" s="5" t="s">
        <v>1701</v>
      </c>
      <c r="N1035" s="33" t="n">
        <f aca="false">DAY(M1035)</f>
        <v>9</v>
      </c>
      <c r="O1035" s="33" t="str">
        <f aca="false">TEXT(M1035,"DDDD")</f>
        <v>viernes</v>
      </c>
      <c r="P1035" s="6" t="n">
        <f aca="false">MONTH(M1035)</f>
        <v>1</v>
      </c>
      <c r="Q1035" s="26" t="str">
        <f aca="false">TEXT(M1035,"MMMM")</f>
        <v>enero</v>
      </c>
      <c r="R1035" s="21" t="s">
        <v>82</v>
      </c>
      <c r="S1035" s="1" t="n">
        <v>52960</v>
      </c>
    </row>
    <row r="1036" customFormat="false" ht="14.25" hidden="false" customHeight="false" outlineLevel="0" collapsed="false">
      <c r="A1036" s="1" t="n">
        <v>1</v>
      </c>
      <c r="B1036" s="1" t="s">
        <v>1702</v>
      </c>
      <c r="C1036" s="1" t="s">
        <v>20</v>
      </c>
      <c r="D1036" s="1" t="s">
        <v>82</v>
      </c>
      <c r="E1036" s="2" t="n">
        <v>451046660</v>
      </c>
      <c r="H1036" s="3" t="n">
        <v>1200</v>
      </c>
      <c r="I1036" s="1" t="n">
        <v>1200</v>
      </c>
      <c r="J1036" s="1" t="n">
        <v>0</v>
      </c>
      <c r="K1036" s="1" t="n">
        <v>0</v>
      </c>
      <c r="M1036" s="5" t="n">
        <v>46031</v>
      </c>
      <c r="N1036" s="33" t="n">
        <f aca="false">DAY(M1036)</f>
        <v>9</v>
      </c>
      <c r="O1036" s="33" t="str">
        <f aca="false">TEXT(M1036,"DDDD")</f>
        <v>viernes</v>
      </c>
      <c r="P1036" s="6" t="n">
        <f aca="false">MONTH(M1036)</f>
        <v>1</v>
      </c>
      <c r="Q1036" s="26" t="str">
        <f aca="false">TEXT(M1036,"MMMM")</f>
        <v>enero</v>
      </c>
    </row>
    <row r="1037" customFormat="false" ht="14.25" hidden="false" customHeight="false" outlineLevel="0" collapsed="false">
      <c r="A1037" s="1" t="n">
        <v>1</v>
      </c>
      <c r="B1037" s="1" t="s">
        <v>1703</v>
      </c>
      <c r="C1037" s="1" t="s">
        <v>20</v>
      </c>
      <c r="D1037" s="1" t="s">
        <v>703</v>
      </c>
      <c r="E1037" s="2" t="n">
        <v>451045448</v>
      </c>
      <c r="H1037" s="3" t="n">
        <v>2500</v>
      </c>
      <c r="I1037" s="1" t="n">
        <v>1700</v>
      </c>
      <c r="J1037" s="1" t="n">
        <v>0</v>
      </c>
      <c r="K1037" s="1" t="n">
        <v>800</v>
      </c>
      <c r="M1037" s="5" t="n">
        <v>46031</v>
      </c>
      <c r="N1037" s="33" t="n">
        <f aca="false">DAY(M1037)</f>
        <v>9</v>
      </c>
      <c r="O1037" s="33" t="str">
        <f aca="false">TEXT(M1037,"DDDD")</f>
        <v>viernes</v>
      </c>
      <c r="P1037" s="6" t="n">
        <f aca="false">MONTH(M1037)</f>
        <v>1</v>
      </c>
      <c r="Q1037" s="26" t="str">
        <f aca="false">TEXT(M1037,"MMMM")</f>
        <v>enero</v>
      </c>
    </row>
    <row r="1038" customFormat="false" ht="14.25" hidden="false" customHeight="false" outlineLevel="0" collapsed="false">
      <c r="A1038" s="1" t="n">
        <v>1</v>
      </c>
      <c r="B1038" s="1" t="s">
        <v>1704</v>
      </c>
      <c r="C1038" s="1" t="s">
        <v>20</v>
      </c>
      <c r="D1038" s="1" t="s">
        <v>1705</v>
      </c>
      <c r="E1038" s="2" t="n">
        <v>451043187</v>
      </c>
      <c r="H1038" s="3" t="n">
        <v>1350</v>
      </c>
      <c r="I1038" s="1" t="n">
        <v>1350</v>
      </c>
      <c r="J1038" s="1" t="n">
        <v>0</v>
      </c>
      <c r="K1038" s="1" t="n">
        <v>0</v>
      </c>
      <c r="M1038" s="5" t="n">
        <v>46031</v>
      </c>
      <c r="N1038" s="33" t="n">
        <f aca="false">DAY(M1038)</f>
        <v>9</v>
      </c>
      <c r="O1038" s="33" t="str">
        <f aca="false">TEXT(M1038,"DDDD")</f>
        <v>viernes</v>
      </c>
      <c r="P1038" s="6" t="n">
        <f aca="false">MONTH(M1038)</f>
        <v>1</v>
      </c>
      <c r="Q1038" s="26" t="str">
        <f aca="false">TEXT(M1038,"MMMM")</f>
        <v>enero</v>
      </c>
    </row>
    <row r="1039" customFormat="false" ht="14.25" hidden="false" customHeight="false" outlineLevel="0" collapsed="false">
      <c r="A1039" s="1" t="n">
        <v>10</v>
      </c>
      <c r="B1039" s="1" t="s">
        <v>1677</v>
      </c>
      <c r="C1039" s="1" t="s">
        <v>38</v>
      </c>
      <c r="D1039" s="1" t="s">
        <v>1706</v>
      </c>
      <c r="H1039" s="3" t="n">
        <v>8420</v>
      </c>
      <c r="I1039" s="1" t="n">
        <v>5000</v>
      </c>
      <c r="J1039" s="1" t="n">
        <v>0</v>
      </c>
      <c r="K1039" s="1" t="n">
        <v>3420</v>
      </c>
      <c r="L1039" s="4" t="n">
        <v>3.284</v>
      </c>
      <c r="M1039" s="5" t="n">
        <v>46032</v>
      </c>
      <c r="N1039" s="33" t="n">
        <f aca="false">DAY(M1039)</f>
        <v>10</v>
      </c>
      <c r="O1039" s="33" t="str">
        <f aca="false">TEXT(M1039,"DDDD")</f>
        <v>sábado</v>
      </c>
      <c r="P1039" s="6" t="n">
        <f aca="false">MONTH(M1039)</f>
        <v>1</v>
      </c>
      <c r="Q1039" s="26" t="str">
        <f aca="false">TEXT(M1039,"MMMM")</f>
        <v>enero</v>
      </c>
    </row>
    <row r="1040" customFormat="false" ht="14.25" hidden="false" customHeight="false" outlineLevel="0" collapsed="false">
      <c r="A1040" s="1" t="n">
        <v>9</v>
      </c>
      <c r="B1040" s="1" t="s">
        <v>1678</v>
      </c>
      <c r="C1040" s="1" t="s">
        <v>38</v>
      </c>
      <c r="D1040" s="1" t="s">
        <v>744</v>
      </c>
      <c r="H1040" s="3" t="n">
        <v>1250</v>
      </c>
      <c r="I1040" s="1" t="n">
        <v>1250</v>
      </c>
      <c r="J1040" s="1" t="n">
        <v>0</v>
      </c>
      <c r="K1040" s="1" t="n">
        <v>0</v>
      </c>
      <c r="L1040" s="4" t="n">
        <v>1.682</v>
      </c>
      <c r="M1040" s="5" t="n">
        <v>46032</v>
      </c>
      <c r="N1040" s="33" t="n">
        <f aca="false">DAY(M1040)</f>
        <v>10</v>
      </c>
      <c r="O1040" s="33" t="str">
        <f aca="false">TEXT(M1040,"DDDD")</f>
        <v>sábado</v>
      </c>
      <c r="P1040" s="6" t="n">
        <f aca="false">MONTH(M1040)</f>
        <v>1</v>
      </c>
      <c r="Q1040" s="26" t="str">
        <f aca="false">TEXT(M1040,"MMMM")</f>
        <v>enero</v>
      </c>
    </row>
    <row r="1041" customFormat="false" ht="14.25" hidden="false" customHeight="false" outlineLevel="0" collapsed="false">
      <c r="A1041" s="1" t="n">
        <v>7</v>
      </c>
      <c r="B1041" s="1" t="s">
        <v>1454</v>
      </c>
      <c r="C1041" s="1" t="s">
        <v>38</v>
      </c>
      <c r="D1041" s="1" t="s">
        <v>274</v>
      </c>
      <c r="H1041" s="3" t="n">
        <v>1550</v>
      </c>
      <c r="I1041" s="1" t="n">
        <v>1200</v>
      </c>
      <c r="J1041" s="1" t="n">
        <v>0</v>
      </c>
      <c r="K1041" s="1" t="n">
        <v>350</v>
      </c>
      <c r="L1041" s="4" t="n">
        <v>2.066</v>
      </c>
      <c r="M1041" s="5" t="n">
        <v>46032</v>
      </c>
      <c r="N1041" s="33" t="n">
        <f aca="false">DAY(M1041)</f>
        <v>10</v>
      </c>
      <c r="O1041" s="33" t="str">
        <f aca="false">TEXT(M1041,"DDDD")</f>
        <v>sábado</v>
      </c>
      <c r="P1041" s="6" t="n">
        <f aca="false">MONTH(M1041)</f>
        <v>1</v>
      </c>
      <c r="Q1041" s="26" t="str">
        <f aca="false">TEXT(M1041,"MMMM")</f>
        <v>enero</v>
      </c>
    </row>
    <row r="1042" customFormat="false" ht="14.25" hidden="false" customHeight="false" outlineLevel="0" collapsed="false">
      <c r="A1042" s="1" t="n">
        <v>7</v>
      </c>
      <c r="B1042" s="1" t="s">
        <v>1679</v>
      </c>
      <c r="C1042" s="1" t="s">
        <v>20</v>
      </c>
      <c r="D1042" s="1" t="s">
        <v>421</v>
      </c>
      <c r="E1042" s="2" t="n">
        <v>451177214</v>
      </c>
      <c r="F1042" s="21" t="s">
        <v>1024</v>
      </c>
      <c r="G1042" s="1" t="n">
        <v>451176477</v>
      </c>
      <c r="H1042" s="3" t="n">
        <v>2380</v>
      </c>
      <c r="I1042" s="1" t="n">
        <v>1800</v>
      </c>
      <c r="J1042" s="1" t="n">
        <v>0</v>
      </c>
      <c r="K1042" s="1" t="n">
        <v>580</v>
      </c>
      <c r="L1042" s="4" t="n">
        <v>0.939</v>
      </c>
      <c r="M1042" s="5" t="n">
        <v>46032</v>
      </c>
      <c r="N1042" s="33" t="n">
        <f aca="false">DAY(M1042)</f>
        <v>10</v>
      </c>
      <c r="O1042" s="33" t="str">
        <f aca="false">TEXT(M1042,"DDDD")</f>
        <v>sábado</v>
      </c>
      <c r="P1042" s="6" t="n">
        <f aca="false">MONTH(M1042)</f>
        <v>1</v>
      </c>
      <c r="Q1042" s="26" t="str">
        <f aca="false">TEXT(M1042,"MMMM")</f>
        <v>enero</v>
      </c>
      <c r="R1042" s="21" t="s">
        <v>421</v>
      </c>
      <c r="S1042" s="1" t="n">
        <v>33732</v>
      </c>
    </row>
    <row r="1043" customFormat="false" ht="14.25" hidden="false" customHeight="false" outlineLevel="0" collapsed="false">
      <c r="A1043" s="1" t="n">
        <v>7</v>
      </c>
      <c r="B1043" s="1" t="s">
        <v>1681</v>
      </c>
      <c r="C1043" s="1" t="s">
        <v>38</v>
      </c>
      <c r="D1043" s="1" t="s">
        <v>1707</v>
      </c>
      <c r="E1043" s="2" t="n">
        <v>451171619</v>
      </c>
      <c r="H1043" s="3" t="n">
        <v>3200</v>
      </c>
      <c r="I1043" s="1" t="n">
        <v>2700</v>
      </c>
      <c r="J1043" s="1" t="n">
        <v>0</v>
      </c>
      <c r="K1043" s="1" t="n">
        <v>500</v>
      </c>
      <c r="L1043" s="4" t="n">
        <v>1.579</v>
      </c>
      <c r="M1043" s="5" t="n">
        <v>46032</v>
      </c>
      <c r="N1043" s="33" t="n">
        <f aca="false">DAY(M1043)</f>
        <v>10</v>
      </c>
      <c r="O1043" s="33" t="str">
        <f aca="false">TEXT(M1043,"DDDD")</f>
        <v>sábado</v>
      </c>
      <c r="P1043" s="6" t="n">
        <f aca="false">MONTH(M1043)</f>
        <v>1</v>
      </c>
      <c r="Q1043" s="26" t="str">
        <f aca="false">TEXT(M1043,"MMMM")</f>
        <v>enero</v>
      </c>
    </row>
    <row r="1044" customFormat="false" ht="14.25" hidden="false" customHeight="false" outlineLevel="0" collapsed="false">
      <c r="A1044" s="1" t="n">
        <v>6</v>
      </c>
      <c r="B1044" s="1" t="s">
        <v>1682</v>
      </c>
      <c r="C1044" s="1" t="s">
        <v>20</v>
      </c>
      <c r="D1044" s="1" t="s">
        <v>1683</v>
      </c>
      <c r="E1044" s="2" t="n">
        <v>451170694</v>
      </c>
      <c r="H1044" s="3" t="n">
        <v>1350</v>
      </c>
      <c r="I1044" s="1" t="n">
        <v>1350</v>
      </c>
      <c r="J1044" s="1" t="n">
        <v>0</v>
      </c>
      <c r="K1044" s="1" t="n">
        <v>0</v>
      </c>
      <c r="L1044" s="4" t="n">
        <v>1.705</v>
      </c>
      <c r="M1044" s="5" t="n">
        <v>46032</v>
      </c>
      <c r="N1044" s="33" t="n">
        <f aca="false">DAY(M1044)</f>
        <v>10</v>
      </c>
      <c r="O1044" s="33" t="str">
        <f aca="false">TEXT(M1044,"DDDD")</f>
        <v>sábado</v>
      </c>
      <c r="P1044" s="6" t="n">
        <f aca="false">MONTH(M1044)</f>
        <v>1</v>
      </c>
      <c r="Q1044" s="26" t="str">
        <f aca="false">TEXT(M1044,"MMMM")</f>
        <v>enero</v>
      </c>
    </row>
    <row r="1045" customFormat="false" ht="14.25" hidden="false" customHeight="false" outlineLevel="0" collapsed="false">
      <c r="A1045" s="1" t="n">
        <v>6</v>
      </c>
      <c r="B1045" s="1" t="s">
        <v>1684</v>
      </c>
      <c r="C1045" s="1" t="s">
        <v>20</v>
      </c>
      <c r="D1045" s="1" t="s">
        <v>1685</v>
      </c>
      <c r="E1045" s="2" t="n">
        <v>451169830</v>
      </c>
      <c r="H1045" s="3" t="n">
        <v>2650</v>
      </c>
      <c r="I1045" s="1" t="n">
        <v>1550</v>
      </c>
      <c r="J1045" s="1" t="n">
        <v>0</v>
      </c>
      <c r="K1045" s="1" t="n">
        <v>1100</v>
      </c>
      <c r="L1045" s="4" t="n">
        <v>2.715</v>
      </c>
      <c r="M1045" s="5" t="n">
        <v>46032</v>
      </c>
      <c r="N1045" s="33" t="n">
        <f aca="false">DAY(M1045)</f>
        <v>10</v>
      </c>
      <c r="O1045" s="33" t="str">
        <f aca="false">TEXT(M1045,"DDDD")</f>
        <v>sábado</v>
      </c>
      <c r="P1045" s="6" t="n">
        <f aca="false">MONTH(M1045)</f>
        <v>1</v>
      </c>
      <c r="Q1045" s="26" t="str">
        <f aca="false">TEXT(M1045,"MMMM")</f>
        <v>enero</v>
      </c>
    </row>
    <row r="1046" customFormat="false" ht="14.25" hidden="false" customHeight="false" outlineLevel="0" collapsed="false">
      <c r="A1046" s="1" t="n">
        <v>6</v>
      </c>
      <c r="B1046" s="1" t="s">
        <v>1686</v>
      </c>
      <c r="C1046" s="1" t="s">
        <v>38</v>
      </c>
      <c r="D1046" s="1" t="s">
        <v>1687</v>
      </c>
      <c r="E1046" s="2" t="n">
        <v>451168859</v>
      </c>
      <c r="H1046" s="3" t="n">
        <v>2100</v>
      </c>
      <c r="I1046" s="1" t="n">
        <v>1800</v>
      </c>
      <c r="J1046" s="1" t="n">
        <v>0</v>
      </c>
      <c r="K1046" s="1" t="n">
        <v>300</v>
      </c>
      <c r="L1046" s="4" t="n">
        <v>2.786</v>
      </c>
      <c r="M1046" s="5" t="n">
        <v>46032</v>
      </c>
      <c r="N1046" s="33" t="n">
        <f aca="false">DAY(M1046)</f>
        <v>10</v>
      </c>
      <c r="O1046" s="33" t="str">
        <f aca="false">TEXT(M1046,"DDDD")</f>
        <v>sábado</v>
      </c>
      <c r="P1046" s="6" t="n">
        <f aca="false">MONTH(M1046)</f>
        <v>1</v>
      </c>
      <c r="Q1046" s="26" t="str">
        <f aca="false">TEXT(M1046,"MMMM")</f>
        <v>enero</v>
      </c>
    </row>
    <row r="1047" customFormat="false" ht="14.25" hidden="false" customHeight="false" outlineLevel="0" collapsed="false">
      <c r="A1047" s="1" t="n">
        <v>6</v>
      </c>
      <c r="B1047" s="1" t="s">
        <v>1708</v>
      </c>
      <c r="C1047" s="1" t="s">
        <v>20</v>
      </c>
      <c r="D1047" s="1" t="s">
        <v>1689</v>
      </c>
      <c r="E1047" s="2" t="n">
        <v>451167815</v>
      </c>
      <c r="H1047" s="3" t="n">
        <v>3340</v>
      </c>
      <c r="I1047" s="1" t="n">
        <v>1200</v>
      </c>
      <c r="J1047" s="1" t="n">
        <v>0</v>
      </c>
      <c r="K1047" s="1" t="n">
        <v>2140</v>
      </c>
      <c r="L1047" s="4" t="n">
        <v>0.91</v>
      </c>
      <c r="M1047" s="5" t="n">
        <v>46032</v>
      </c>
      <c r="N1047" s="33" t="n">
        <f aca="false">DAY(M1047)</f>
        <v>10</v>
      </c>
      <c r="O1047" s="33" t="str">
        <f aca="false">TEXT(M1047,"DDDD")</f>
        <v>sábado</v>
      </c>
      <c r="P1047" s="6" t="n">
        <f aca="false">MONTH(M1047)</f>
        <v>1</v>
      </c>
      <c r="Q1047" s="26" t="str">
        <f aca="false">TEXT(M1047,"MMMM")</f>
        <v>enero</v>
      </c>
    </row>
    <row r="1048" customFormat="false" ht="14.25" hidden="false" customHeight="false" outlineLevel="0" collapsed="false">
      <c r="A1048" s="1" t="n">
        <v>6</v>
      </c>
      <c r="B1048" s="1" t="s">
        <v>1709</v>
      </c>
      <c r="C1048" s="1" t="s">
        <v>38</v>
      </c>
      <c r="D1048" s="1" t="s">
        <v>772</v>
      </c>
      <c r="E1048" s="2" t="n">
        <v>451166621</v>
      </c>
      <c r="H1048" s="3" t="n">
        <v>3860</v>
      </c>
      <c r="I1048" s="1" t="n">
        <v>2000</v>
      </c>
      <c r="J1048" s="1" t="n">
        <v>0</v>
      </c>
      <c r="K1048" s="1" t="n">
        <v>1860</v>
      </c>
      <c r="L1048" s="4" t="n">
        <v>0.744</v>
      </c>
      <c r="M1048" s="5" t="n">
        <v>46032</v>
      </c>
      <c r="N1048" s="33" t="n">
        <f aca="false">DAY(M1048)</f>
        <v>10</v>
      </c>
      <c r="O1048" s="33" t="str">
        <f aca="false">TEXT(M1048,"DDDD")</f>
        <v>sábado</v>
      </c>
      <c r="P1048" s="6" t="n">
        <f aca="false">MONTH(M1048)</f>
        <v>1</v>
      </c>
      <c r="Q1048" s="26" t="str">
        <f aca="false">TEXT(M1048,"MMMM")</f>
        <v>enero</v>
      </c>
    </row>
    <row r="1049" customFormat="false" ht="14.25" hidden="false" customHeight="false" outlineLevel="0" collapsed="false">
      <c r="A1049" s="1" t="n">
        <v>5</v>
      </c>
      <c r="B1049" s="1" t="s">
        <v>796</v>
      </c>
      <c r="C1049" s="1" t="s">
        <v>20</v>
      </c>
      <c r="D1049" s="1" t="s">
        <v>1033</v>
      </c>
      <c r="E1049" s="2" t="n">
        <v>451163753</v>
      </c>
      <c r="H1049" s="3" t="n">
        <v>3120</v>
      </c>
      <c r="I1049" s="1" t="n">
        <v>2000</v>
      </c>
      <c r="J1049" s="1" t="n">
        <v>0</v>
      </c>
      <c r="K1049" s="1" t="n">
        <v>1120</v>
      </c>
      <c r="L1049" s="4" t="n">
        <v>2.95</v>
      </c>
      <c r="M1049" s="5" t="n">
        <v>46032</v>
      </c>
      <c r="N1049" s="33" t="n">
        <f aca="false">DAY(M1049)</f>
        <v>10</v>
      </c>
      <c r="O1049" s="33" t="str">
        <f aca="false">TEXT(M1049,"DDDD")</f>
        <v>sábado</v>
      </c>
      <c r="P1049" s="6" t="n">
        <f aca="false">MONTH(M1049)</f>
        <v>1</v>
      </c>
      <c r="Q1049" s="26" t="str">
        <f aca="false">TEXT(M1049,"MMMM")</f>
        <v>enero</v>
      </c>
    </row>
    <row r="1050" customFormat="false" ht="14.25" hidden="false" customHeight="false" outlineLevel="0" collapsed="false">
      <c r="A1050" s="1" t="n">
        <v>5</v>
      </c>
      <c r="B1050" s="1" t="s">
        <v>1710</v>
      </c>
      <c r="C1050" s="1" t="s">
        <v>20</v>
      </c>
      <c r="D1050" s="1" t="s">
        <v>150</v>
      </c>
      <c r="E1050" s="2" t="n">
        <v>451163606</v>
      </c>
      <c r="H1050" s="3" t="n">
        <v>2280</v>
      </c>
      <c r="I1050" s="1" t="n">
        <v>1200</v>
      </c>
      <c r="J1050" s="1" t="n">
        <v>0</v>
      </c>
      <c r="K1050" s="1" t="n">
        <v>1080</v>
      </c>
      <c r="L1050" s="4" t="n">
        <v>1.636</v>
      </c>
      <c r="M1050" s="5" t="n">
        <v>46032</v>
      </c>
      <c r="N1050" s="33" t="n">
        <f aca="false">DAY(M1050)</f>
        <v>10</v>
      </c>
      <c r="O1050" s="33" t="str">
        <f aca="false">TEXT(M1050,"DDDD")</f>
        <v>sábado</v>
      </c>
      <c r="P1050" s="6" t="n">
        <f aca="false">MONTH(M1050)</f>
        <v>1</v>
      </c>
      <c r="Q1050" s="26" t="str">
        <f aca="false">TEXT(M1050,"MMMM")</f>
        <v>enero</v>
      </c>
    </row>
    <row r="1051" customFormat="false" ht="14.25" hidden="false" customHeight="false" outlineLevel="0" collapsed="false">
      <c r="A1051" s="1" t="n">
        <v>4</v>
      </c>
      <c r="B1051" s="1" t="s">
        <v>1711</v>
      </c>
      <c r="C1051" s="1" t="s">
        <v>20</v>
      </c>
      <c r="D1051" s="1" t="s">
        <v>1573</v>
      </c>
      <c r="E1051" s="2" t="n">
        <v>451163417</v>
      </c>
      <c r="H1051" s="3" t="n">
        <v>1480</v>
      </c>
      <c r="I1051" s="1" t="n">
        <v>1200</v>
      </c>
      <c r="J1051" s="1" t="n">
        <v>0</v>
      </c>
      <c r="K1051" s="1" t="n">
        <v>280</v>
      </c>
      <c r="L1051" s="4" t="n">
        <v>1.25</v>
      </c>
      <c r="M1051" s="5" t="n">
        <v>46032</v>
      </c>
      <c r="N1051" s="33" t="n">
        <f aca="false">DAY(M1051)</f>
        <v>10</v>
      </c>
      <c r="O1051" s="33" t="str">
        <f aca="false">TEXT(M1051,"DDDD")</f>
        <v>sábado</v>
      </c>
      <c r="P1051" s="6" t="n">
        <f aca="false">MONTH(M1051)</f>
        <v>1</v>
      </c>
      <c r="Q1051" s="26" t="str">
        <f aca="false">TEXT(M1051,"MMMM")</f>
        <v>enero</v>
      </c>
    </row>
    <row r="1052" customFormat="false" ht="14.25" hidden="false" customHeight="false" outlineLevel="0" collapsed="false">
      <c r="A1052" s="1" t="n">
        <v>4</v>
      </c>
      <c r="B1052" s="1" t="s">
        <v>1712</v>
      </c>
      <c r="C1052" s="1" t="s">
        <v>20</v>
      </c>
      <c r="D1052" s="1" t="s">
        <v>531</v>
      </c>
      <c r="E1052" s="2" t="n">
        <v>451163375</v>
      </c>
      <c r="H1052" s="3" t="n">
        <v>2160</v>
      </c>
      <c r="I1052" s="1" t="n">
        <v>1200</v>
      </c>
      <c r="J1052" s="1" t="n">
        <v>0</v>
      </c>
      <c r="K1052" s="1" t="n">
        <v>960</v>
      </c>
      <c r="L1052" s="4" t="n">
        <v>0.8</v>
      </c>
      <c r="M1052" s="5" t="n">
        <v>46032</v>
      </c>
      <c r="N1052" s="33" t="n">
        <f aca="false">DAY(M1052)</f>
        <v>10</v>
      </c>
      <c r="O1052" s="33" t="str">
        <f aca="false">TEXT(M1052,"DDDD")</f>
        <v>sábado</v>
      </c>
      <c r="P1052" s="6" t="n">
        <f aca="false">MONTH(M1052)</f>
        <v>1</v>
      </c>
      <c r="Q1052" s="26" t="str">
        <f aca="false">TEXT(M1052,"MMMM")</f>
        <v>enero</v>
      </c>
    </row>
    <row r="1053" customFormat="false" ht="14.25" hidden="false" customHeight="false" outlineLevel="0" collapsed="false">
      <c r="A1053" s="1" t="n">
        <v>4</v>
      </c>
      <c r="B1053" s="1" t="s">
        <v>1713</v>
      </c>
      <c r="C1053" s="1" t="s">
        <v>38</v>
      </c>
      <c r="D1053" s="1" t="s">
        <v>366</v>
      </c>
      <c r="E1053" s="2" t="n">
        <v>451163311</v>
      </c>
      <c r="H1053" s="3" t="n">
        <v>2140</v>
      </c>
      <c r="I1053" s="1" t="n">
        <v>1300</v>
      </c>
      <c r="J1053" s="1" t="n">
        <v>0</v>
      </c>
      <c r="K1053" s="1" t="n">
        <v>840</v>
      </c>
      <c r="L1053" s="4" t="n">
        <v>1.588</v>
      </c>
      <c r="M1053" s="5" t="n">
        <v>46032</v>
      </c>
      <c r="N1053" s="33" t="n">
        <f aca="false">DAY(M1053)</f>
        <v>10</v>
      </c>
      <c r="O1053" s="33" t="str">
        <f aca="false">TEXT(M1053,"DDDD")</f>
        <v>sábado</v>
      </c>
      <c r="P1053" s="6" t="n">
        <f aca="false">MONTH(M1053)</f>
        <v>1</v>
      </c>
      <c r="Q1053" s="26" t="str">
        <f aca="false">TEXT(M1053,"MMMM")</f>
        <v>enero</v>
      </c>
    </row>
    <row r="1054" customFormat="false" ht="14.25" hidden="false" customHeight="false" outlineLevel="0" collapsed="false">
      <c r="A1054" s="1" t="n">
        <v>4</v>
      </c>
      <c r="B1054" s="1" t="s">
        <v>1714</v>
      </c>
      <c r="C1054" s="1" t="s">
        <v>20</v>
      </c>
      <c r="D1054" s="1" t="s">
        <v>531</v>
      </c>
      <c r="E1054" s="2" t="n">
        <v>451163198</v>
      </c>
      <c r="H1054" s="3" t="n">
        <v>1650</v>
      </c>
      <c r="I1054" s="1" t="n">
        <v>1650</v>
      </c>
      <c r="J1054" s="1" t="n">
        <v>0</v>
      </c>
      <c r="K1054" s="1" t="n">
        <v>0</v>
      </c>
      <c r="L1054" s="4" t="n">
        <v>1.844</v>
      </c>
      <c r="M1054" s="5" t="n">
        <v>46032</v>
      </c>
      <c r="N1054" s="33" t="n">
        <f aca="false">DAY(M1054)</f>
        <v>10</v>
      </c>
      <c r="O1054" s="33" t="str">
        <f aca="false">TEXT(M1054,"DDDD")</f>
        <v>sábado</v>
      </c>
      <c r="P1054" s="6" t="n">
        <f aca="false">MONTH(M1054)</f>
        <v>1</v>
      </c>
      <c r="Q1054" s="26" t="str">
        <f aca="false">TEXT(M1054,"MMMM")</f>
        <v>enero</v>
      </c>
    </row>
    <row r="1055" customFormat="false" ht="14.25" hidden="false" customHeight="false" outlineLevel="0" collapsed="false">
      <c r="A1055" s="1" t="n">
        <v>3</v>
      </c>
      <c r="B1055" s="1" t="s">
        <v>1715</v>
      </c>
      <c r="C1055" s="1" t="s">
        <v>20</v>
      </c>
      <c r="D1055" s="1" t="s">
        <v>213</v>
      </c>
      <c r="E1055" s="2" t="n">
        <v>451162871</v>
      </c>
      <c r="H1055" s="3" t="n">
        <v>1400</v>
      </c>
      <c r="I1055" s="1" t="n">
        <v>1400</v>
      </c>
      <c r="J1055" s="1" t="n">
        <v>0</v>
      </c>
      <c r="K1055" s="1" t="n">
        <v>0</v>
      </c>
      <c r="L1055" s="4" t="n">
        <v>1.236</v>
      </c>
      <c r="M1055" s="5" t="n">
        <v>46032</v>
      </c>
      <c r="N1055" s="33" t="n">
        <f aca="false">DAY(M1055)</f>
        <v>10</v>
      </c>
      <c r="O1055" s="33" t="str">
        <f aca="false">TEXT(M1055,"DDDD")</f>
        <v>sábado</v>
      </c>
      <c r="P1055" s="6" t="n">
        <f aca="false">MONTH(M1055)</f>
        <v>1</v>
      </c>
      <c r="Q1055" s="26" t="str">
        <f aca="false">TEXT(M1055,"MMMM")</f>
        <v>enero</v>
      </c>
    </row>
    <row r="1056" customFormat="false" ht="14.25" hidden="false" customHeight="false" outlineLevel="0" collapsed="false">
      <c r="A1056" s="1" t="n">
        <v>3</v>
      </c>
      <c r="B1056" s="1" t="s">
        <v>1716</v>
      </c>
      <c r="C1056" s="1" t="s">
        <v>20</v>
      </c>
      <c r="D1056" s="1" t="s">
        <v>531</v>
      </c>
      <c r="E1056" s="2" t="n">
        <v>451162627</v>
      </c>
      <c r="H1056" s="3" t="n">
        <v>2310</v>
      </c>
      <c r="I1056" s="1" t="n">
        <v>1750</v>
      </c>
      <c r="J1056" s="1" t="n">
        <v>0</v>
      </c>
      <c r="K1056" s="1" t="n">
        <v>560</v>
      </c>
      <c r="L1056" s="4" t="n">
        <v>3.064</v>
      </c>
      <c r="M1056" s="5" t="n">
        <v>46032</v>
      </c>
      <c r="N1056" s="33" t="n">
        <f aca="false">DAY(M1056)</f>
        <v>10</v>
      </c>
      <c r="O1056" s="33" t="str">
        <f aca="false">TEXT(M1056,"DDDD")</f>
        <v>sábado</v>
      </c>
      <c r="P1056" s="6" t="n">
        <f aca="false">MONTH(M1056)</f>
        <v>1</v>
      </c>
      <c r="Q1056" s="26" t="str">
        <f aca="false">TEXT(M1056,"MMMM")</f>
        <v>enero</v>
      </c>
    </row>
    <row r="1057" customFormat="false" ht="14.25" hidden="false" customHeight="false" outlineLevel="0" collapsed="false">
      <c r="A1057" s="1" t="n">
        <v>10</v>
      </c>
      <c r="B1057" s="1" t="s">
        <v>768</v>
      </c>
      <c r="C1057" s="1" t="s">
        <v>38</v>
      </c>
      <c r="D1057" s="1" t="s">
        <v>478</v>
      </c>
      <c r="E1057" s="2" t="n">
        <v>451472325</v>
      </c>
      <c r="H1057" s="3" t="n">
        <v>2400</v>
      </c>
      <c r="I1057" s="1" t="n">
        <v>2400</v>
      </c>
      <c r="J1057" s="1" t="n">
        <v>0</v>
      </c>
      <c r="K1057" s="1" t="n">
        <v>0</v>
      </c>
      <c r="L1057" s="4" t="n">
        <v>2.908</v>
      </c>
      <c r="M1057" s="48" t="n">
        <v>46034</v>
      </c>
      <c r="N1057" s="33" t="n">
        <f aca="false">DAY(M1057)</f>
        <v>12</v>
      </c>
      <c r="O1057" s="33" t="str">
        <f aca="false">TEXT(M1057,"DDDD")</f>
        <v>lunes</v>
      </c>
      <c r="P1057" s="6" t="n">
        <f aca="false">MONTH(M1057)</f>
        <v>1</v>
      </c>
      <c r="Q1057" s="26" t="str">
        <f aca="false">TEXT(M1057,"MMMM")</f>
        <v>enero</v>
      </c>
    </row>
    <row r="1058" customFormat="false" ht="14.25" hidden="false" customHeight="false" outlineLevel="0" collapsed="false">
      <c r="A1058" s="1" t="n">
        <v>10</v>
      </c>
      <c r="B1058" s="1" t="s">
        <v>1717</v>
      </c>
      <c r="C1058" s="1" t="s">
        <v>38</v>
      </c>
      <c r="D1058" s="1" t="s">
        <v>1409</v>
      </c>
      <c r="E1058" s="2" t="n">
        <v>451466482</v>
      </c>
      <c r="H1058" s="3" t="n">
        <v>1200</v>
      </c>
      <c r="I1058" s="1" t="n">
        <v>1200</v>
      </c>
      <c r="J1058" s="1" t="n">
        <v>0</v>
      </c>
      <c r="K1058" s="1" t="n">
        <v>420</v>
      </c>
      <c r="L1058" s="4" t="n">
        <v>1.437</v>
      </c>
      <c r="M1058" s="48" t="n">
        <v>46034</v>
      </c>
      <c r="N1058" s="33" t="n">
        <f aca="false">DAY(M1058)</f>
        <v>12</v>
      </c>
      <c r="O1058" s="33" t="str">
        <f aca="false">TEXT(M1058,"DDDD")</f>
        <v>lunes</v>
      </c>
      <c r="P1058" s="6" t="n">
        <f aca="false">MONTH(M1058)</f>
        <v>1</v>
      </c>
      <c r="Q1058" s="26" t="str">
        <f aca="false">TEXT(M1058,"MMMM")</f>
        <v>enero</v>
      </c>
    </row>
    <row r="1059" customFormat="false" ht="14.25" hidden="false" customHeight="false" outlineLevel="0" collapsed="false">
      <c r="A1059" s="1" t="n">
        <v>7</v>
      </c>
      <c r="B1059" s="1" t="s">
        <v>1718</v>
      </c>
      <c r="C1059" s="1" t="s">
        <v>38</v>
      </c>
      <c r="D1059" s="1" t="s">
        <v>103</v>
      </c>
      <c r="E1059" s="2" t="n">
        <v>451456803</v>
      </c>
      <c r="F1059" s="21" t="s">
        <v>79</v>
      </c>
      <c r="G1059" s="1" t="n">
        <v>451453523</v>
      </c>
      <c r="H1059" s="3" t="n">
        <v>1800</v>
      </c>
      <c r="I1059" s="1" t="n">
        <v>1800</v>
      </c>
      <c r="J1059" s="1" t="n">
        <v>0</v>
      </c>
      <c r="K1059" s="1" t="n">
        <v>3700</v>
      </c>
      <c r="L1059" s="4" t="n">
        <v>1.42</v>
      </c>
      <c r="M1059" s="48" t="n">
        <v>46034</v>
      </c>
      <c r="N1059" s="33" t="n">
        <f aca="false">DAY(M1059)</f>
        <v>12</v>
      </c>
      <c r="O1059" s="33" t="str">
        <f aca="false">TEXT(M1059,"DDDD")</f>
        <v>lunes</v>
      </c>
      <c r="P1059" s="6" t="n">
        <f aca="false">MONTH(M1059)</f>
        <v>1</v>
      </c>
      <c r="Q1059" s="26" t="str">
        <f aca="false">TEXT(M1059,"MMMM")</f>
        <v>enero</v>
      </c>
      <c r="R1059" s="21" t="s">
        <v>103</v>
      </c>
      <c r="S1059" s="1" t="n">
        <v>12738</v>
      </c>
    </row>
    <row r="1060" customFormat="false" ht="14.25" hidden="false" customHeight="false" outlineLevel="0" collapsed="false">
      <c r="A1060" s="1" t="n">
        <v>7</v>
      </c>
      <c r="B1060" s="1" t="s">
        <v>1719</v>
      </c>
      <c r="C1060" s="1" t="s">
        <v>20</v>
      </c>
      <c r="D1060" s="1" t="s">
        <v>526</v>
      </c>
      <c r="E1060" s="2" t="n">
        <v>451452302</v>
      </c>
      <c r="H1060" s="3" t="n">
        <v>1350</v>
      </c>
      <c r="I1060" s="1" t="n">
        <v>1350</v>
      </c>
      <c r="J1060" s="1" t="n">
        <v>0</v>
      </c>
      <c r="K1060" s="1" t="n">
        <v>0</v>
      </c>
      <c r="L1060" s="4" t="n">
        <v>1.392</v>
      </c>
      <c r="M1060" s="48" t="n">
        <v>46034</v>
      </c>
      <c r="N1060" s="33" t="n">
        <f aca="false">DAY(M1060)</f>
        <v>12</v>
      </c>
      <c r="O1060" s="33" t="str">
        <f aca="false">TEXT(M1060,"DDDD")</f>
        <v>lunes</v>
      </c>
      <c r="P1060" s="6" t="n">
        <f aca="false">MONTH(M1060)</f>
        <v>1</v>
      </c>
      <c r="Q1060" s="26" t="str">
        <f aca="false">TEXT(M1060,"MMMM")</f>
        <v>enero</v>
      </c>
    </row>
    <row r="1061" customFormat="false" ht="14.25" hidden="false" customHeight="false" outlineLevel="0" collapsed="false">
      <c r="A1061" s="1" t="n">
        <v>7</v>
      </c>
      <c r="B1061" s="1" t="s">
        <v>1720</v>
      </c>
      <c r="C1061" s="1" t="s">
        <v>20</v>
      </c>
      <c r="D1061" s="1" t="s">
        <v>82</v>
      </c>
      <c r="E1061" s="2" t="n">
        <v>451448659</v>
      </c>
      <c r="H1061" s="3" t="n">
        <v>1200</v>
      </c>
      <c r="I1061" s="1" t="n">
        <v>1200</v>
      </c>
      <c r="J1061" s="1" t="n">
        <v>0</v>
      </c>
      <c r="K1061" s="1" t="n">
        <v>0</v>
      </c>
      <c r="L1061" s="4" t="n">
        <v>0.815</v>
      </c>
      <c r="M1061" s="48" t="n">
        <v>46034</v>
      </c>
      <c r="N1061" s="33" t="n">
        <f aca="false">DAY(M1061)</f>
        <v>12</v>
      </c>
      <c r="O1061" s="33" t="str">
        <f aca="false">TEXT(M1061,"DDDD")</f>
        <v>lunes</v>
      </c>
      <c r="P1061" s="6" t="n">
        <f aca="false">MONTH(M1061)</f>
        <v>1</v>
      </c>
      <c r="Q1061" s="26" t="str">
        <f aca="false">TEXT(M1061,"MMMM")</f>
        <v>enero</v>
      </c>
    </row>
    <row r="1062" customFormat="false" ht="14.25" hidden="false" customHeight="false" outlineLevel="0" collapsed="false">
      <c r="A1062" s="1" t="n">
        <v>6</v>
      </c>
      <c r="B1062" s="1" t="s">
        <v>1721</v>
      </c>
      <c r="C1062" s="1" t="s">
        <v>38</v>
      </c>
      <c r="D1062" s="1" t="s">
        <v>396</v>
      </c>
      <c r="E1062" s="2" t="n">
        <v>451433358</v>
      </c>
      <c r="H1062" s="3" t="n">
        <v>3140</v>
      </c>
      <c r="I1062" s="1" t="n">
        <v>2300</v>
      </c>
      <c r="J1062" s="1" t="n">
        <v>0</v>
      </c>
      <c r="K1062" s="1" t="n">
        <v>840</v>
      </c>
      <c r="L1062" s="4" t="n">
        <v>1.871</v>
      </c>
      <c r="M1062" s="48" t="n">
        <v>46034</v>
      </c>
      <c r="N1062" s="33" t="n">
        <f aca="false">DAY(M1062)</f>
        <v>12</v>
      </c>
      <c r="O1062" s="33" t="str">
        <f aca="false">TEXT(M1062,"DDDD")</f>
        <v>lunes</v>
      </c>
      <c r="P1062" s="6" t="n">
        <f aca="false">MONTH(M1062)</f>
        <v>1</v>
      </c>
      <c r="Q1062" s="26" t="str">
        <f aca="false">TEXT(M1062,"MMMM")</f>
        <v>enero</v>
      </c>
      <c r="R1062" s="21" t="s">
        <v>396</v>
      </c>
      <c r="S1062" s="1" t="n">
        <v>15741.3</v>
      </c>
    </row>
    <row r="1063" customFormat="false" ht="14.25" hidden="false" customHeight="false" outlineLevel="0" collapsed="false">
      <c r="A1063" s="1" t="n">
        <v>12</v>
      </c>
      <c r="B1063" s="1" t="s">
        <v>940</v>
      </c>
      <c r="C1063" s="1" t="s">
        <v>20</v>
      </c>
      <c r="D1063" s="1" t="s">
        <v>1722</v>
      </c>
      <c r="E1063" s="2" t="n">
        <v>451406830</v>
      </c>
      <c r="F1063" s="21" t="s">
        <v>1722</v>
      </c>
      <c r="G1063" s="1" t="n">
        <v>451407362</v>
      </c>
      <c r="H1063" s="3" t="n">
        <v>1950</v>
      </c>
      <c r="I1063" s="1" t="n">
        <v>1950</v>
      </c>
      <c r="J1063" s="1" t="n">
        <v>0</v>
      </c>
      <c r="K1063" s="1" t="n">
        <v>2</v>
      </c>
      <c r="L1063" s="4" t="n">
        <v>2.099</v>
      </c>
      <c r="M1063" s="48" t="n">
        <v>46034</v>
      </c>
      <c r="N1063" s="33" t="n">
        <f aca="false">DAY(M1063)</f>
        <v>12</v>
      </c>
      <c r="O1063" s="33" t="str">
        <f aca="false">TEXT(M1063,"DDDD")</f>
        <v>lunes</v>
      </c>
      <c r="P1063" s="6" t="n">
        <f aca="false">MONTH(M1063)</f>
        <v>1</v>
      </c>
      <c r="Q1063" s="26" t="str">
        <f aca="false">TEXT(M1063,"MMMM")</f>
        <v>enero</v>
      </c>
    </row>
    <row r="1064" customFormat="false" ht="14.25" hidden="false" customHeight="false" outlineLevel="0" collapsed="false">
      <c r="A1064" s="1" t="n">
        <v>12</v>
      </c>
      <c r="B1064" s="1" t="s">
        <v>1723</v>
      </c>
      <c r="C1064" s="1" t="s">
        <v>140</v>
      </c>
      <c r="D1064" s="1" t="s">
        <v>1724</v>
      </c>
      <c r="E1064" s="2" t="n">
        <v>451436912</v>
      </c>
      <c r="F1064" s="21" t="s">
        <v>396</v>
      </c>
      <c r="H1064" s="3" t="n">
        <v>7510</v>
      </c>
      <c r="I1064" s="1" t="n">
        <v>4950</v>
      </c>
      <c r="J1064" s="1" t="n">
        <v>0</v>
      </c>
      <c r="K1064" s="1" t="n">
        <v>2560</v>
      </c>
      <c r="L1064" s="4" t="n">
        <v>2.579</v>
      </c>
      <c r="M1064" s="48" t="n">
        <v>46034</v>
      </c>
      <c r="N1064" s="33" t="n">
        <f aca="false">DAY(M1064)</f>
        <v>12</v>
      </c>
      <c r="O1064" s="33" t="str">
        <f aca="false">TEXT(M1064,"DDDD")</f>
        <v>lunes</v>
      </c>
      <c r="P1064" s="6" t="n">
        <f aca="false">MONTH(M1064)</f>
        <v>1</v>
      </c>
      <c r="Q1064" s="26" t="str">
        <f aca="false">TEXT(M1064,"MMMM")</f>
        <v>enero</v>
      </c>
    </row>
    <row r="1065" customFormat="false" ht="14.25" hidden="false" customHeight="false" outlineLevel="0" collapsed="false">
      <c r="A1065" s="1" t="n">
        <v>11</v>
      </c>
      <c r="B1065" s="1" t="s">
        <v>1398</v>
      </c>
      <c r="C1065" s="1" t="s">
        <v>20</v>
      </c>
      <c r="D1065" s="1" t="s">
        <v>692</v>
      </c>
      <c r="E1065" s="2" t="n">
        <v>451403498</v>
      </c>
      <c r="H1065" s="3" t="n">
        <v>4360</v>
      </c>
      <c r="I1065" s="1" t="n">
        <v>1200</v>
      </c>
      <c r="J1065" s="1" t="n">
        <v>0</v>
      </c>
      <c r="K1065" s="1" t="n">
        <v>3160</v>
      </c>
      <c r="L1065" s="4" t="n">
        <v>2.646</v>
      </c>
      <c r="M1065" s="48" t="n">
        <v>46034</v>
      </c>
      <c r="N1065" s="33" t="n">
        <f aca="false">DAY(M1065)</f>
        <v>12</v>
      </c>
      <c r="O1065" s="33" t="str">
        <f aca="false">TEXT(M1065,"DDDD")</f>
        <v>lunes</v>
      </c>
      <c r="P1065" s="6" t="n">
        <f aca="false">MONTH(M1065)</f>
        <v>1</v>
      </c>
      <c r="Q1065" s="26" t="str">
        <f aca="false">TEXT(M1065,"MMMM")</f>
        <v>enero</v>
      </c>
    </row>
    <row r="1066" customFormat="false" ht="14.25" hidden="false" customHeight="false" outlineLevel="0" collapsed="false">
      <c r="A1066" s="1" t="n">
        <v>11</v>
      </c>
      <c r="B1066" s="1" t="s">
        <v>1725</v>
      </c>
      <c r="C1066" s="1" t="s">
        <v>20</v>
      </c>
      <c r="D1066" s="1" t="s">
        <v>1726</v>
      </c>
      <c r="E1066" s="2" t="n">
        <v>451402421</v>
      </c>
      <c r="H1066" s="3" t="n">
        <v>3320</v>
      </c>
      <c r="I1066" s="1" t="n">
        <v>1200</v>
      </c>
      <c r="J1066" s="1" t="n">
        <v>0</v>
      </c>
      <c r="K1066" s="1" t="n">
        <v>2120</v>
      </c>
      <c r="L1066" s="4" t="n">
        <v>0.853</v>
      </c>
      <c r="M1066" s="48" t="n">
        <v>46034</v>
      </c>
      <c r="N1066" s="33" t="n">
        <f aca="false">DAY(M1066)</f>
        <v>12</v>
      </c>
      <c r="O1066" s="33" t="str">
        <f aca="false">TEXT(M1066,"DDDD")</f>
        <v>lunes</v>
      </c>
      <c r="P1066" s="6" t="n">
        <f aca="false">MONTH(M1066)</f>
        <v>1</v>
      </c>
      <c r="Q1066" s="26" t="str">
        <f aca="false">TEXT(M1066,"MMMM")</f>
        <v>enero</v>
      </c>
    </row>
    <row r="1067" customFormat="false" ht="14.25" hidden="false" customHeight="false" outlineLevel="0" collapsed="false">
      <c r="A1067" s="1" t="n">
        <v>11</v>
      </c>
      <c r="B1067" s="1" t="s">
        <v>1727</v>
      </c>
      <c r="C1067" s="1" t="s">
        <v>20</v>
      </c>
      <c r="D1067" s="1" t="s">
        <v>1728</v>
      </c>
      <c r="E1067" s="2" t="n">
        <v>451400876</v>
      </c>
      <c r="H1067" s="3" t="n">
        <v>1500</v>
      </c>
      <c r="I1067" s="1" t="n">
        <v>1200</v>
      </c>
      <c r="J1067" s="1" t="n">
        <v>0</v>
      </c>
      <c r="K1067" s="1" t="n">
        <v>300</v>
      </c>
      <c r="L1067" s="4" t="n">
        <v>1.52</v>
      </c>
      <c r="M1067" s="48" t="n">
        <v>46034</v>
      </c>
      <c r="N1067" s="33" t="n">
        <f aca="false">DAY(M1067)</f>
        <v>12</v>
      </c>
      <c r="O1067" s="33" t="str">
        <f aca="false">TEXT(M1067,"DDDD")</f>
        <v>lunes</v>
      </c>
      <c r="P1067" s="6" t="n">
        <f aca="false">MONTH(M1067)</f>
        <v>1</v>
      </c>
      <c r="Q1067" s="26" t="str">
        <f aca="false">TEXT(M1067,"MMMM")</f>
        <v>enero</v>
      </c>
    </row>
    <row r="1068" customFormat="false" ht="14.25" hidden="false" customHeight="false" outlineLevel="0" collapsed="false">
      <c r="A1068" s="1" t="n">
        <v>6</v>
      </c>
      <c r="B1068" s="1" t="s">
        <v>1729</v>
      </c>
      <c r="C1068" s="1" t="s">
        <v>38</v>
      </c>
      <c r="D1068" s="1" t="s">
        <v>1730</v>
      </c>
      <c r="E1068" s="2" t="n">
        <v>451399805</v>
      </c>
      <c r="H1068" s="3" t="n">
        <v>2040</v>
      </c>
      <c r="I1068" s="1" t="n">
        <v>1200</v>
      </c>
      <c r="J1068" s="1" t="n">
        <v>0</v>
      </c>
      <c r="K1068" s="1" t="n">
        <v>840</v>
      </c>
      <c r="L1068" s="4" t="n">
        <v>2.04</v>
      </c>
      <c r="M1068" s="48" t="n">
        <v>46034</v>
      </c>
      <c r="N1068" s="33" t="n">
        <f aca="false">DAY(M1068)</f>
        <v>12</v>
      </c>
      <c r="O1068" s="33" t="str">
        <f aca="false">TEXT(M1068,"DDDD")</f>
        <v>lunes</v>
      </c>
      <c r="P1068" s="6" t="n">
        <f aca="false">MONTH(M1068)</f>
        <v>1</v>
      </c>
      <c r="Q1068" s="26" t="str">
        <f aca="false">TEXT(M1068,"MMMM")</f>
        <v>enero</v>
      </c>
    </row>
    <row r="1069" customFormat="false" ht="14.25" hidden="false" customHeight="false" outlineLevel="0" collapsed="false">
      <c r="A1069" s="1" t="n">
        <v>6</v>
      </c>
      <c r="B1069" s="1" t="s">
        <v>1731</v>
      </c>
      <c r="C1069" s="1" t="s">
        <v>20</v>
      </c>
      <c r="D1069" s="1" t="s">
        <v>1732</v>
      </c>
      <c r="E1069" s="2" t="n">
        <v>451399710</v>
      </c>
      <c r="H1069" s="3" t="n">
        <v>1200</v>
      </c>
      <c r="I1069" s="1" t="n">
        <v>1200</v>
      </c>
      <c r="J1069" s="1" t="n">
        <v>0</v>
      </c>
      <c r="K1069" s="1" t="n">
        <v>0</v>
      </c>
      <c r="L1069" s="4" t="n">
        <v>0.772</v>
      </c>
      <c r="M1069" s="48" t="n">
        <v>46034</v>
      </c>
      <c r="N1069" s="33" t="n">
        <f aca="false">DAY(M1069)</f>
        <v>12</v>
      </c>
      <c r="O1069" s="33" t="str">
        <f aca="false">TEXT(M1069,"DDDD")</f>
        <v>lunes</v>
      </c>
      <c r="P1069" s="6" t="n">
        <f aca="false">MONTH(M1069)</f>
        <v>1</v>
      </c>
      <c r="Q1069" s="26" t="str">
        <f aca="false">TEXT(M1069,"MMMM")</f>
        <v>enero</v>
      </c>
    </row>
    <row r="1070" customFormat="false" ht="14.25" hidden="false" customHeight="false" outlineLevel="0" collapsed="false">
      <c r="A1070" s="1" t="n">
        <v>6</v>
      </c>
      <c r="B1070" s="1" t="s">
        <v>1733</v>
      </c>
      <c r="C1070" s="1" t="s">
        <v>38</v>
      </c>
      <c r="D1070" s="1" t="s">
        <v>1734</v>
      </c>
      <c r="E1070" s="2" t="n">
        <v>451397663</v>
      </c>
      <c r="H1070" s="3" t="n">
        <v>1200</v>
      </c>
      <c r="I1070" s="1" t="n">
        <v>1200</v>
      </c>
      <c r="J1070" s="1" t="n">
        <v>0</v>
      </c>
      <c r="K1070" s="1" t="n">
        <v>0</v>
      </c>
      <c r="L1070" s="4" t="n">
        <v>1.185</v>
      </c>
      <c r="M1070" s="48" t="n">
        <v>46034</v>
      </c>
      <c r="N1070" s="33" t="n">
        <f aca="false">DAY(M1070)</f>
        <v>12</v>
      </c>
      <c r="O1070" s="33" t="str">
        <f aca="false">TEXT(M1070,"DDDD")</f>
        <v>lunes</v>
      </c>
      <c r="P1070" s="6" t="n">
        <f aca="false">MONTH(M1070)</f>
        <v>1</v>
      </c>
      <c r="Q1070" s="26" t="str">
        <f aca="false">TEXT(M1070,"MMMM")</f>
        <v>enero</v>
      </c>
    </row>
    <row r="1071" customFormat="false" ht="14.25" hidden="false" customHeight="false" outlineLevel="0" collapsed="false">
      <c r="A1071" s="1" t="n">
        <v>5</v>
      </c>
      <c r="B1071" s="1" t="s">
        <v>647</v>
      </c>
      <c r="C1071" s="1" t="s">
        <v>20</v>
      </c>
      <c r="D1071" s="1" t="s">
        <v>1735</v>
      </c>
      <c r="E1071" s="2" t="n">
        <v>451396454</v>
      </c>
      <c r="H1071" s="3" t="n">
        <v>2200</v>
      </c>
      <c r="I1071" s="1" t="n">
        <v>1200</v>
      </c>
      <c r="J1071" s="1" t="n">
        <v>0</v>
      </c>
      <c r="K1071" s="1" t="n">
        <v>1000</v>
      </c>
      <c r="L1071" s="4" t="n">
        <v>3.233</v>
      </c>
      <c r="M1071" s="48" t="n">
        <v>46034</v>
      </c>
      <c r="N1071" s="33" t="n">
        <f aca="false">DAY(M1071)</f>
        <v>12</v>
      </c>
      <c r="O1071" s="33" t="str">
        <f aca="false">TEXT(M1071,"DDDD")</f>
        <v>lunes</v>
      </c>
      <c r="P1071" s="6" t="n">
        <f aca="false">MONTH(M1071)</f>
        <v>1</v>
      </c>
      <c r="Q1071" s="26" t="str">
        <f aca="false">TEXT(M1071,"MMMM")</f>
        <v>enero</v>
      </c>
    </row>
    <row r="1072" customFormat="false" ht="14.25" hidden="false" customHeight="false" outlineLevel="0" collapsed="false">
      <c r="A1072" s="1" t="n">
        <v>5</v>
      </c>
      <c r="B1072" s="1" t="s">
        <v>1736</v>
      </c>
      <c r="C1072" s="1" t="s">
        <v>20</v>
      </c>
      <c r="D1072" s="1" t="s">
        <v>1737</v>
      </c>
      <c r="E1072" s="2" t="n">
        <v>451396239</v>
      </c>
      <c r="H1072" s="3" t="n">
        <v>1300</v>
      </c>
      <c r="I1072" s="1" t="n">
        <v>1200</v>
      </c>
      <c r="J1072" s="1" t="n">
        <v>0</v>
      </c>
      <c r="K1072" s="1" t="n">
        <v>100</v>
      </c>
      <c r="L1072" s="4" t="n">
        <v>0.391</v>
      </c>
      <c r="M1072" s="48" t="n">
        <v>46034</v>
      </c>
      <c r="N1072" s="33" t="n">
        <f aca="false">DAY(M1072)</f>
        <v>12</v>
      </c>
      <c r="O1072" s="33" t="str">
        <f aca="false">TEXT(M1072,"DDDD")</f>
        <v>lunes</v>
      </c>
      <c r="P1072" s="6" t="n">
        <f aca="false">MONTH(M1072)</f>
        <v>1</v>
      </c>
      <c r="Q1072" s="26" t="str">
        <f aca="false">TEXT(M1072,"MMMM")</f>
        <v>enero</v>
      </c>
    </row>
    <row r="1073" customFormat="false" ht="14.25" hidden="false" customHeight="false" outlineLevel="0" collapsed="false">
      <c r="A1073" s="1" t="n">
        <v>5</v>
      </c>
      <c r="B1073" s="1" t="s">
        <v>1738</v>
      </c>
      <c r="C1073" s="1" t="s">
        <v>20</v>
      </c>
      <c r="D1073" s="1" t="s">
        <v>1739</v>
      </c>
      <c r="E1073" s="2" t="n">
        <v>451395275</v>
      </c>
      <c r="H1073" s="3" t="n">
        <v>2090</v>
      </c>
      <c r="I1073" s="1" t="n">
        <v>1250</v>
      </c>
      <c r="J1073" s="1" t="n">
        <v>0</v>
      </c>
      <c r="K1073" s="1" t="n">
        <v>840</v>
      </c>
      <c r="L1073" s="4" t="n">
        <v>3.091</v>
      </c>
      <c r="M1073" s="48" t="n">
        <v>46034</v>
      </c>
      <c r="N1073" s="33" t="n">
        <f aca="false">DAY(M1073)</f>
        <v>12</v>
      </c>
      <c r="O1073" s="33" t="str">
        <f aca="false">TEXT(M1073,"DDDD")</f>
        <v>lunes</v>
      </c>
      <c r="P1073" s="6" t="n">
        <f aca="false">MONTH(M1073)</f>
        <v>1</v>
      </c>
      <c r="Q1073" s="26" t="str">
        <f aca="false">TEXT(M1073,"MMMM")</f>
        <v>enero</v>
      </c>
    </row>
    <row r="1074" customFormat="false" ht="14.25" hidden="false" customHeight="false" outlineLevel="0" collapsed="false">
      <c r="A1074" s="1" t="n">
        <v>5</v>
      </c>
      <c r="B1074" s="1" t="s">
        <v>1740</v>
      </c>
      <c r="C1074" s="1" t="s">
        <v>20</v>
      </c>
      <c r="D1074" s="1" t="s">
        <v>1741</v>
      </c>
      <c r="E1074" s="2" t="n">
        <v>451394925</v>
      </c>
      <c r="H1074" s="3" t="n">
        <v>1680</v>
      </c>
      <c r="I1074" s="1" t="n">
        <v>1200</v>
      </c>
      <c r="J1074" s="1" t="n">
        <v>0</v>
      </c>
      <c r="K1074" s="1" t="n">
        <v>480</v>
      </c>
      <c r="L1074" s="4" t="n">
        <v>0.597</v>
      </c>
      <c r="M1074" s="48" t="n">
        <v>46034</v>
      </c>
      <c r="N1074" s="33" t="n">
        <f aca="false">DAY(M1074)</f>
        <v>12</v>
      </c>
      <c r="O1074" s="33" t="str">
        <f aca="false">TEXT(M1074,"DDDD")</f>
        <v>lunes</v>
      </c>
      <c r="P1074" s="6" t="n">
        <f aca="false">MONTH(M1074)</f>
        <v>1</v>
      </c>
      <c r="Q1074" s="26" t="str">
        <f aca="false">TEXT(M1074,"MMMM")</f>
        <v>enero</v>
      </c>
    </row>
    <row r="1075" customFormat="false" ht="14.25" hidden="false" customHeight="false" outlineLevel="0" collapsed="false">
      <c r="A1075" s="1" t="n">
        <v>5</v>
      </c>
      <c r="B1075" s="1" t="s">
        <v>1742</v>
      </c>
      <c r="C1075" s="1" t="s">
        <v>20</v>
      </c>
      <c r="D1075" s="1" t="s">
        <v>103</v>
      </c>
      <c r="E1075" s="2" t="n">
        <v>451394515</v>
      </c>
      <c r="F1075" s="21" t="s">
        <v>1743</v>
      </c>
      <c r="G1075" s="1" t="n">
        <v>451394592</v>
      </c>
      <c r="H1075" s="3" t="n">
        <v>5200</v>
      </c>
      <c r="I1075" s="1" t="n">
        <v>1800</v>
      </c>
      <c r="J1075" s="1" t="n">
        <v>0</v>
      </c>
      <c r="K1075" s="1" t="n">
        <v>3400</v>
      </c>
      <c r="L1075" s="4" t="n">
        <v>1.691</v>
      </c>
      <c r="M1075" s="48" t="n">
        <v>46034</v>
      </c>
      <c r="N1075" s="33" t="n">
        <f aca="false">DAY(M1075)</f>
        <v>12</v>
      </c>
      <c r="O1075" s="33" t="str">
        <f aca="false">TEXT(M1075,"DDDD")</f>
        <v>lunes</v>
      </c>
      <c r="P1075" s="6" t="n">
        <f aca="false">MONTH(M1075)</f>
        <v>1</v>
      </c>
      <c r="Q1075" s="26" t="str">
        <f aca="false">TEXT(M1075,"MMMM")</f>
        <v>enero</v>
      </c>
    </row>
    <row r="1076" customFormat="false" ht="14.25" hidden="false" customHeight="false" outlineLevel="0" collapsed="false">
      <c r="A1076" s="1" t="n">
        <v>4</v>
      </c>
      <c r="B1076" s="1" t="s">
        <v>656</v>
      </c>
      <c r="C1076" s="1" t="s">
        <v>20</v>
      </c>
      <c r="D1076" s="1" t="s">
        <v>1541</v>
      </c>
      <c r="E1076" s="2" t="n">
        <v>451394424</v>
      </c>
      <c r="H1076" s="3" t="n">
        <v>3060</v>
      </c>
      <c r="I1076" s="1" t="n">
        <v>1200</v>
      </c>
      <c r="J1076" s="1" t="n">
        <v>0</v>
      </c>
      <c r="K1076" s="1" t="n">
        <v>1860</v>
      </c>
      <c r="L1076" s="4" t="n">
        <v>0.864</v>
      </c>
      <c r="M1076" s="48" t="n">
        <v>46034</v>
      </c>
      <c r="N1076" s="33" t="n">
        <f aca="false">DAY(M1076)</f>
        <v>12</v>
      </c>
      <c r="O1076" s="33" t="str">
        <f aca="false">TEXT(M1076,"DDDD")</f>
        <v>lunes</v>
      </c>
      <c r="P1076" s="6" t="n">
        <f aca="false">MONTH(M1076)</f>
        <v>1</v>
      </c>
      <c r="Q1076" s="26" t="str">
        <f aca="false">TEXT(M1076,"MMMM")</f>
        <v>enero</v>
      </c>
    </row>
    <row r="1077" customFormat="false" ht="14.25" hidden="false" customHeight="false" outlineLevel="0" collapsed="false">
      <c r="A1077" s="1" t="n">
        <v>12</v>
      </c>
      <c r="B1077" s="1" t="s">
        <v>1480</v>
      </c>
      <c r="C1077" s="1" t="s">
        <v>38</v>
      </c>
      <c r="D1077" s="1" t="s">
        <v>1744</v>
      </c>
      <c r="E1077" s="2" t="n">
        <v>451569725</v>
      </c>
      <c r="H1077" s="3" t="n">
        <v>1200</v>
      </c>
      <c r="I1077" s="1" t="n">
        <v>1200</v>
      </c>
      <c r="J1077" s="1" t="n">
        <v>0</v>
      </c>
      <c r="K1077" s="1" t="n">
        <v>0</v>
      </c>
      <c r="L1077" s="4" t="n">
        <v>0.708</v>
      </c>
      <c r="M1077" s="48" t="n">
        <v>46035</v>
      </c>
      <c r="N1077" s="33" t="n">
        <f aca="false">DAY(M1077)</f>
        <v>13</v>
      </c>
      <c r="O1077" s="33" t="str">
        <f aca="false">TEXT(M1077,"DDDD")</f>
        <v>martes</v>
      </c>
      <c r="P1077" s="6" t="n">
        <f aca="false">MONTH(M1077)</f>
        <v>1</v>
      </c>
      <c r="Q1077" s="26" t="str">
        <f aca="false">TEXT(M1077,"MMMM")</f>
        <v>enero</v>
      </c>
    </row>
    <row r="1078" customFormat="false" ht="14.25" hidden="false" customHeight="false" outlineLevel="0" collapsed="false">
      <c r="A1078" s="1" t="n">
        <v>12</v>
      </c>
      <c r="B1078" s="1" t="s">
        <v>1745</v>
      </c>
      <c r="C1078" s="1" t="s">
        <v>20</v>
      </c>
      <c r="D1078" s="1" t="s">
        <v>1746</v>
      </c>
      <c r="E1078" s="2" t="n">
        <v>451565723</v>
      </c>
      <c r="H1078" s="3" t="n">
        <v>3480</v>
      </c>
      <c r="I1078" s="1" t="n">
        <v>1200</v>
      </c>
      <c r="J1078" s="1" t="n">
        <v>0</v>
      </c>
      <c r="K1078" s="1" t="n">
        <v>2280</v>
      </c>
      <c r="L1078" s="4" t="n">
        <v>1.232</v>
      </c>
      <c r="M1078" s="48" t="n">
        <v>46035</v>
      </c>
      <c r="N1078" s="33" t="n">
        <f aca="false">DAY(M1078)</f>
        <v>13</v>
      </c>
      <c r="O1078" s="33" t="str">
        <f aca="false">TEXT(M1078,"DDDD")</f>
        <v>martes</v>
      </c>
      <c r="P1078" s="6" t="n">
        <f aca="false">MONTH(M1078)</f>
        <v>1</v>
      </c>
      <c r="Q1078" s="26" t="str">
        <f aca="false">TEXT(M1078,"MMMM")</f>
        <v>enero</v>
      </c>
    </row>
    <row r="1079" customFormat="false" ht="14.25" hidden="false" customHeight="false" outlineLevel="0" collapsed="false">
      <c r="A1079" s="1" t="n">
        <v>12</v>
      </c>
      <c r="B1079" s="1" t="s">
        <v>1747</v>
      </c>
      <c r="C1079" s="1" t="s">
        <v>38</v>
      </c>
      <c r="D1079" s="1" t="s">
        <v>1748</v>
      </c>
      <c r="E1079" s="2" t="n">
        <v>451563158</v>
      </c>
      <c r="H1079" s="3" t="n">
        <v>1700</v>
      </c>
      <c r="I1079" s="1" t="n">
        <v>1200</v>
      </c>
      <c r="J1079" s="1" t="n">
        <v>0</v>
      </c>
      <c r="K1079" s="1" t="n">
        <v>500</v>
      </c>
      <c r="L1079" s="4" t="n">
        <v>0.921</v>
      </c>
      <c r="M1079" s="48" t="n">
        <v>46035</v>
      </c>
      <c r="N1079" s="33" t="n">
        <f aca="false">DAY(M1079)</f>
        <v>13</v>
      </c>
      <c r="O1079" s="33" t="str">
        <f aca="false">TEXT(M1079,"DDDD")</f>
        <v>martes</v>
      </c>
      <c r="P1079" s="6" t="n">
        <f aca="false">MONTH(M1079)</f>
        <v>1</v>
      </c>
      <c r="Q1079" s="26" t="str">
        <f aca="false">TEXT(M1079,"MMMM")</f>
        <v>enero</v>
      </c>
    </row>
    <row r="1080" customFormat="false" ht="14.25" hidden="false" customHeight="false" outlineLevel="0" collapsed="false">
      <c r="A1080" s="1" t="n">
        <v>12</v>
      </c>
      <c r="B1080" s="1" t="s">
        <v>1749</v>
      </c>
      <c r="C1080" s="1" t="s">
        <v>20</v>
      </c>
      <c r="D1080" s="1" t="s">
        <v>1750</v>
      </c>
      <c r="E1080" s="2" t="n">
        <v>451557302</v>
      </c>
      <c r="H1080" s="3" t="n">
        <v>2350</v>
      </c>
      <c r="I1080" s="1" t="n">
        <v>1650</v>
      </c>
      <c r="J1080" s="1" t="n">
        <v>0</v>
      </c>
      <c r="K1080" s="1" t="n">
        <v>700</v>
      </c>
      <c r="L1080" s="4" t="n">
        <v>2.937</v>
      </c>
      <c r="M1080" s="48" t="n">
        <v>46035</v>
      </c>
      <c r="N1080" s="33" t="n">
        <f aca="false">DAY(M1080)</f>
        <v>13</v>
      </c>
      <c r="O1080" s="33" t="str">
        <f aca="false">TEXT(M1080,"DDDD")</f>
        <v>martes</v>
      </c>
      <c r="P1080" s="6" t="n">
        <f aca="false">MONTH(M1080)</f>
        <v>1</v>
      </c>
      <c r="Q1080" s="26" t="str">
        <f aca="false">TEXT(M1080,"MMMM")</f>
        <v>enero</v>
      </c>
    </row>
    <row r="1081" customFormat="false" ht="14.25" hidden="false" customHeight="false" outlineLevel="0" collapsed="false">
      <c r="A1081" s="1" t="n">
        <v>11</v>
      </c>
      <c r="B1081" s="1" t="s">
        <v>1751</v>
      </c>
      <c r="C1081" s="1" t="s">
        <v>20</v>
      </c>
      <c r="D1081" s="1" t="s">
        <v>1415</v>
      </c>
      <c r="E1081" s="2" t="n">
        <v>451547248</v>
      </c>
      <c r="H1081" s="3" t="n">
        <v>2750</v>
      </c>
      <c r="I1081" s="1" t="n">
        <v>2150</v>
      </c>
      <c r="J1081" s="1" t="n">
        <v>0</v>
      </c>
      <c r="K1081" s="1" t="n">
        <v>600</v>
      </c>
      <c r="L1081" s="4" t="n">
        <v>3.449</v>
      </c>
      <c r="M1081" s="48" t="n">
        <v>46035</v>
      </c>
      <c r="N1081" s="33" t="n">
        <f aca="false">DAY(M1081)</f>
        <v>13</v>
      </c>
      <c r="O1081" s="33" t="str">
        <f aca="false">TEXT(M1081,"DDDD")</f>
        <v>martes</v>
      </c>
      <c r="P1081" s="6" t="n">
        <f aca="false">MONTH(M1081)</f>
        <v>1</v>
      </c>
      <c r="Q1081" s="26" t="str">
        <f aca="false">TEXT(M1081,"MMMM")</f>
        <v>enero</v>
      </c>
    </row>
    <row r="1082" customFormat="false" ht="14.25" hidden="false" customHeight="false" outlineLevel="0" collapsed="false">
      <c r="A1082" s="1" t="n">
        <v>11</v>
      </c>
      <c r="B1082" s="1" t="s">
        <v>1752</v>
      </c>
      <c r="C1082" s="1" t="s">
        <v>20</v>
      </c>
      <c r="D1082" s="1" t="s">
        <v>57</v>
      </c>
      <c r="E1082" s="2" t="n">
        <v>451542872</v>
      </c>
      <c r="F1082" s="21" t="s">
        <v>1397</v>
      </c>
      <c r="G1082" s="1" t="n">
        <v>451543734</v>
      </c>
      <c r="H1082" s="3" t="n">
        <v>4120</v>
      </c>
      <c r="I1082" s="1" t="n">
        <v>1800</v>
      </c>
      <c r="J1082" s="1" t="n">
        <v>0</v>
      </c>
      <c r="K1082" s="1" t="n">
        <v>2320</v>
      </c>
      <c r="L1082" s="4" t="n">
        <v>0.996</v>
      </c>
      <c r="M1082" s="48" t="n">
        <v>46035</v>
      </c>
      <c r="N1082" s="33" t="n">
        <f aca="false">DAY(M1082)</f>
        <v>13</v>
      </c>
      <c r="O1082" s="33" t="str">
        <f aca="false">TEXT(M1082,"DDDD")</f>
        <v>martes</v>
      </c>
      <c r="P1082" s="6" t="n">
        <f aca="false">MONTH(M1082)</f>
        <v>1</v>
      </c>
      <c r="Q1082" s="26" t="str">
        <f aca="false">TEXT(M1082,"MMMM")</f>
        <v>enero</v>
      </c>
      <c r="R1082" s="21" t="s">
        <v>57</v>
      </c>
      <c r="S1082" s="1" t="n">
        <v>4320</v>
      </c>
    </row>
    <row r="1083" customFormat="false" ht="14.25" hidden="false" customHeight="false" outlineLevel="0" collapsed="false">
      <c r="A1083" s="1" t="n">
        <v>11</v>
      </c>
      <c r="B1083" s="1" t="s">
        <v>1753</v>
      </c>
      <c r="C1083" s="1" t="s">
        <v>20</v>
      </c>
      <c r="D1083" s="1" t="s">
        <v>1754</v>
      </c>
      <c r="E1083" s="2" t="n">
        <v>451539567</v>
      </c>
      <c r="H1083" s="3" t="n">
        <v>5060</v>
      </c>
      <c r="I1083" s="1" t="n">
        <v>1200</v>
      </c>
      <c r="J1083" s="1" t="n">
        <v>0</v>
      </c>
      <c r="K1083" s="1" t="n">
        <v>3860</v>
      </c>
      <c r="L1083" s="4" t="n">
        <v>0.51</v>
      </c>
      <c r="M1083" s="48" t="n">
        <v>46035</v>
      </c>
      <c r="N1083" s="33" t="n">
        <f aca="false">DAY(M1083)</f>
        <v>13</v>
      </c>
      <c r="O1083" s="33" t="str">
        <f aca="false">TEXT(M1083,"DDDD")</f>
        <v>martes</v>
      </c>
      <c r="P1083" s="6" t="n">
        <f aca="false">MONTH(M1083)</f>
        <v>1</v>
      </c>
      <c r="Q1083" s="26" t="str">
        <f aca="false">TEXT(M1083,"MMMM")</f>
        <v>enero</v>
      </c>
    </row>
    <row r="1084" customFormat="false" ht="14.25" hidden="false" customHeight="false" outlineLevel="0" collapsed="false">
      <c r="A1084" s="1" t="n">
        <v>10</v>
      </c>
      <c r="B1084" s="1" t="s">
        <v>1755</v>
      </c>
      <c r="C1084" s="1" t="s">
        <v>140</v>
      </c>
      <c r="D1084" s="1" t="s">
        <v>1409</v>
      </c>
      <c r="E1084" s="2" t="n">
        <v>451534249</v>
      </c>
      <c r="H1084" s="3" t="n">
        <v>2200</v>
      </c>
      <c r="I1084" s="1" t="n">
        <v>2200</v>
      </c>
      <c r="J1084" s="1" t="n">
        <v>0</v>
      </c>
      <c r="K1084" s="1" t="n">
        <v>0</v>
      </c>
      <c r="L1084" s="4" t="n">
        <v>2.093</v>
      </c>
      <c r="M1084" s="48" t="n">
        <v>46035</v>
      </c>
      <c r="N1084" s="33" t="n">
        <f aca="false">DAY(M1084)</f>
        <v>13</v>
      </c>
      <c r="O1084" s="33" t="str">
        <f aca="false">TEXT(M1084,"DDDD")</f>
        <v>martes</v>
      </c>
      <c r="P1084" s="6" t="n">
        <f aca="false">MONTH(M1084)</f>
        <v>1</v>
      </c>
      <c r="Q1084" s="26" t="str">
        <f aca="false">TEXT(M1084,"MMMM")</f>
        <v>enero</v>
      </c>
    </row>
    <row r="1085" customFormat="false" ht="14.25" hidden="false" customHeight="false" outlineLevel="0" collapsed="false">
      <c r="A1085" s="1" t="n">
        <v>10</v>
      </c>
      <c r="B1085" s="1" t="s">
        <v>1756</v>
      </c>
      <c r="C1085" s="1" t="s">
        <v>38</v>
      </c>
      <c r="D1085" s="1" t="s">
        <v>1113</v>
      </c>
      <c r="E1085" s="2" t="n">
        <v>451532068</v>
      </c>
      <c r="H1085" s="3" t="n">
        <v>5640</v>
      </c>
      <c r="I1085" s="1" t="n">
        <v>1200</v>
      </c>
      <c r="J1085" s="1" t="n">
        <v>0</v>
      </c>
      <c r="K1085" s="1" t="n">
        <v>4440</v>
      </c>
      <c r="L1085" s="4" t="n">
        <v>0.285</v>
      </c>
      <c r="M1085" s="48" t="n">
        <v>46035</v>
      </c>
      <c r="N1085" s="33" t="n">
        <f aca="false">DAY(M1085)</f>
        <v>13</v>
      </c>
      <c r="O1085" s="33" t="str">
        <f aca="false">TEXT(M1085,"DDDD")</f>
        <v>martes</v>
      </c>
      <c r="P1085" s="6" t="n">
        <f aca="false">MONTH(M1085)</f>
        <v>1</v>
      </c>
      <c r="Q1085" s="26" t="str">
        <f aca="false">TEXT(M1085,"MMMM")</f>
        <v>enero</v>
      </c>
    </row>
    <row r="1086" customFormat="false" ht="14.25" hidden="false" customHeight="false" outlineLevel="0" collapsed="false">
      <c r="A1086" s="1" t="n">
        <v>10</v>
      </c>
      <c r="B1086" s="1" t="s">
        <v>1445</v>
      </c>
      <c r="C1086" s="1" t="s">
        <v>140</v>
      </c>
      <c r="D1086" s="1" t="s">
        <v>1409</v>
      </c>
      <c r="E1086" s="2" t="n">
        <v>451527484</v>
      </c>
      <c r="H1086" s="3" t="n">
        <v>1645</v>
      </c>
      <c r="I1086" s="1" t="n">
        <v>1400</v>
      </c>
      <c r="J1086" s="1" t="n">
        <v>0</v>
      </c>
      <c r="K1086" s="1" t="n">
        <v>245</v>
      </c>
      <c r="L1086" s="4" t="n">
        <v>1.552</v>
      </c>
      <c r="M1086" s="48" t="n">
        <v>46035</v>
      </c>
      <c r="N1086" s="33" t="n">
        <f aca="false">DAY(M1086)</f>
        <v>13</v>
      </c>
      <c r="O1086" s="33" t="str">
        <f aca="false">TEXT(M1086,"DDDD")</f>
        <v>martes</v>
      </c>
      <c r="P1086" s="6" t="n">
        <f aca="false">MONTH(M1086)</f>
        <v>1</v>
      </c>
      <c r="Q1086" s="26" t="str">
        <f aca="false">TEXT(M1086,"MMMM")</f>
        <v>enero</v>
      </c>
    </row>
    <row r="1087" customFormat="false" ht="14.25" hidden="false" customHeight="false" outlineLevel="0" collapsed="false">
      <c r="A1087" s="1" t="n">
        <v>4</v>
      </c>
      <c r="B1087" s="1" t="s">
        <v>1757</v>
      </c>
      <c r="C1087" s="1" t="s">
        <v>20</v>
      </c>
      <c r="D1087" s="1" t="s">
        <v>89</v>
      </c>
      <c r="E1087" s="2" t="n">
        <v>451578851</v>
      </c>
      <c r="F1087" s="21" t="s">
        <v>89</v>
      </c>
      <c r="G1087" s="1" t="n">
        <v>451578855</v>
      </c>
      <c r="H1087" s="3" t="n">
        <v>3710</v>
      </c>
      <c r="I1087" s="1" t="n">
        <v>2150</v>
      </c>
      <c r="J1087" s="1" t="n">
        <v>0</v>
      </c>
      <c r="K1087" s="1" t="n">
        <v>1560</v>
      </c>
      <c r="L1087" s="4" t="n">
        <v>2.109</v>
      </c>
      <c r="M1087" s="48" t="n">
        <v>46036</v>
      </c>
      <c r="N1087" s="33" t="n">
        <f aca="false">DAY(M1087)</f>
        <v>14</v>
      </c>
      <c r="O1087" s="33" t="str">
        <f aca="false">TEXT(M1087,"DDDD")</f>
        <v>miércoles</v>
      </c>
      <c r="P1087" s="6" t="n">
        <f aca="false">MONTH(M1087)</f>
        <v>1</v>
      </c>
      <c r="Q1087" s="26" t="str">
        <f aca="false">TEXT(M1087,"MMMM")</f>
        <v>enero</v>
      </c>
      <c r="R1087" s="21" t="s">
        <v>89</v>
      </c>
      <c r="S1087" s="21" t="n">
        <f aca="false">5432+35170</f>
        <v>40602</v>
      </c>
    </row>
    <row r="1088" customFormat="false" ht="14.25" hidden="false" customHeight="false" outlineLevel="0" collapsed="false">
      <c r="A1088" s="1" t="n">
        <v>3</v>
      </c>
      <c r="B1088" s="1" t="s">
        <v>1758</v>
      </c>
      <c r="C1088" s="1" t="s">
        <v>20</v>
      </c>
      <c r="D1088" s="1" t="s">
        <v>377</v>
      </c>
      <c r="E1088" s="2" t="n">
        <v>451578756</v>
      </c>
      <c r="H1088" s="3" t="n">
        <v>1700</v>
      </c>
      <c r="I1088" s="1" t="n">
        <v>1700</v>
      </c>
      <c r="J1088" s="1" t="n">
        <v>0</v>
      </c>
      <c r="K1088" s="1" t="n">
        <v>0</v>
      </c>
      <c r="L1088" s="4" t="n">
        <v>1.472</v>
      </c>
      <c r="M1088" s="48" t="n">
        <v>46036</v>
      </c>
      <c r="N1088" s="33" t="n">
        <f aca="false">DAY(M1088)</f>
        <v>14</v>
      </c>
      <c r="O1088" s="33" t="str">
        <f aca="false">TEXT(M1088,"DDDD")</f>
        <v>miércoles</v>
      </c>
      <c r="P1088" s="6" t="n">
        <f aca="false">MONTH(M1088)</f>
        <v>1</v>
      </c>
      <c r="Q1088" s="26" t="str">
        <f aca="false">TEXT(M1088,"MMMM")</f>
        <v>enero</v>
      </c>
      <c r="R1088" s="21" t="s">
        <v>377</v>
      </c>
      <c r="S1088" s="1" t="n">
        <v>7070</v>
      </c>
    </row>
    <row r="1089" customFormat="false" ht="14.25" hidden="false" customHeight="false" outlineLevel="0" collapsed="false">
      <c r="A1089" s="1" t="n">
        <v>3</v>
      </c>
      <c r="B1089" s="1" t="s">
        <v>1759</v>
      </c>
      <c r="C1089" s="1" t="s">
        <v>20</v>
      </c>
      <c r="D1089" s="1" t="s">
        <v>85</v>
      </c>
      <c r="E1089" s="2" t="n">
        <v>451578711</v>
      </c>
      <c r="H1089" s="3" t="n">
        <v>1200</v>
      </c>
      <c r="I1089" s="1" t="n">
        <v>1200</v>
      </c>
      <c r="J1089" s="1" t="n">
        <v>0</v>
      </c>
      <c r="K1089" s="1" t="n">
        <v>0</v>
      </c>
      <c r="L1089" s="4" t="n">
        <v>0.31</v>
      </c>
      <c r="M1089" s="48" t="n">
        <v>46036</v>
      </c>
      <c r="N1089" s="33" t="n">
        <f aca="false">DAY(M1089)</f>
        <v>14</v>
      </c>
      <c r="O1089" s="33" t="str">
        <f aca="false">TEXT(M1089,"DDDD")</f>
        <v>miércoles</v>
      </c>
      <c r="P1089" s="6" t="n">
        <f aca="false">MONTH(M1089)</f>
        <v>1</v>
      </c>
      <c r="Q1089" s="26" t="str">
        <f aca="false">TEXT(M1089,"MMMM")</f>
        <v>enero</v>
      </c>
    </row>
    <row r="1090" customFormat="false" ht="14.25" hidden="false" customHeight="false" outlineLevel="0" collapsed="false">
      <c r="A1090" s="1" t="n">
        <v>3</v>
      </c>
      <c r="B1090" s="1" t="s">
        <v>1760</v>
      </c>
      <c r="C1090" s="1" t="s">
        <v>20</v>
      </c>
      <c r="D1090" s="1" t="s">
        <v>150</v>
      </c>
      <c r="E1090" s="2" t="n">
        <v>451578573</v>
      </c>
      <c r="H1090" s="3" t="n">
        <v>4990</v>
      </c>
      <c r="I1090" s="1" t="n">
        <v>1200</v>
      </c>
      <c r="J1090" s="1" t="n">
        <v>0</v>
      </c>
      <c r="K1090" s="1" t="n">
        <v>3790</v>
      </c>
      <c r="L1090" s="4" t="n">
        <v>2.51</v>
      </c>
      <c r="M1090" s="48" t="n">
        <v>46036</v>
      </c>
      <c r="N1090" s="33" t="n">
        <f aca="false">DAY(M1090)</f>
        <v>14</v>
      </c>
      <c r="O1090" s="33" t="str">
        <f aca="false">TEXT(M1090,"DDDD")</f>
        <v>miércoles</v>
      </c>
      <c r="P1090" s="6" t="n">
        <f aca="false">MONTH(M1090)</f>
        <v>1</v>
      </c>
      <c r="Q1090" s="26" t="str">
        <f aca="false">TEXT(M1090,"MMMM")</f>
        <v>enero</v>
      </c>
    </row>
    <row r="1091" customFormat="false" ht="14.25" hidden="false" customHeight="false" outlineLevel="0" collapsed="false">
      <c r="A1091" s="1" t="n">
        <v>2</v>
      </c>
      <c r="B1091" s="1" t="s">
        <v>1761</v>
      </c>
      <c r="C1091" s="1" t="s">
        <v>20</v>
      </c>
      <c r="D1091" s="1" t="s">
        <v>1455</v>
      </c>
      <c r="E1091" s="2" t="n">
        <v>451578439</v>
      </c>
      <c r="H1091" s="3" t="n">
        <v>3410</v>
      </c>
      <c r="I1091" s="1" t="n">
        <v>1350</v>
      </c>
      <c r="J1091" s="1" t="n">
        <v>0</v>
      </c>
      <c r="K1091" s="1" t="n">
        <v>2060</v>
      </c>
      <c r="L1091" s="4" t="n">
        <v>3.214</v>
      </c>
      <c r="M1091" s="48" t="n">
        <v>46036</v>
      </c>
      <c r="N1091" s="33" t="n">
        <f aca="false">DAY(M1091)</f>
        <v>14</v>
      </c>
      <c r="O1091" s="33" t="str">
        <f aca="false">TEXT(M1091,"DDDD")</f>
        <v>miércoles</v>
      </c>
      <c r="P1091" s="6" t="n">
        <f aca="false">MONTH(M1091)</f>
        <v>1</v>
      </c>
      <c r="Q1091" s="26" t="str">
        <f aca="false">TEXT(M1091,"MMMM")</f>
        <v>enero</v>
      </c>
      <c r="R1091" s="21" t="s">
        <v>1455</v>
      </c>
      <c r="S1091" s="1" t="n">
        <v>21930</v>
      </c>
    </row>
    <row r="1092" customFormat="false" ht="14.25" hidden="false" customHeight="false" outlineLevel="0" collapsed="false">
      <c r="A1092" s="1" t="n">
        <v>2</v>
      </c>
      <c r="B1092" s="1" t="s">
        <v>1299</v>
      </c>
      <c r="C1092" s="1" t="s">
        <v>20</v>
      </c>
      <c r="D1092" s="1" t="s">
        <v>85</v>
      </c>
      <c r="E1092" s="2" t="n">
        <v>451578310</v>
      </c>
      <c r="H1092" s="3" t="n">
        <v>2480</v>
      </c>
      <c r="I1092" s="1" t="n">
        <v>1200</v>
      </c>
      <c r="J1092" s="1" t="n">
        <v>0</v>
      </c>
      <c r="K1092" s="1" t="n">
        <v>1280</v>
      </c>
      <c r="L1092" s="4" t="n">
        <v>1.596</v>
      </c>
      <c r="M1092" s="48" t="n">
        <v>46036</v>
      </c>
      <c r="N1092" s="33" t="n">
        <f aca="false">DAY(M1092)</f>
        <v>14</v>
      </c>
      <c r="O1092" s="33" t="str">
        <f aca="false">TEXT(M1092,"DDDD")</f>
        <v>miércoles</v>
      </c>
      <c r="P1092" s="6" t="n">
        <f aca="false">MONTH(M1092)</f>
        <v>1</v>
      </c>
      <c r="Q1092" s="26" t="str">
        <f aca="false">TEXT(M1092,"MMMM")</f>
        <v>enero</v>
      </c>
    </row>
    <row r="1093" customFormat="false" ht="14.25" hidden="false" customHeight="false" outlineLevel="0" collapsed="false">
      <c r="A1093" s="1" t="n">
        <v>2</v>
      </c>
      <c r="B1093" s="1" t="s">
        <v>1762</v>
      </c>
      <c r="C1093" s="1" t="s">
        <v>20</v>
      </c>
      <c r="D1093" s="1" t="s">
        <v>82</v>
      </c>
      <c r="E1093" s="2" t="n">
        <v>451577689</v>
      </c>
      <c r="H1093" s="3" t="n">
        <v>1760</v>
      </c>
      <c r="I1093" s="1" t="n">
        <v>1200</v>
      </c>
      <c r="J1093" s="1" t="n">
        <v>0</v>
      </c>
      <c r="K1093" s="1" t="n">
        <v>560</v>
      </c>
      <c r="L1093" s="4" t="n">
        <v>1.723</v>
      </c>
      <c r="M1093" s="48" t="n">
        <v>46036</v>
      </c>
      <c r="N1093" s="33" t="n">
        <f aca="false">DAY(M1093)</f>
        <v>14</v>
      </c>
      <c r="O1093" s="33" t="str">
        <f aca="false">TEXT(M1093,"DDDD")</f>
        <v>miércoles</v>
      </c>
      <c r="P1093" s="6" t="n">
        <f aca="false">MONTH(M1093)</f>
        <v>1</v>
      </c>
      <c r="Q1093" s="26" t="str">
        <f aca="false">TEXT(M1093,"MMMM")</f>
        <v>enero</v>
      </c>
    </row>
    <row r="1094" customFormat="false" ht="14.25" hidden="false" customHeight="false" outlineLevel="0" collapsed="false">
      <c r="A1094" s="1" t="n">
        <v>1</v>
      </c>
      <c r="B1094" s="1" t="s">
        <v>1763</v>
      </c>
      <c r="C1094" s="1" t="s">
        <v>20</v>
      </c>
      <c r="D1094" s="1" t="s">
        <v>1764</v>
      </c>
      <c r="E1094" s="2" t="n">
        <v>451576221</v>
      </c>
      <c r="F1094" s="21" t="s">
        <v>1764</v>
      </c>
      <c r="G1094" s="1" t="n">
        <v>451576547</v>
      </c>
      <c r="H1094" s="3" t="n">
        <v>3120</v>
      </c>
      <c r="I1094" s="1" t="n">
        <v>1800</v>
      </c>
      <c r="J1094" s="1" t="n">
        <v>0</v>
      </c>
      <c r="K1094" s="1" t="n">
        <v>1320</v>
      </c>
      <c r="L1094" s="4" t="n">
        <v>2.482</v>
      </c>
      <c r="M1094" s="48" t="n">
        <v>46036</v>
      </c>
      <c r="N1094" s="33" t="n">
        <f aca="false">DAY(M1094)</f>
        <v>14</v>
      </c>
      <c r="O1094" s="33" t="str">
        <f aca="false">TEXT(M1094,"DDDD")</f>
        <v>miércoles</v>
      </c>
      <c r="P1094" s="6" t="n">
        <f aca="false">MONTH(M1094)</f>
        <v>1</v>
      </c>
      <c r="Q1094" s="26" t="str">
        <f aca="false">TEXT(M1094,"MMMM")</f>
        <v>enero</v>
      </c>
    </row>
    <row r="1095" customFormat="false" ht="14.25" hidden="false" customHeight="false" outlineLevel="0" collapsed="false">
      <c r="A1095" s="1" t="n">
        <v>1</v>
      </c>
      <c r="B1095" s="1" t="s">
        <v>1765</v>
      </c>
      <c r="C1095" s="1" t="s">
        <v>20</v>
      </c>
      <c r="D1095" s="1" t="s">
        <v>82</v>
      </c>
      <c r="E1095" s="2" t="n">
        <v>451576065</v>
      </c>
      <c r="H1095" s="3" t="n">
        <v>1200</v>
      </c>
      <c r="I1095" s="1" t="n">
        <v>1200</v>
      </c>
      <c r="J1095" s="1" t="n">
        <v>0</v>
      </c>
      <c r="K1095" s="1" t="n">
        <v>0</v>
      </c>
      <c r="L1095" s="4" t="n">
        <v>2.212</v>
      </c>
      <c r="M1095" s="48" t="n">
        <v>46036</v>
      </c>
      <c r="N1095" s="33" t="n">
        <f aca="false">DAY(M1095)</f>
        <v>14</v>
      </c>
      <c r="O1095" s="33" t="str">
        <f aca="false">TEXT(M1095,"DDDD")</f>
        <v>miércoles</v>
      </c>
      <c r="P1095" s="6" t="n">
        <f aca="false">MONTH(M1095)</f>
        <v>1</v>
      </c>
      <c r="Q1095" s="26" t="str">
        <f aca="false">TEXT(M1095,"MMMM")</f>
        <v>enero</v>
      </c>
    </row>
    <row r="1096" customFormat="false" ht="14.25" hidden="false" customHeight="false" outlineLevel="0" collapsed="false">
      <c r="A1096" s="1" t="n">
        <v>1</v>
      </c>
      <c r="B1096" s="1" t="s">
        <v>1766</v>
      </c>
      <c r="C1096" s="1" t="s">
        <v>20</v>
      </c>
      <c r="D1096" s="1" t="s">
        <v>546</v>
      </c>
      <c r="E1096" s="2" t="n">
        <v>451574881</v>
      </c>
      <c r="H1096" s="3" t="n">
        <v>1350</v>
      </c>
      <c r="I1096" s="1" t="n">
        <v>1350</v>
      </c>
      <c r="J1096" s="1" t="n">
        <v>0</v>
      </c>
      <c r="K1096" s="1" t="n">
        <v>0</v>
      </c>
      <c r="L1096" s="4" t="n">
        <v>2.389</v>
      </c>
      <c r="M1096" s="48" t="n">
        <v>46036</v>
      </c>
      <c r="N1096" s="33" t="n">
        <f aca="false">DAY(M1096)</f>
        <v>14</v>
      </c>
      <c r="O1096" s="33" t="str">
        <f aca="false">TEXT(M1096,"DDDD")</f>
        <v>miércoles</v>
      </c>
      <c r="P1096" s="6" t="n">
        <f aca="false">MONTH(M1096)</f>
        <v>1</v>
      </c>
      <c r="Q1096" s="26" t="str">
        <f aca="false">TEXT(M1096,"MMMM")</f>
        <v>enero</v>
      </c>
    </row>
    <row r="1097" customFormat="false" ht="14.25" hidden="false" customHeight="false" outlineLevel="0" collapsed="false">
      <c r="A1097" s="1" t="n">
        <v>12</v>
      </c>
      <c r="B1097" s="1" t="s">
        <v>1767</v>
      </c>
      <c r="C1097" s="1" t="s">
        <v>1768</v>
      </c>
      <c r="D1097" s="1" t="s">
        <v>1409</v>
      </c>
      <c r="E1097" s="2" t="n">
        <v>451770482</v>
      </c>
      <c r="H1097" s="3" t="n">
        <v>2060</v>
      </c>
      <c r="I1097" s="1" t="n">
        <v>1850</v>
      </c>
      <c r="J1097" s="1" t="n">
        <v>0</v>
      </c>
      <c r="K1097" s="1" t="n">
        <v>210</v>
      </c>
      <c r="L1097" s="4" t="n">
        <v>2.123</v>
      </c>
      <c r="M1097" s="48" t="n">
        <v>46037</v>
      </c>
      <c r="N1097" s="33" t="n">
        <f aca="false">DAY(M1097)</f>
        <v>15</v>
      </c>
      <c r="O1097" s="33" t="str">
        <f aca="false">TEXT(M1097,"DDDD")</f>
        <v>jueves</v>
      </c>
      <c r="P1097" s="6" t="n">
        <f aca="false">MONTH(M1097)</f>
        <v>1</v>
      </c>
      <c r="Q1097" s="26" t="str">
        <f aca="false">TEXT(M1097,"MMMM")</f>
        <v>enero</v>
      </c>
    </row>
    <row r="1098" customFormat="false" ht="14.25" hidden="false" customHeight="false" outlineLevel="0" collapsed="false">
      <c r="A1098" s="1" t="n">
        <v>12</v>
      </c>
      <c r="B1098" s="1" t="s">
        <v>1769</v>
      </c>
      <c r="C1098" s="1" t="s">
        <v>20</v>
      </c>
      <c r="D1098" s="1" t="s">
        <v>478</v>
      </c>
      <c r="E1098" s="2" t="n">
        <v>451767002</v>
      </c>
      <c r="H1098" s="3" t="n">
        <v>1880</v>
      </c>
      <c r="I1098" s="1" t="n">
        <v>1200</v>
      </c>
      <c r="J1098" s="1" t="n">
        <v>0</v>
      </c>
      <c r="K1098" s="1" t="n">
        <v>680</v>
      </c>
      <c r="L1098" s="4" t="n">
        <v>1.176</v>
      </c>
      <c r="M1098" s="48" t="n">
        <v>46037</v>
      </c>
      <c r="N1098" s="33" t="n">
        <f aca="false">DAY(M1098)</f>
        <v>15</v>
      </c>
      <c r="O1098" s="33" t="str">
        <f aca="false">TEXT(M1098,"DDDD")</f>
        <v>jueves</v>
      </c>
      <c r="P1098" s="6" t="n">
        <f aca="false">MONTH(M1098)</f>
        <v>1</v>
      </c>
      <c r="Q1098" s="26" t="str">
        <f aca="false">TEXT(M1098,"MMMM")</f>
        <v>enero</v>
      </c>
    </row>
    <row r="1099" customFormat="false" ht="14.25" hidden="false" customHeight="false" outlineLevel="0" collapsed="false">
      <c r="A1099" s="1" t="n">
        <v>12</v>
      </c>
      <c r="B1099" s="1" t="s">
        <v>1770</v>
      </c>
      <c r="C1099" s="1" t="s">
        <v>38</v>
      </c>
      <c r="D1099" s="1" t="s">
        <v>1771</v>
      </c>
      <c r="E1099" s="2" t="n">
        <v>451751255</v>
      </c>
      <c r="H1099" s="3" t="n">
        <v>1800</v>
      </c>
      <c r="I1099" s="1" t="n">
        <v>1800</v>
      </c>
      <c r="J1099" s="1" t="n">
        <v>0</v>
      </c>
      <c r="K1099" s="1" t="n">
        <v>0</v>
      </c>
      <c r="L1099" s="4" t="n">
        <v>2.315</v>
      </c>
      <c r="M1099" s="48" t="n">
        <v>46037</v>
      </c>
      <c r="N1099" s="33" t="n">
        <f aca="false">DAY(M1099)</f>
        <v>15</v>
      </c>
      <c r="O1099" s="33" t="str">
        <f aca="false">TEXT(M1099,"DDDD")</f>
        <v>jueves</v>
      </c>
      <c r="P1099" s="6" t="n">
        <f aca="false">MONTH(M1099)</f>
        <v>1</v>
      </c>
      <c r="Q1099" s="26" t="str">
        <f aca="false">TEXT(M1099,"MMMM")</f>
        <v>enero</v>
      </c>
    </row>
    <row r="1100" customFormat="false" ht="14.25" hidden="false" customHeight="false" outlineLevel="0" collapsed="false">
      <c r="A1100" s="1" t="n">
        <v>11</v>
      </c>
      <c r="B1100" s="1" t="s">
        <v>1772</v>
      </c>
      <c r="C1100" s="1" t="s">
        <v>38</v>
      </c>
      <c r="D1100" s="1" t="s">
        <v>387</v>
      </c>
      <c r="E1100" s="2" t="n">
        <v>451743486</v>
      </c>
      <c r="H1100" s="3" t="n">
        <v>5060</v>
      </c>
      <c r="I1100" s="1" t="n">
        <v>1200</v>
      </c>
      <c r="J1100" s="1" t="n">
        <v>0</v>
      </c>
      <c r="K1100" s="1" t="n">
        <v>3860</v>
      </c>
      <c r="L1100" s="4" t="n">
        <v>1.519</v>
      </c>
      <c r="M1100" s="48" t="n">
        <v>46037</v>
      </c>
      <c r="N1100" s="33" t="n">
        <f aca="false">DAY(M1100)</f>
        <v>15</v>
      </c>
      <c r="O1100" s="33" t="str">
        <f aca="false">TEXT(M1100,"DDDD")</f>
        <v>jueves</v>
      </c>
      <c r="P1100" s="6" t="n">
        <f aca="false">MONTH(M1100)</f>
        <v>1</v>
      </c>
      <c r="Q1100" s="26" t="str">
        <f aca="false">TEXT(M1100,"MMMM")</f>
        <v>enero</v>
      </c>
    </row>
    <row r="1101" customFormat="false" ht="14.25" hidden="false" customHeight="false" outlineLevel="0" collapsed="false">
      <c r="A1101" s="1" t="n">
        <v>11</v>
      </c>
      <c r="B1101" s="1" t="s">
        <v>1773</v>
      </c>
      <c r="C1101" s="1" t="s">
        <v>20</v>
      </c>
      <c r="D1101" s="1" t="s">
        <v>507</v>
      </c>
      <c r="E1101" s="2" t="n">
        <v>451760306</v>
      </c>
      <c r="F1101" s="21" t="s">
        <v>507</v>
      </c>
      <c r="G1101" s="1" t="n">
        <v>451761480</v>
      </c>
      <c r="H1101" s="3" t="n">
        <v>1802</v>
      </c>
      <c r="I1101" s="1" t="n">
        <v>1800</v>
      </c>
      <c r="J1101" s="1" t="n">
        <v>0</v>
      </c>
      <c r="K1101" s="1" t="n">
        <v>2</v>
      </c>
      <c r="L1101" s="4" t="n">
        <v>1.272</v>
      </c>
      <c r="M1101" s="48" t="n">
        <v>46037</v>
      </c>
      <c r="N1101" s="33" t="n">
        <f aca="false">DAY(M1101)</f>
        <v>15</v>
      </c>
      <c r="O1101" s="33" t="str">
        <f aca="false">TEXT(M1101,"DDDD")</f>
        <v>jueves</v>
      </c>
      <c r="P1101" s="6" t="n">
        <f aca="false">MONTH(M1101)</f>
        <v>1</v>
      </c>
      <c r="Q1101" s="26" t="str">
        <f aca="false">TEXT(M1101,"MMMM")</f>
        <v>enero</v>
      </c>
    </row>
    <row r="1102" customFormat="false" ht="14.25" hidden="false" customHeight="false" outlineLevel="0" collapsed="false">
      <c r="A1102" s="1" t="n">
        <v>11</v>
      </c>
      <c r="B1102" s="1" t="s">
        <v>1774</v>
      </c>
      <c r="C1102" s="1" t="s">
        <v>20</v>
      </c>
      <c r="D1102" s="1" t="s">
        <v>1775</v>
      </c>
      <c r="E1102" s="2" t="n">
        <v>451739920</v>
      </c>
      <c r="H1102" s="3" t="n">
        <v>2710</v>
      </c>
      <c r="I1102" s="1" t="n">
        <v>2450</v>
      </c>
      <c r="J1102" s="1" t="n">
        <v>0</v>
      </c>
      <c r="K1102" s="1" t="n">
        <v>260</v>
      </c>
      <c r="L1102" s="4" t="n">
        <v>3.252</v>
      </c>
      <c r="M1102" s="48" t="n">
        <v>46037</v>
      </c>
      <c r="N1102" s="33" t="n">
        <f aca="false">DAY(M1102)</f>
        <v>15</v>
      </c>
      <c r="O1102" s="33" t="str">
        <f aca="false">TEXT(M1102,"DDDD")</f>
        <v>jueves</v>
      </c>
      <c r="P1102" s="6" t="n">
        <f aca="false">MONTH(M1102)</f>
        <v>1</v>
      </c>
      <c r="Q1102" s="26" t="str">
        <f aca="false">TEXT(M1102,"MMMM")</f>
        <v>enero</v>
      </c>
    </row>
    <row r="1103" customFormat="false" ht="14.25" hidden="false" customHeight="false" outlineLevel="0" collapsed="false">
      <c r="A1103" s="1" t="n">
        <v>11</v>
      </c>
      <c r="B1103" s="1" t="s">
        <v>1776</v>
      </c>
      <c r="C1103" s="1" t="s">
        <v>20</v>
      </c>
      <c r="D1103" s="1" t="s">
        <v>1777</v>
      </c>
      <c r="E1103" s="2" t="n">
        <v>451736842</v>
      </c>
      <c r="H1103" s="3" t="n">
        <v>1740</v>
      </c>
      <c r="I1103" s="1" t="n">
        <v>1200</v>
      </c>
      <c r="J1103" s="1" t="n">
        <v>0</v>
      </c>
      <c r="K1103" s="1" t="n">
        <v>540</v>
      </c>
      <c r="L1103" s="4" t="n">
        <v>1.938</v>
      </c>
      <c r="M1103" s="48" t="n">
        <v>46037</v>
      </c>
      <c r="N1103" s="33" t="n">
        <f aca="false">DAY(M1103)</f>
        <v>15</v>
      </c>
      <c r="O1103" s="33" t="str">
        <f aca="false">TEXT(M1103,"DDDD")</f>
        <v>jueves</v>
      </c>
      <c r="P1103" s="6" t="n">
        <f aca="false">MONTH(M1103)</f>
        <v>1</v>
      </c>
      <c r="Q1103" s="26" t="str">
        <f aca="false">TEXT(M1103,"MMMM")</f>
        <v>enero</v>
      </c>
    </row>
    <row r="1104" customFormat="false" ht="14.25" hidden="false" customHeight="false" outlineLevel="0" collapsed="false">
      <c r="A1104" s="1" t="n">
        <v>11</v>
      </c>
      <c r="B1104" s="1" t="s">
        <v>1778</v>
      </c>
      <c r="C1104" s="1" t="s">
        <v>20</v>
      </c>
      <c r="D1104" s="1" t="s">
        <v>1779</v>
      </c>
      <c r="E1104" s="2" t="n">
        <v>451732119</v>
      </c>
      <c r="H1104" s="3" t="n">
        <v>4400</v>
      </c>
      <c r="I1104" s="1" t="n">
        <v>1200</v>
      </c>
      <c r="J1104" s="1" t="n">
        <v>0</v>
      </c>
      <c r="K1104" s="1" t="n">
        <v>3200</v>
      </c>
      <c r="L1104" s="4" t="n">
        <v>1.179</v>
      </c>
      <c r="M1104" s="48" t="n">
        <v>46037</v>
      </c>
      <c r="N1104" s="33" t="n">
        <f aca="false">DAY(M1104)</f>
        <v>15</v>
      </c>
      <c r="O1104" s="33" t="str">
        <f aca="false">TEXT(M1104,"DDDD")</f>
        <v>jueves</v>
      </c>
      <c r="P1104" s="6" t="n">
        <f aca="false">MONTH(M1104)</f>
        <v>1</v>
      </c>
      <c r="Q1104" s="26" t="str">
        <f aca="false">TEXT(M1104,"MMMM")</f>
        <v>enero</v>
      </c>
    </row>
    <row r="1105" customFormat="false" ht="14.25" hidden="false" customHeight="false" outlineLevel="0" collapsed="false">
      <c r="A1105" s="1" t="n">
        <v>11</v>
      </c>
      <c r="B1105" s="1" t="s">
        <v>1780</v>
      </c>
      <c r="C1105" s="1" t="s">
        <v>38</v>
      </c>
      <c r="D1105" s="1" t="s">
        <v>1781</v>
      </c>
      <c r="E1105" s="2" t="n">
        <v>451730727</v>
      </c>
      <c r="H1105" s="3" t="n">
        <v>1250</v>
      </c>
      <c r="I1105" s="1" t="n">
        <v>1250</v>
      </c>
      <c r="J1105" s="1" t="n">
        <v>0</v>
      </c>
      <c r="K1105" s="1" t="n">
        <v>0</v>
      </c>
      <c r="L1105" s="4" t="n">
        <v>1.617</v>
      </c>
      <c r="M1105" s="48" t="n">
        <v>46037</v>
      </c>
      <c r="N1105" s="33" t="n">
        <f aca="false">DAY(M1105)</f>
        <v>15</v>
      </c>
      <c r="O1105" s="33" t="str">
        <f aca="false">TEXT(M1105,"DDDD")</f>
        <v>jueves</v>
      </c>
      <c r="P1105" s="6" t="n">
        <f aca="false">MONTH(M1105)</f>
        <v>1</v>
      </c>
      <c r="Q1105" s="26" t="str">
        <f aca="false">TEXT(M1105,"MMMM")</f>
        <v>enero</v>
      </c>
    </row>
    <row r="1106" customFormat="false" ht="14.25" hidden="false" customHeight="false" outlineLevel="0" collapsed="false">
      <c r="A1106" s="1" t="n">
        <v>8</v>
      </c>
      <c r="B1106" s="1" t="s">
        <v>1782</v>
      </c>
      <c r="C1106" s="1" t="s">
        <v>20</v>
      </c>
      <c r="D1106" s="1" t="s">
        <v>1783</v>
      </c>
      <c r="E1106" s="2" t="n">
        <v>451706378</v>
      </c>
      <c r="H1106" s="3" t="n">
        <v>1700</v>
      </c>
      <c r="I1106" s="1" t="n">
        <v>1200</v>
      </c>
      <c r="J1106" s="1" t="n">
        <v>0</v>
      </c>
      <c r="K1106" s="1" t="n">
        <v>500</v>
      </c>
      <c r="L1106" s="4" t="n">
        <v>0.949</v>
      </c>
      <c r="M1106" s="48" t="n">
        <v>46037</v>
      </c>
      <c r="N1106" s="33" t="n">
        <f aca="false">DAY(M1106)</f>
        <v>15</v>
      </c>
      <c r="O1106" s="33" t="str">
        <f aca="false">TEXT(M1106,"DDDD")</f>
        <v>jueves</v>
      </c>
      <c r="P1106" s="6" t="n">
        <f aca="false">MONTH(M1106)</f>
        <v>1</v>
      </c>
      <c r="Q1106" s="26" t="str">
        <f aca="false">TEXT(M1106,"MMMM")</f>
        <v>enero</v>
      </c>
      <c r="R1106" s="21" t="s">
        <v>1783</v>
      </c>
      <c r="S1106" s="1" t="n">
        <v>11372</v>
      </c>
    </row>
    <row r="1107" customFormat="false" ht="14.25" hidden="false" customHeight="false" outlineLevel="0" collapsed="false">
      <c r="A1107" s="1" t="n">
        <v>7</v>
      </c>
      <c r="B1107" s="1" t="s">
        <v>1784</v>
      </c>
      <c r="C1107" s="1" t="s">
        <v>20</v>
      </c>
      <c r="D1107" s="1" t="s">
        <v>1785</v>
      </c>
      <c r="E1107" s="2" t="n">
        <v>451699349</v>
      </c>
      <c r="H1107" s="3" t="n">
        <v>3720</v>
      </c>
      <c r="I1107" s="1" t="n">
        <v>1200</v>
      </c>
      <c r="J1107" s="1" t="n">
        <v>0</v>
      </c>
      <c r="K1107" s="1" t="n">
        <v>2520</v>
      </c>
      <c r="L1107" s="4" t="n">
        <v>2.182</v>
      </c>
      <c r="M1107" s="48" t="n">
        <v>46037</v>
      </c>
      <c r="N1107" s="33" t="n">
        <f aca="false">DAY(M1107)</f>
        <v>15</v>
      </c>
      <c r="O1107" s="33" t="str">
        <f aca="false">TEXT(M1107,"DDDD")</f>
        <v>jueves</v>
      </c>
      <c r="P1107" s="6" t="n">
        <f aca="false">MONTH(M1107)</f>
        <v>1</v>
      </c>
      <c r="Q1107" s="26" t="str">
        <f aca="false">TEXT(M1107,"MMMM")</f>
        <v>enero</v>
      </c>
    </row>
    <row r="1108" customFormat="false" ht="14.25" hidden="false" customHeight="false" outlineLevel="0" collapsed="false">
      <c r="A1108" s="1" t="n">
        <v>7</v>
      </c>
      <c r="B1108" s="1" t="s">
        <v>694</v>
      </c>
      <c r="C1108" s="1" t="s">
        <v>20</v>
      </c>
      <c r="D1108" s="1" t="s">
        <v>1786</v>
      </c>
      <c r="E1108" s="2" t="n">
        <v>451697017</v>
      </c>
      <c r="H1108" s="3" t="n">
        <v>2620</v>
      </c>
      <c r="I1108" s="1" t="n">
        <v>1200</v>
      </c>
      <c r="J1108" s="1" t="n">
        <v>0</v>
      </c>
      <c r="K1108" s="1" t="n">
        <v>1420</v>
      </c>
      <c r="L1108" s="4" t="n">
        <v>0.267</v>
      </c>
      <c r="M1108" s="48" t="n">
        <v>46037</v>
      </c>
      <c r="N1108" s="33" t="n">
        <f aca="false">DAY(M1108)</f>
        <v>15</v>
      </c>
      <c r="O1108" s="33" t="str">
        <f aca="false">TEXT(M1108,"DDDD")</f>
        <v>jueves</v>
      </c>
      <c r="P1108" s="6" t="n">
        <f aca="false">MONTH(M1108)</f>
        <v>1</v>
      </c>
      <c r="Q1108" s="26" t="str">
        <f aca="false">TEXT(M1108,"MMMM")</f>
        <v>enero</v>
      </c>
    </row>
    <row r="1109" customFormat="false" ht="14.25" hidden="false" customHeight="false" outlineLevel="0" collapsed="false">
      <c r="A1109" s="1" t="n">
        <v>7</v>
      </c>
      <c r="B1109" s="1" t="s">
        <v>1787</v>
      </c>
      <c r="C1109" s="1" t="s">
        <v>38</v>
      </c>
      <c r="D1109" s="1" t="s">
        <v>1788</v>
      </c>
      <c r="E1109" s="2" t="n">
        <v>451692101</v>
      </c>
      <c r="H1109" s="3" t="n">
        <v>2500</v>
      </c>
      <c r="I1109" s="1" t="n">
        <v>2500</v>
      </c>
      <c r="J1109" s="1" t="n">
        <v>0</v>
      </c>
      <c r="K1109" s="1" t="n">
        <v>0</v>
      </c>
      <c r="M1109" s="48" t="n">
        <v>46037</v>
      </c>
      <c r="N1109" s="33" t="n">
        <f aca="false">DAY(M1109)</f>
        <v>15</v>
      </c>
      <c r="O1109" s="33" t="str">
        <f aca="false">TEXT(M1109,"DDDD")</f>
        <v>jueves</v>
      </c>
      <c r="P1109" s="6" t="n">
        <f aca="false">MONTH(M1109)</f>
        <v>1</v>
      </c>
      <c r="Q1109" s="26" t="str">
        <f aca="false">TEXT(M1109,"MMMM")</f>
        <v>enero</v>
      </c>
    </row>
    <row r="1110" customFormat="false" ht="14.25" hidden="false" customHeight="false" outlineLevel="0" collapsed="false">
      <c r="A1110" s="1" t="n">
        <v>7</v>
      </c>
      <c r="B1110" s="1" t="s">
        <v>1789</v>
      </c>
      <c r="C1110" s="1" t="s">
        <v>38</v>
      </c>
      <c r="D1110" s="1" t="s">
        <v>1790</v>
      </c>
      <c r="E1110" s="2" t="n">
        <v>451876621</v>
      </c>
      <c r="H1110" s="3" t="n">
        <v>1200</v>
      </c>
      <c r="I1110" s="1" t="n">
        <v>1200</v>
      </c>
      <c r="J1110" s="1" t="n">
        <v>0</v>
      </c>
      <c r="K1110" s="1" t="n">
        <v>0</v>
      </c>
      <c r="L1110" s="4" t="n">
        <v>2.225</v>
      </c>
      <c r="M1110" s="48" t="n">
        <v>46037</v>
      </c>
      <c r="N1110" s="33" t="n">
        <f aca="false">DAY(M1110)</f>
        <v>15</v>
      </c>
      <c r="O1110" s="33" t="str">
        <f aca="false">TEXT(M1110,"DDDD")</f>
        <v>jueves</v>
      </c>
      <c r="P1110" s="6" t="n">
        <f aca="false">MONTH(M1110)</f>
        <v>1</v>
      </c>
      <c r="Q1110" s="26" t="str">
        <f aca="false">TEXT(M1110,"MMMM")</f>
        <v>enero</v>
      </c>
    </row>
    <row r="1111" customFormat="false" ht="14.25" hidden="false" customHeight="false" outlineLevel="0" collapsed="false">
      <c r="A1111" s="1" t="n">
        <v>6</v>
      </c>
      <c r="B1111" s="1" t="s">
        <v>1791</v>
      </c>
      <c r="C1111" s="1" t="s">
        <v>20</v>
      </c>
      <c r="D1111" s="1" t="s">
        <v>1792</v>
      </c>
      <c r="E1111" s="2" t="n">
        <v>451683380</v>
      </c>
      <c r="H1111" s="3" t="n">
        <v>2060</v>
      </c>
      <c r="I1111" s="1" t="n">
        <v>1200</v>
      </c>
      <c r="J1111" s="1" t="n">
        <v>0</v>
      </c>
      <c r="K1111" s="1" t="n">
        <v>860</v>
      </c>
      <c r="L1111" s="4" t="n">
        <v>2.329</v>
      </c>
      <c r="M1111" s="48" t="n">
        <v>46037</v>
      </c>
      <c r="N1111" s="33" t="n">
        <f aca="false">DAY(M1111)</f>
        <v>15</v>
      </c>
      <c r="O1111" s="33" t="str">
        <f aca="false">TEXT(M1111,"DDDD")</f>
        <v>jueves</v>
      </c>
      <c r="P1111" s="6" t="n">
        <f aca="false">MONTH(M1111)</f>
        <v>1</v>
      </c>
      <c r="Q1111" s="26" t="str">
        <f aca="false">TEXT(M1111,"MMMM")</f>
        <v>enero</v>
      </c>
    </row>
    <row r="1112" customFormat="false" ht="14.25" hidden="false" customHeight="false" outlineLevel="0" collapsed="false">
      <c r="A1112" s="1" t="n">
        <v>6</v>
      </c>
      <c r="B1112" s="1" t="s">
        <v>1793</v>
      </c>
      <c r="C1112" s="1" t="s">
        <v>20</v>
      </c>
      <c r="D1112" s="1" t="s">
        <v>1794</v>
      </c>
      <c r="E1112" s="2" t="n">
        <v>451682726</v>
      </c>
      <c r="H1112" s="3" t="n">
        <v>1200</v>
      </c>
      <c r="I1112" s="1" t="n">
        <v>1200</v>
      </c>
      <c r="J1112" s="1" t="n">
        <v>0</v>
      </c>
      <c r="K1112" s="1" t="n">
        <v>0</v>
      </c>
      <c r="L1112" s="4" t="n">
        <v>1.278</v>
      </c>
      <c r="M1112" s="48" t="n">
        <v>46037</v>
      </c>
      <c r="N1112" s="33" t="n">
        <f aca="false">DAY(M1112)</f>
        <v>15</v>
      </c>
      <c r="O1112" s="33" t="str">
        <f aca="false">TEXT(M1112,"DDDD")</f>
        <v>jueves</v>
      </c>
      <c r="P1112" s="6" t="n">
        <f aca="false">MONTH(M1112)</f>
        <v>1</v>
      </c>
      <c r="Q1112" s="26" t="str">
        <f aca="false">TEXT(M1112,"MMMM")</f>
        <v>enero</v>
      </c>
      <c r="R1112" s="21" t="s">
        <v>1794</v>
      </c>
      <c r="S1112" s="1" t="n">
        <v>17352</v>
      </c>
    </row>
    <row r="1113" customFormat="false" ht="14.25" hidden="false" customHeight="false" outlineLevel="0" collapsed="false">
      <c r="A1113" s="1" t="n">
        <v>6</v>
      </c>
      <c r="B1113" s="1" t="s">
        <v>1795</v>
      </c>
      <c r="C1113" s="1" t="s">
        <v>20</v>
      </c>
      <c r="D1113" s="1" t="s">
        <v>1732</v>
      </c>
      <c r="E1113" s="2" t="n">
        <v>451682155</v>
      </c>
      <c r="H1113" s="3" t="n">
        <v>1700</v>
      </c>
      <c r="I1113" s="1" t="n">
        <v>1200</v>
      </c>
      <c r="J1113" s="1" t="n">
        <v>0</v>
      </c>
      <c r="K1113" s="1" t="n">
        <v>500</v>
      </c>
      <c r="L1113" s="4" t="n">
        <v>0.261</v>
      </c>
      <c r="M1113" s="48" t="n">
        <v>46037</v>
      </c>
      <c r="N1113" s="33" t="n">
        <f aca="false">DAY(M1113)</f>
        <v>15</v>
      </c>
      <c r="O1113" s="33" t="str">
        <f aca="false">TEXT(M1113,"DDDD")</f>
        <v>jueves</v>
      </c>
      <c r="P1113" s="6" t="n">
        <f aca="false">MONTH(M1113)</f>
        <v>1</v>
      </c>
      <c r="Q1113" s="26" t="str">
        <f aca="false">TEXT(M1113,"MMMM")</f>
        <v>enero</v>
      </c>
    </row>
    <row r="1114" customFormat="false" ht="14.25" hidden="false" customHeight="false" outlineLevel="0" collapsed="false">
      <c r="A1114" s="1" t="n">
        <v>5</v>
      </c>
      <c r="B1114" s="1" t="s">
        <v>1796</v>
      </c>
      <c r="C1114" s="1" t="s">
        <v>20</v>
      </c>
      <c r="D1114" s="1" t="s">
        <v>710</v>
      </c>
      <c r="E1114" s="2" t="n">
        <v>451681259</v>
      </c>
      <c r="H1114" s="3" t="n">
        <v>2140</v>
      </c>
      <c r="I1114" s="1" t="n">
        <v>1200</v>
      </c>
      <c r="J1114" s="1" t="n">
        <v>0</v>
      </c>
      <c r="K1114" s="1" t="n">
        <v>940</v>
      </c>
      <c r="L1114" s="4" t="n">
        <v>0.957</v>
      </c>
      <c r="M1114" s="48" t="n">
        <v>46037</v>
      </c>
      <c r="N1114" s="33" t="n">
        <f aca="false">DAY(M1114)</f>
        <v>15</v>
      </c>
      <c r="O1114" s="33" t="str">
        <f aca="false">TEXT(M1114,"DDDD")</f>
        <v>jueves</v>
      </c>
      <c r="P1114" s="6" t="n">
        <f aca="false">MONTH(M1114)</f>
        <v>1</v>
      </c>
      <c r="Q1114" s="26" t="str">
        <f aca="false">TEXT(M1114,"MMMM")</f>
        <v>enero</v>
      </c>
    </row>
    <row r="1115" customFormat="false" ht="14.25" hidden="false" customHeight="false" outlineLevel="0" collapsed="false">
      <c r="A1115" s="1" t="n">
        <v>5</v>
      </c>
      <c r="B1115" s="1" t="s">
        <v>1797</v>
      </c>
      <c r="C1115" s="1" t="s">
        <v>38</v>
      </c>
      <c r="D1115" s="1" t="s">
        <v>423</v>
      </c>
      <c r="E1115" s="2" t="n">
        <v>451680657</v>
      </c>
      <c r="H1115" s="3" t="n">
        <v>1900</v>
      </c>
      <c r="I1115" s="1" t="n">
        <v>1200</v>
      </c>
      <c r="J1115" s="1" t="n">
        <v>0</v>
      </c>
      <c r="K1115" s="1" t="n">
        <v>700</v>
      </c>
      <c r="L1115" s="4" t="n">
        <v>0.767</v>
      </c>
      <c r="M1115" s="48" t="n">
        <v>46037</v>
      </c>
      <c r="N1115" s="33" t="n">
        <f aca="false">DAY(M1115)</f>
        <v>15</v>
      </c>
      <c r="O1115" s="33" t="str">
        <f aca="false">TEXT(M1115,"DDDD")</f>
        <v>jueves</v>
      </c>
      <c r="P1115" s="6" t="n">
        <f aca="false">MONTH(M1115)</f>
        <v>1</v>
      </c>
      <c r="Q1115" s="26" t="str">
        <f aca="false">TEXT(M1115,"MMMM")</f>
        <v>enero</v>
      </c>
    </row>
    <row r="1116" customFormat="false" ht="14.25" hidden="false" customHeight="false" outlineLevel="0" collapsed="false">
      <c r="A1116" s="1" t="n">
        <v>4</v>
      </c>
      <c r="B1116" s="1" t="s">
        <v>1798</v>
      </c>
      <c r="C1116" s="1" t="s">
        <v>20</v>
      </c>
      <c r="D1116" s="1" t="s">
        <v>1799</v>
      </c>
      <c r="E1116" s="2" t="n">
        <v>451678504</v>
      </c>
      <c r="H1116" s="3" t="n">
        <v>2040</v>
      </c>
      <c r="I1116" s="1" t="n">
        <v>1200</v>
      </c>
      <c r="J1116" s="1" t="n">
        <v>0</v>
      </c>
      <c r="K1116" s="1" t="n">
        <v>840</v>
      </c>
      <c r="L1116" s="4" t="n">
        <v>0.722</v>
      </c>
      <c r="M1116" s="48" t="n">
        <v>46037</v>
      </c>
      <c r="N1116" s="33" t="n">
        <f aca="false">DAY(M1116)</f>
        <v>15</v>
      </c>
      <c r="O1116" s="33" t="str">
        <f aca="false">TEXT(M1116,"DDDD")</f>
        <v>jueves</v>
      </c>
      <c r="P1116" s="6" t="n">
        <f aca="false">MONTH(M1116)</f>
        <v>1</v>
      </c>
      <c r="Q1116" s="26" t="str">
        <f aca="false">TEXT(M1116,"MMMM")</f>
        <v>enero</v>
      </c>
    </row>
    <row r="1117" customFormat="false" ht="14.25" hidden="false" customHeight="false" outlineLevel="0" collapsed="false">
      <c r="A1117" s="1" t="n">
        <v>12</v>
      </c>
      <c r="B1117" s="1" t="s">
        <v>1800</v>
      </c>
      <c r="C1117" s="1" t="s">
        <v>20</v>
      </c>
      <c r="D1117" s="1" t="s">
        <v>1801</v>
      </c>
      <c r="E1117" s="2" t="n">
        <v>451773204</v>
      </c>
      <c r="H1117" s="3" t="n">
        <v>2760</v>
      </c>
      <c r="I1117" s="1" t="n">
        <v>1200</v>
      </c>
      <c r="J1117" s="1" t="n">
        <v>0</v>
      </c>
      <c r="K1117" s="1" t="n">
        <v>1560</v>
      </c>
      <c r="L1117" s="4" t="n">
        <v>1.78</v>
      </c>
      <c r="M1117" s="48" t="n">
        <v>46038</v>
      </c>
      <c r="N1117" s="33" t="n">
        <f aca="false">DAY(M1117)</f>
        <v>16</v>
      </c>
      <c r="O1117" s="33" t="str">
        <f aca="false">TEXT(M1117,"DDDD")</f>
        <v>viernes</v>
      </c>
      <c r="P1117" s="6" t="n">
        <f aca="false">MONTH(M1117)</f>
        <v>1</v>
      </c>
      <c r="Q1117" s="26" t="str">
        <f aca="false">TEXT(M1117,"MMMM")</f>
        <v>enero</v>
      </c>
      <c r="R1117" s="21" t="s">
        <v>1801</v>
      </c>
      <c r="S1117" s="1" t="n">
        <v>24130</v>
      </c>
    </row>
    <row r="1118" customFormat="false" ht="14.25" hidden="false" customHeight="false" outlineLevel="0" collapsed="false">
      <c r="A1118" s="1" t="n">
        <v>1</v>
      </c>
      <c r="B1118" s="1" t="s">
        <v>1802</v>
      </c>
      <c r="C1118" s="1" t="s">
        <v>20</v>
      </c>
      <c r="D1118" s="1" t="s">
        <v>1803</v>
      </c>
      <c r="E1118" s="2" t="n">
        <v>451772280</v>
      </c>
      <c r="H1118" s="3" t="n">
        <v>3000</v>
      </c>
      <c r="I1118" s="1" t="n">
        <v>1200</v>
      </c>
      <c r="J1118" s="1" t="n">
        <v>0</v>
      </c>
      <c r="K1118" s="1" t="n">
        <v>1800</v>
      </c>
      <c r="L1118" s="4" t="n">
        <v>1.777</v>
      </c>
      <c r="M1118" s="48" t="n">
        <v>46038</v>
      </c>
      <c r="N1118" s="33" t="n">
        <f aca="false">DAY(M1118)</f>
        <v>16</v>
      </c>
      <c r="O1118" s="33" t="str">
        <f aca="false">TEXT(M1118,"DDDD")</f>
        <v>viernes</v>
      </c>
      <c r="P1118" s="6" t="n">
        <f aca="false">MONTH(M1118)</f>
        <v>1</v>
      </c>
      <c r="Q1118" s="26" t="str">
        <f aca="false">TEXT(M1118,"MMMM")</f>
        <v>enero</v>
      </c>
    </row>
    <row r="1119" customFormat="false" ht="14.25" hidden="false" customHeight="false" outlineLevel="0" collapsed="false">
      <c r="A1119" s="1" t="n">
        <v>1</v>
      </c>
      <c r="B1119" s="1" t="s">
        <v>1804</v>
      </c>
      <c r="C1119" s="1" t="s">
        <v>20</v>
      </c>
      <c r="D1119" s="1" t="s">
        <v>478</v>
      </c>
      <c r="E1119" s="2" t="n">
        <v>451871688</v>
      </c>
      <c r="F1119" s="21" t="s">
        <v>1607</v>
      </c>
      <c r="G1119" s="1" t="n">
        <v>451871853</v>
      </c>
      <c r="H1119" s="3" t="n">
        <v>3820</v>
      </c>
      <c r="I1119" s="1" t="n">
        <v>2400</v>
      </c>
      <c r="J1119" s="1" t="n">
        <v>0</v>
      </c>
      <c r="K1119" s="1" t="n">
        <v>1420</v>
      </c>
      <c r="L1119" s="4" t="n">
        <v>2.338</v>
      </c>
      <c r="M1119" s="48" t="n">
        <v>46038</v>
      </c>
      <c r="N1119" s="33" t="n">
        <f aca="false">DAY(M1119)</f>
        <v>16</v>
      </c>
      <c r="O1119" s="33" t="str">
        <f aca="false">TEXT(M1119,"DDDD")</f>
        <v>viernes</v>
      </c>
      <c r="P1119" s="6" t="n">
        <f aca="false">MONTH(M1119)</f>
        <v>1</v>
      </c>
      <c r="Q1119" s="26" t="str">
        <f aca="false">TEXT(M1119,"MMMM")</f>
        <v>enero</v>
      </c>
    </row>
    <row r="1120" customFormat="false" ht="14.25" hidden="false" customHeight="false" outlineLevel="0" collapsed="false">
      <c r="A1120" s="1" t="n">
        <v>9</v>
      </c>
      <c r="B1120" s="1" t="s">
        <v>761</v>
      </c>
      <c r="C1120" s="1" t="s">
        <v>20</v>
      </c>
      <c r="D1120" s="1" t="s">
        <v>1805</v>
      </c>
      <c r="E1120" s="2" t="n">
        <v>451924773</v>
      </c>
      <c r="H1120" s="3" t="n">
        <v>1500</v>
      </c>
      <c r="I1120" s="1" t="n">
        <v>1500</v>
      </c>
      <c r="J1120" s="1" t="n">
        <v>0</v>
      </c>
      <c r="K1120" s="1" t="n">
        <v>1500</v>
      </c>
      <c r="L1120" s="4" t="n">
        <v>3.239</v>
      </c>
      <c r="M1120" s="48" t="n">
        <v>46039</v>
      </c>
      <c r="N1120" s="33" t="n">
        <f aca="false">DAY(M1120)</f>
        <v>17</v>
      </c>
      <c r="O1120" s="33" t="str">
        <f aca="false">TEXT(M1120,"DDDD")</f>
        <v>sábado</v>
      </c>
      <c r="P1120" s="6" t="n">
        <f aca="false">MONTH(M1120)</f>
        <v>1</v>
      </c>
      <c r="Q1120" s="26" t="str">
        <f aca="false">TEXT(M1120,"MMMM")</f>
        <v>enero</v>
      </c>
    </row>
    <row r="1121" customFormat="false" ht="14.25" hidden="false" customHeight="false" outlineLevel="0" collapsed="false">
      <c r="A1121" s="1" t="n">
        <v>9</v>
      </c>
      <c r="B1121" s="1" t="s">
        <v>1806</v>
      </c>
      <c r="C1121" s="1" t="s">
        <v>20</v>
      </c>
      <c r="D1121" s="1" t="s">
        <v>1807</v>
      </c>
      <c r="E1121" s="2" t="n">
        <v>451922593</v>
      </c>
      <c r="H1121" s="3" t="n">
        <v>3160</v>
      </c>
      <c r="I1121" s="1" t="n">
        <v>1200</v>
      </c>
      <c r="J1121" s="1" t="n">
        <v>0</v>
      </c>
      <c r="K1121" s="1" t="n">
        <v>1960</v>
      </c>
      <c r="M1121" s="48" t="n">
        <v>46039</v>
      </c>
      <c r="N1121" s="33" t="n">
        <f aca="false">DAY(M1121)</f>
        <v>17</v>
      </c>
      <c r="O1121" s="33" t="str">
        <f aca="false">TEXT(M1121,"DDDD")</f>
        <v>sábado</v>
      </c>
      <c r="P1121" s="6" t="n">
        <f aca="false">MONTH(M1121)</f>
        <v>1</v>
      </c>
      <c r="Q1121" s="26" t="str">
        <f aca="false">TEXT(M1121,"MMMM")</f>
        <v>enero</v>
      </c>
    </row>
    <row r="1122" customFormat="false" ht="14.25" hidden="false" customHeight="false" outlineLevel="0" collapsed="false">
      <c r="A1122" s="1" t="n">
        <v>8</v>
      </c>
      <c r="B1122" s="1" t="s">
        <v>765</v>
      </c>
      <c r="C1122" s="1" t="s">
        <v>20</v>
      </c>
      <c r="D1122" s="1" t="s">
        <v>1808</v>
      </c>
      <c r="E1122" s="2" t="n">
        <v>451906842</v>
      </c>
      <c r="H1122" s="3" t="n">
        <v>1600</v>
      </c>
      <c r="I1122" s="1" t="n">
        <v>1200</v>
      </c>
      <c r="J1122" s="1" t="n">
        <v>0</v>
      </c>
      <c r="K1122" s="1" t="n">
        <v>400</v>
      </c>
      <c r="M1122" s="48" t="n">
        <v>46039</v>
      </c>
      <c r="N1122" s="33" t="n">
        <f aca="false">DAY(M1122)</f>
        <v>17</v>
      </c>
      <c r="O1122" s="33" t="str">
        <f aca="false">TEXT(M1122,"DDDD")</f>
        <v>sábado</v>
      </c>
      <c r="P1122" s="6" t="n">
        <f aca="false">MONTH(M1122)</f>
        <v>1</v>
      </c>
      <c r="Q1122" s="26" t="str">
        <f aca="false">TEXT(M1122,"MMMM")</f>
        <v>enero</v>
      </c>
    </row>
    <row r="1123" customFormat="false" ht="14.25" hidden="false" customHeight="false" outlineLevel="0" collapsed="false">
      <c r="A1123" s="1" t="n">
        <v>8</v>
      </c>
      <c r="B1123" s="1" t="s">
        <v>1809</v>
      </c>
      <c r="C1123" s="1" t="s">
        <v>38</v>
      </c>
      <c r="D1123" s="1" t="s">
        <v>500</v>
      </c>
      <c r="E1123" s="2" t="n">
        <v>451883568</v>
      </c>
      <c r="F1123" s="21" t="s">
        <v>500</v>
      </c>
      <c r="G1123" s="1" t="n">
        <v>451892215</v>
      </c>
      <c r="H1123" s="3" t="n">
        <v>6560</v>
      </c>
      <c r="I1123" s="1" t="n">
        <v>2100</v>
      </c>
      <c r="J1123" s="1" t="n">
        <v>0</v>
      </c>
      <c r="K1123" s="1" t="n">
        <v>4460</v>
      </c>
      <c r="L1123" s="4" t="n">
        <v>0.705</v>
      </c>
      <c r="M1123" s="48" t="n">
        <v>46039</v>
      </c>
      <c r="N1123" s="33" t="n">
        <f aca="false">DAY(M1123)</f>
        <v>17</v>
      </c>
      <c r="O1123" s="33" t="str">
        <f aca="false">TEXT(M1123,"DDDD")</f>
        <v>sábado</v>
      </c>
      <c r="P1123" s="6" t="n">
        <f aca="false">MONTH(M1123)</f>
        <v>1</v>
      </c>
      <c r="Q1123" s="26" t="str">
        <f aca="false">TEXT(M1123,"MMMM")</f>
        <v>enero</v>
      </c>
    </row>
    <row r="1124" customFormat="false" ht="14.25" hidden="false" customHeight="false" outlineLevel="0" collapsed="false">
      <c r="A1124" s="1" t="n">
        <v>7</v>
      </c>
      <c r="B1124" s="1" t="s">
        <v>1810</v>
      </c>
      <c r="C1124" s="1" t="s">
        <v>20</v>
      </c>
      <c r="D1124" s="1" t="s">
        <v>1811</v>
      </c>
      <c r="E1124" s="2" t="n">
        <v>451892777</v>
      </c>
      <c r="H1124" s="3" t="n">
        <v>2400</v>
      </c>
      <c r="I1124" s="1" t="n">
        <v>1200</v>
      </c>
      <c r="J1124" s="1" t="n">
        <v>0</v>
      </c>
      <c r="K1124" s="1" t="n">
        <v>1200</v>
      </c>
      <c r="L1124" s="4" t="n">
        <v>2.52</v>
      </c>
      <c r="M1124" s="48" t="n">
        <v>46039</v>
      </c>
      <c r="N1124" s="33" t="n">
        <f aca="false">DAY(M1124)</f>
        <v>17</v>
      </c>
      <c r="O1124" s="33" t="str">
        <f aca="false">TEXT(M1124,"DDDD")</f>
        <v>sábado</v>
      </c>
      <c r="P1124" s="6" t="n">
        <f aca="false">MONTH(M1124)</f>
        <v>1</v>
      </c>
      <c r="Q1124" s="26" t="str">
        <f aca="false">TEXT(M1124,"MMMM")</f>
        <v>enero</v>
      </c>
    </row>
    <row r="1125" customFormat="false" ht="14.25" hidden="false" customHeight="false" outlineLevel="0" collapsed="false">
      <c r="A1125" s="1" t="n">
        <v>6</v>
      </c>
      <c r="B1125" s="1" t="s">
        <v>1812</v>
      </c>
      <c r="C1125" s="1" t="s">
        <v>20</v>
      </c>
      <c r="D1125" s="1" t="s">
        <v>755</v>
      </c>
      <c r="E1125" s="2" t="n">
        <v>451891578</v>
      </c>
      <c r="H1125" s="3" t="n">
        <v>1500</v>
      </c>
      <c r="I1125" s="1" t="n">
        <v>1200</v>
      </c>
      <c r="J1125" s="1" t="n">
        <v>0</v>
      </c>
      <c r="K1125" s="1" t="n">
        <v>300</v>
      </c>
      <c r="L1125" s="4" t="n">
        <v>0.367</v>
      </c>
      <c r="M1125" s="48" t="n">
        <v>46039</v>
      </c>
      <c r="N1125" s="33" t="n">
        <f aca="false">DAY(M1125)</f>
        <v>17</v>
      </c>
      <c r="O1125" s="33" t="str">
        <f aca="false">TEXT(M1125,"DDDD")</f>
        <v>sábado</v>
      </c>
      <c r="P1125" s="6" t="n">
        <f aca="false">MONTH(M1125)</f>
        <v>1</v>
      </c>
      <c r="Q1125" s="26" t="str">
        <f aca="false">TEXT(M1125,"MMMM")</f>
        <v>enero</v>
      </c>
    </row>
    <row r="1126" customFormat="false" ht="14.25" hidden="false" customHeight="false" outlineLevel="0" collapsed="false">
      <c r="A1126" s="1" t="n">
        <v>6</v>
      </c>
      <c r="B1126" s="1" t="s">
        <v>704</v>
      </c>
      <c r="C1126" s="1" t="s">
        <v>38</v>
      </c>
      <c r="D1126" s="1" t="s">
        <v>1108</v>
      </c>
      <c r="E1126" s="2" t="n">
        <v>451889830</v>
      </c>
      <c r="H1126" s="3" t="n">
        <v>2700</v>
      </c>
      <c r="I1126" s="1" t="n">
        <v>1200</v>
      </c>
      <c r="J1126" s="1" t="n">
        <v>0</v>
      </c>
      <c r="K1126" s="1" t="n">
        <v>1500</v>
      </c>
      <c r="M1126" s="48" t="n">
        <v>46039</v>
      </c>
      <c r="N1126" s="33" t="n">
        <f aca="false">DAY(M1126)</f>
        <v>17</v>
      </c>
      <c r="O1126" s="33" t="str">
        <f aca="false">TEXT(M1126,"DDDD")</f>
        <v>sábado</v>
      </c>
      <c r="P1126" s="6" t="n">
        <f aca="false">MONTH(M1126)</f>
        <v>1</v>
      </c>
      <c r="Q1126" s="26" t="str">
        <f aca="false">TEXT(M1126,"MMMM")</f>
        <v>enero</v>
      </c>
    </row>
    <row r="1127" customFormat="false" ht="14.25" hidden="false" customHeight="false" outlineLevel="0" collapsed="false">
      <c r="A1127" s="1" t="n">
        <v>6</v>
      </c>
      <c r="B1127" s="1" t="s">
        <v>1813</v>
      </c>
      <c r="C1127" s="1" t="s">
        <v>20</v>
      </c>
      <c r="D1127" s="1" t="s">
        <v>1526</v>
      </c>
      <c r="E1127" s="2" t="n">
        <v>451889415</v>
      </c>
      <c r="H1127" s="3" t="n">
        <v>2380</v>
      </c>
      <c r="I1127" s="1" t="n">
        <v>1200</v>
      </c>
      <c r="J1127" s="1" t="n">
        <v>0</v>
      </c>
      <c r="K1127" s="1" t="n">
        <v>1180</v>
      </c>
      <c r="L1127" s="4" t="n">
        <v>2.127</v>
      </c>
      <c r="M1127" s="48" t="n">
        <v>46039</v>
      </c>
      <c r="N1127" s="33" t="n">
        <f aca="false">DAY(M1127)</f>
        <v>17</v>
      </c>
      <c r="O1127" s="33" t="str">
        <f aca="false">TEXT(M1127,"DDDD")</f>
        <v>sábado</v>
      </c>
      <c r="P1127" s="6" t="n">
        <f aca="false">MONTH(M1127)</f>
        <v>1</v>
      </c>
      <c r="Q1127" s="26" t="str">
        <f aca="false">TEXT(M1127,"MMMM")</f>
        <v>enero</v>
      </c>
    </row>
    <row r="1128" customFormat="false" ht="14.25" hidden="false" customHeight="false" outlineLevel="0" collapsed="false">
      <c r="A1128" s="1" t="n">
        <v>6</v>
      </c>
      <c r="B1128" s="1" t="s">
        <v>1814</v>
      </c>
      <c r="C1128" s="1" t="s">
        <v>38</v>
      </c>
      <c r="D1128" s="1" t="s">
        <v>1536</v>
      </c>
      <c r="E1128" s="2" t="n">
        <v>451888488</v>
      </c>
      <c r="H1128" s="3" t="n">
        <v>2040</v>
      </c>
      <c r="I1128" s="1" t="n">
        <v>1200</v>
      </c>
      <c r="J1128" s="1" t="n">
        <v>0</v>
      </c>
      <c r="K1128" s="1" t="n">
        <v>840</v>
      </c>
      <c r="L1128" s="4" t="n">
        <v>1.079</v>
      </c>
      <c r="M1128" s="48" t="n">
        <v>46039</v>
      </c>
      <c r="N1128" s="33" t="n">
        <f aca="false">DAY(M1128)</f>
        <v>17</v>
      </c>
      <c r="O1128" s="33" t="str">
        <f aca="false">TEXT(M1128,"DDDD")</f>
        <v>sábado</v>
      </c>
      <c r="P1128" s="6" t="n">
        <f aca="false">MONTH(M1128)</f>
        <v>1</v>
      </c>
      <c r="Q1128" s="26" t="str">
        <f aca="false">TEXT(M1128,"MMMM")</f>
        <v>enero</v>
      </c>
    </row>
    <row r="1129" customFormat="false" ht="14.25" hidden="false" customHeight="false" outlineLevel="0" collapsed="false">
      <c r="A1129" s="1" t="n">
        <v>6</v>
      </c>
      <c r="B1129" s="1" t="s">
        <v>1815</v>
      </c>
      <c r="C1129" s="1" t="s">
        <v>20</v>
      </c>
      <c r="D1129" s="1" t="s">
        <v>213</v>
      </c>
      <c r="E1129" s="2" t="n">
        <v>451887249</v>
      </c>
      <c r="H1129" s="3" t="n">
        <v>1340</v>
      </c>
      <c r="I1129" s="1" t="n">
        <v>1200</v>
      </c>
      <c r="J1129" s="1" t="n">
        <v>0</v>
      </c>
      <c r="K1129" s="1" t="n">
        <v>140</v>
      </c>
      <c r="L1129" s="4" t="n">
        <v>0.314</v>
      </c>
      <c r="M1129" s="48" t="n">
        <v>46039</v>
      </c>
      <c r="N1129" s="33" t="n">
        <f aca="false">DAY(M1129)</f>
        <v>17</v>
      </c>
      <c r="O1129" s="33" t="str">
        <f aca="false">TEXT(M1129,"DDDD")</f>
        <v>sábado</v>
      </c>
      <c r="P1129" s="6" t="n">
        <f aca="false">MONTH(M1129)</f>
        <v>1</v>
      </c>
      <c r="Q1129" s="26" t="str">
        <f aca="false">TEXT(M1129,"MMMM")</f>
        <v>enero</v>
      </c>
    </row>
    <row r="1130" customFormat="false" ht="14.25" hidden="false" customHeight="false" outlineLevel="0" collapsed="false">
      <c r="A1130" s="1" t="n">
        <v>5</v>
      </c>
      <c r="B1130" s="1" t="s">
        <v>1816</v>
      </c>
      <c r="C1130" s="1" t="s">
        <v>38</v>
      </c>
      <c r="D1130" s="1" t="s">
        <v>1817</v>
      </c>
      <c r="E1130" s="2" t="n">
        <v>451885764</v>
      </c>
      <c r="H1130" s="3" t="n">
        <v>5360</v>
      </c>
      <c r="I1130" s="1" t="n">
        <v>1700</v>
      </c>
      <c r="J1130" s="1" t="n">
        <v>0</v>
      </c>
      <c r="K1130" s="1" t="n">
        <v>3660</v>
      </c>
      <c r="L1130" s="4" t="n">
        <v>1.58</v>
      </c>
      <c r="M1130" s="48" t="n">
        <v>46039</v>
      </c>
      <c r="N1130" s="33" t="n">
        <f aca="false">DAY(M1130)</f>
        <v>17</v>
      </c>
      <c r="O1130" s="33" t="str">
        <f aca="false">TEXT(M1130,"DDDD")</f>
        <v>sábado</v>
      </c>
      <c r="P1130" s="6" t="n">
        <f aca="false">MONTH(M1130)</f>
        <v>1</v>
      </c>
      <c r="Q1130" s="26" t="str">
        <f aca="false">TEXT(M1130,"MMMM")</f>
        <v>enero</v>
      </c>
    </row>
    <row r="1131" customFormat="false" ht="14.25" hidden="false" customHeight="false" outlineLevel="0" collapsed="false">
      <c r="A1131" s="1" t="n">
        <v>5</v>
      </c>
      <c r="B1131" s="1" t="s">
        <v>1818</v>
      </c>
      <c r="C1131" s="1" t="s">
        <v>20</v>
      </c>
      <c r="D1131" s="1" t="s">
        <v>1819</v>
      </c>
      <c r="E1131" s="2" t="n">
        <v>451884929</v>
      </c>
      <c r="H1131" s="3" t="n">
        <v>1200</v>
      </c>
      <c r="I1131" s="1" t="n">
        <v>1200</v>
      </c>
      <c r="J1131" s="1" t="n">
        <v>0</v>
      </c>
      <c r="K1131" s="1" t="n">
        <v>0</v>
      </c>
      <c r="L1131" s="4" t="n">
        <v>1.31</v>
      </c>
      <c r="M1131" s="48" t="n">
        <v>46039</v>
      </c>
      <c r="N1131" s="33" t="n">
        <f aca="false">DAY(M1131)</f>
        <v>17</v>
      </c>
      <c r="O1131" s="33" t="str">
        <f aca="false">TEXT(M1131,"DDDD")</f>
        <v>sábado</v>
      </c>
      <c r="P1131" s="6" t="n">
        <f aca="false">MONTH(M1131)</f>
        <v>1</v>
      </c>
      <c r="Q1131" s="26" t="str">
        <f aca="false">TEXT(M1131,"MMMM")</f>
        <v>enero</v>
      </c>
    </row>
    <row r="1132" customFormat="false" ht="14.25" hidden="false" customHeight="false" outlineLevel="0" collapsed="false">
      <c r="A1132" s="1" t="n">
        <v>5</v>
      </c>
      <c r="B1132" s="1" t="s">
        <v>1820</v>
      </c>
      <c r="C1132" s="1" t="s">
        <v>20</v>
      </c>
      <c r="D1132" s="1" t="s">
        <v>1821</v>
      </c>
      <c r="E1132" s="2" t="n">
        <v>451884018</v>
      </c>
      <c r="H1132" s="3" t="n">
        <v>1960</v>
      </c>
      <c r="I1132" s="1" t="n">
        <v>1200</v>
      </c>
      <c r="J1132" s="1" t="n">
        <v>0</v>
      </c>
      <c r="K1132" s="1" t="n">
        <v>760</v>
      </c>
      <c r="L1132" s="4" t="n">
        <v>2.354</v>
      </c>
      <c r="M1132" s="48" t="n">
        <v>46039</v>
      </c>
      <c r="N1132" s="33" t="n">
        <f aca="false">DAY(M1132)</f>
        <v>17</v>
      </c>
      <c r="O1132" s="33" t="str">
        <f aca="false">TEXT(M1132,"DDDD")</f>
        <v>sábado</v>
      </c>
      <c r="P1132" s="6" t="n">
        <f aca="false">MONTH(M1132)</f>
        <v>1</v>
      </c>
      <c r="Q1132" s="26" t="str">
        <f aca="false">TEXT(M1132,"MMMM")</f>
        <v>enero</v>
      </c>
    </row>
    <row r="1133" customFormat="false" ht="14.25" hidden="false" customHeight="false" outlineLevel="0" collapsed="false">
      <c r="A1133" s="1" t="n">
        <v>5</v>
      </c>
      <c r="B1133" s="1" t="s">
        <v>1822</v>
      </c>
      <c r="C1133" s="1" t="s">
        <v>20</v>
      </c>
      <c r="D1133" s="1" t="s">
        <v>1376</v>
      </c>
      <c r="E1133" s="2" t="n">
        <v>451884372</v>
      </c>
      <c r="H1133" s="3" t="n">
        <v>1800</v>
      </c>
      <c r="I1133" s="1" t="n">
        <v>1200</v>
      </c>
      <c r="J1133" s="1" t="n">
        <v>0</v>
      </c>
      <c r="K1133" s="1" t="n">
        <v>600</v>
      </c>
      <c r="L1133" s="4" t="n">
        <v>1.539</v>
      </c>
      <c r="M1133" s="48" t="n">
        <v>46039</v>
      </c>
      <c r="N1133" s="33" t="n">
        <f aca="false">DAY(M1133)</f>
        <v>17</v>
      </c>
      <c r="O1133" s="33" t="str">
        <f aca="false">TEXT(M1133,"DDDD")</f>
        <v>sábado</v>
      </c>
      <c r="P1133" s="6" t="n">
        <f aca="false">MONTH(M1133)</f>
        <v>1</v>
      </c>
      <c r="Q1133" s="26" t="str">
        <f aca="false">TEXT(M1133,"MMMM")</f>
        <v>enero</v>
      </c>
    </row>
    <row r="1134" customFormat="false" ht="14.25" hidden="false" customHeight="false" outlineLevel="0" collapsed="false">
      <c r="A1134" s="1" t="n">
        <v>5</v>
      </c>
      <c r="B1134" s="1" t="s">
        <v>1823</v>
      </c>
      <c r="C1134" s="1" t="s">
        <v>20</v>
      </c>
      <c r="D1134" s="1" t="s">
        <v>955</v>
      </c>
      <c r="E1134" s="2" t="n">
        <v>451884663</v>
      </c>
      <c r="H1134" s="3" t="n">
        <v>1700</v>
      </c>
      <c r="I1134" s="1" t="n">
        <v>1200</v>
      </c>
      <c r="J1134" s="1" t="n">
        <v>0</v>
      </c>
      <c r="K1134" s="1" t="n">
        <v>500</v>
      </c>
      <c r="L1134" s="4" t="n">
        <v>0.323</v>
      </c>
      <c r="M1134" s="48" t="n">
        <v>46039</v>
      </c>
      <c r="N1134" s="33" t="n">
        <f aca="false">DAY(M1134)</f>
        <v>17</v>
      </c>
      <c r="O1134" s="33" t="str">
        <f aca="false">TEXT(M1134,"DDDD")</f>
        <v>sábado</v>
      </c>
      <c r="P1134" s="6" t="n">
        <f aca="false">MONTH(M1134)</f>
        <v>1</v>
      </c>
      <c r="Q1134" s="26" t="str">
        <f aca="false">TEXT(M1134,"MMMM")</f>
        <v>enero</v>
      </c>
    </row>
    <row r="1135" customFormat="false" ht="14.25" hidden="false" customHeight="false" outlineLevel="0" collapsed="false">
      <c r="A1135" s="1" t="n">
        <v>4</v>
      </c>
      <c r="B1135" s="1" t="s">
        <v>1824</v>
      </c>
      <c r="C1135" s="1" t="s">
        <v>20</v>
      </c>
      <c r="D1135" s="1" t="s">
        <v>47</v>
      </c>
      <c r="E1135" s="2" t="n">
        <v>451884791</v>
      </c>
      <c r="H1135" s="3" t="n">
        <v>1880</v>
      </c>
      <c r="I1135" s="1" t="n">
        <v>1200</v>
      </c>
      <c r="J1135" s="1" t="n">
        <v>0</v>
      </c>
      <c r="K1135" s="1" t="n">
        <v>680</v>
      </c>
      <c r="L1135" s="4" t="n">
        <v>1.689</v>
      </c>
      <c r="M1135" s="48" t="n">
        <v>46039</v>
      </c>
      <c r="N1135" s="33" t="n">
        <f aca="false">DAY(M1135)</f>
        <v>17</v>
      </c>
      <c r="O1135" s="33" t="str">
        <f aca="false">TEXT(M1135,"DDDD")</f>
        <v>sábado</v>
      </c>
      <c r="P1135" s="6" t="n">
        <f aca="false">MONTH(M1135)</f>
        <v>1</v>
      </c>
      <c r="Q1135" s="26" t="str">
        <f aca="false">TEXT(M1135,"MMMM")</f>
        <v>enero</v>
      </c>
    </row>
    <row r="1136" customFormat="false" ht="14.25" hidden="false" customHeight="false" outlineLevel="0" collapsed="false">
      <c r="A1136" s="1" t="n">
        <v>4</v>
      </c>
      <c r="B1136" s="1" t="s">
        <v>1825</v>
      </c>
      <c r="C1136" s="1" t="s">
        <v>20</v>
      </c>
      <c r="D1136" s="1" t="s">
        <v>1826</v>
      </c>
      <c r="E1136" s="2" t="n">
        <v>451883845</v>
      </c>
      <c r="H1136" s="3" t="n">
        <v>3760</v>
      </c>
      <c r="I1136" s="1" t="n">
        <v>1200</v>
      </c>
      <c r="J1136" s="1" t="n">
        <v>0</v>
      </c>
      <c r="K1136" s="1" t="n">
        <v>2560</v>
      </c>
      <c r="L1136" s="4" t="n">
        <v>1.722</v>
      </c>
      <c r="M1136" s="48" t="n">
        <v>46039</v>
      </c>
      <c r="N1136" s="33" t="n">
        <f aca="false">DAY(M1136)</f>
        <v>17</v>
      </c>
      <c r="O1136" s="33" t="str">
        <f aca="false">TEXT(M1136,"DDDD")</f>
        <v>sábado</v>
      </c>
      <c r="P1136" s="6" t="n">
        <f aca="false">MONTH(M1136)</f>
        <v>1</v>
      </c>
      <c r="Q1136" s="26" t="str">
        <f aca="false">TEXT(M1136,"MMMM")</f>
        <v>enero</v>
      </c>
    </row>
    <row r="1137" customFormat="false" ht="14.25" hidden="false" customHeight="false" outlineLevel="0" collapsed="false">
      <c r="A1137" s="1" t="n">
        <v>4</v>
      </c>
      <c r="B1137" s="1" t="s">
        <v>1827</v>
      </c>
      <c r="C1137" s="1" t="s">
        <v>20</v>
      </c>
      <c r="D1137" s="1" t="s">
        <v>755</v>
      </c>
      <c r="E1137" s="2" t="n">
        <v>451883704</v>
      </c>
      <c r="H1137" s="3" t="n">
        <v>4640</v>
      </c>
      <c r="I1137" s="1" t="n">
        <v>1200</v>
      </c>
      <c r="J1137" s="1" t="n">
        <v>0</v>
      </c>
      <c r="K1137" s="1" t="n">
        <v>3440</v>
      </c>
      <c r="L1137" s="4" t="n">
        <v>0.341</v>
      </c>
      <c r="M1137" s="48" t="n">
        <v>46039</v>
      </c>
      <c r="N1137" s="33" t="n">
        <f aca="false">DAY(M1137)</f>
        <v>17</v>
      </c>
      <c r="O1137" s="33" t="str">
        <f aca="false">TEXT(M1137,"DDDD")</f>
        <v>sábado</v>
      </c>
      <c r="P1137" s="6" t="n">
        <f aca="false">MONTH(M1137)</f>
        <v>1</v>
      </c>
      <c r="Q1137" s="26" t="str">
        <f aca="false">TEXT(M1137,"MMMM")</f>
        <v>enero</v>
      </c>
    </row>
    <row r="1138" customFormat="false" ht="14.25" hidden="false" customHeight="false" outlineLevel="0" collapsed="false">
      <c r="A1138" s="1" t="n">
        <v>3</v>
      </c>
      <c r="B1138" s="1" t="s">
        <v>1828</v>
      </c>
      <c r="C1138" s="1" t="s">
        <v>20</v>
      </c>
      <c r="D1138" s="1" t="s">
        <v>82</v>
      </c>
      <c r="E1138" s="2" t="n">
        <v>451883184</v>
      </c>
      <c r="H1138" s="3" t="n">
        <v>2900</v>
      </c>
      <c r="I1138" s="1" t="n">
        <v>1200</v>
      </c>
      <c r="J1138" s="1" t="n">
        <v>0</v>
      </c>
      <c r="K1138" s="1" t="n">
        <v>1700</v>
      </c>
      <c r="L1138" s="4" t="n">
        <v>0.944</v>
      </c>
      <c r="M1138" s="48" t="n">
        <v>46039</v>
      </c>
      <c r="N1138" s="33" t="n">
        <f aca="false">DAY(M1138)</f>
        <v>17</v>
      </c>
      <c r="O1138" s="33" t="str">
        <f aca="false">TEXT(M1138,"DDDD")</f>
        <v>sábado</v>
      </c>
      <c r="P1138" s="6" t="n">
        <f aca="false">MONTH(M1138)</f>
        <v>1</v>
      </c>
      <c r="Q1138" s="26" t="str">
        <f aca="false">TEXT(M1138,"MMMM")</f>
        <v>enero</v>
      </c>
    </row>
    <row r="1139" customFormat="false" ht="14.25" hidden="false" customHeight="false" outlineLevel="0" collapsed="false">
      <c r="A1139" s="1" t="n">
        <v>2</v>
      </c>
      <c r="B1139" s="1" t="s">
        <v>292</v>
      </c>
      <c r="C1139" s="1" t="s">
        <v>20</v>
      </c>
      <c r="D1139" s="1" t="s">
        <v>198</v>
      </c>
      <c r="E1139" s="2" t="n">
        <v>451882394</v>
      </c>
      <c r="H1139" s="3" t="n">
        <v>3500</v>
      </c>
      <c r="I1139" s="1" t="n">
        <v>1500</v>
      </c>
      <c r="J1139" s="1" t="n">
        <v>0</v>
      </c>
      <c r="K1139" s="1" t="n">
        <v>2000</v>
      </c>
      <c r="L1139" s="4" t="n">
        <v>3.277</v>
      </c>
      <c r="M1139" s="48" t="n">
        <v>46039</v>
      </c>
      <c r="N1139" s="33" t="n">
        <f aca="false">DAY(M1139)</f>
        <v>17</v>
      </c>
      <c r="O1139" s="33" t="str">
        <f aca="false">TEXT(M1139,"DDDD")</f>
        <v>sábado</v>
      </c>
      <c r="P1139" s="6" t="n">
        <f aca="false">MONTH(M1139)</f>
        <v>1</v>
      </c>
      <c r="Q1139" s="26" t="str">
        <f aca="false">TEXT(M1139,"MMMM")</f>
        <v>enero</v>
      </c>
    </row>
    <row r="1140" customFormat="false" ht="14.25" hidden="false" customHeight="false" outlineLevel="0" collapsed="false">
      <c r="A1140" s="1" t="n">
        <v>2</v>
      </c>
      <c r="B1140" s="1" t="s">
        <v>1829</v>
      </c>
      <c r="C1140" s="1" t="s">
        <v>20</v>
      </c>
      <c r="D1140" s="1" t="s">
        <v>1830</v>
      </c>
      <c r="E1140" s="2" t="n">
        <v>451876781</v>
      </c>
      <c r="H1140" s="3" t="n">
        <v>4540</v>
      </c>
      <c r="I1140" s="1" t="n">
        <v>1200</v>
      </c>
      <c r="J1140" s="1" t="n">
        <v>0</v>
      </c>
      <c r="K1140" s="1" t="n">
        <v>3340</v>
      </c>
      <c r="L1140" s="4" t="n">
        <v>2.8</v>
      </c>
      <c r="M1140" s="48" t="n">
        <v>46039</v>
      </c>
      <c r="N1140" s="33" t="n">
        <f aca="false">DAY(M1140)</f>
        <v>17</v>
      </c>
      <c r="O1140" s="33" t="str">
        <f aca="false">TEXT(M1140,"DDDD")</f>
        <v>sábado</v>
      </c>
      <c r="P1140" s="6" t="n">
        <f aca="false">MONTH(M1140)</f>
        <v>1</v>
      </c>
      <c r="Q1140" s="26" t="str">
        <f aca="false">TEXT(M1140,"MMMM")</f>
        <v>enero</v>
      </c>
    </row>
    <row r="1141" customFormat="false" ht="14.25" hidden="false" customHeight="false" outlineLevel="0" collapsed="false">
      <c r="A1141" s="1" t="n">
        <v>2</v>
      </c>
      <c r="B1141" s="1" t="s">
        <v>1831</v>
      </c>
      <c r="C1141" s="1" t="s">
        <v>20</v>
      </c>
      <c r="D1141" s="1" t="s">
        <v>1832</v>
      </c>
      <c r="E1141" s="2" t="n">
        <v>451878522</v>
      </c>
      <c r="H1141" s="3" t="n">
        <v>2480</v>
      </c>
      <c r="I1141" s="1" t="n">
        <v>1700</v>
      </c>
      <c r="J1141" s="1" t="n">
        <v>0</v>
      </c>
      <c r="K1141" s="1" t="n">
        <v>780</v>
      </c>
      <c r="L1141" s="4" t="n">
        <v>3.237</v>
      </c>
      <c r="M1141" s="48" t="n">
        <v>46039</v>
      </c>
      <c r="N1141" s="33" t="n">
        <f aca="false">DAY(M1141)</f>
        <v>17</v>
      </c>
      <c r="O1141" s="33" t="str">
        <f aca="false">TEXT(M1141,"DDDD")</f>
        <v>sábado</v>
      </c>
      <c r="P1141" s="6" t="n">
        <f aca="false">MONTH(M1141)</f>
        <v>1</v>
      </c>
      <c r="Q1141" s="26" t="str">
        <f aca="false">TEXT(M1141,"MMMM")</f>
        <v>enero</v>
      </c>
    </row>
    <row r="1142" customFormat="false" ht="14.25" hidden="false" customHeight="false" outlineLevel="0" collapsed="false">
      <c r="A1142" s="1" t="n">
        <v>1</v>
      </c>
      <c r="B1142" s="1" t="s">
        <v>1833</v>
      </c>
      <c r="C1142" s="1" t="s">
        <v>20</v>
      </c>
      <c r="D1142" s="1" t="s">
        <v>82</v>
      </c>
      <c r="E1142" s="2" t="n">
        <v>451881518</v>
      </c>
      <c r="F1142" s="21" t="s">
        <v>82</v>
      </c>
      <c r="G1142" s="1" t="n">
        <v>451881594</v>
      </c>
      <c r="H1142" s="3" t="n">
        <v>5000</v>
      </c>
      <c r="I1142" s="1" t="n">
        <v>1800</v>
      </c>
      <c r="J1142" s="1" t="n">
        <v>0</v>
      </c>
      <c r="K1142" s="1" t="n">
        <v>3200</v>
      </c>
      <c r="L1142" s="4" t="n">
        <v>1.287</v>
      </c>
      <c r="M1142" s="48" t="n">
        <v>46039</v>
      </c>
      <c r="N1142" s="33" t="n">
        <f aca="false">DAY(M1142)</f>
        <v>17</v>
      </c>
      <c r="O1142" s="33" t="str">
        <f aca="false">TEXT(M1142,"DDDD")</f>
        <v>sábado</v>
      </c>
      <c r="P1142" s="6" t="n">
        <f aca="false">MONTH(M1142)</f>
        <v>1</v>
      </c>
      <c r="Q1142" s="26" t="str">
        <f aca="false">TEXT(M1142,"MMMM")</f>
        <v>enero</v>
      </c>
    </row>
    <row r="1143" customFormat="false" ht="14.25" hidden="false" customHeight="false" outlineLevel="0" collapsed="false">
      <c r="A1143" s="1" t="n">
        <v>1</v>
      </c>
      <c r="B1143" s="1" t="s">
        <v>907</v>
      </c>
      <c r="C1143" s="1" t="s">
        <v>20</v>
      </c>
      <c r="D1143" s="1" t="s">
        <v>198</v>
      </c>
      <c r="E1143" s="2" t="n">
        <v>451882394</v>
      </c>
      <c r="H1143" s="3" t="n">
        <v>3500</v>
      </c>
      <c r="I1143" s="1" t="n">
        <v>1500</v>
      </c>
      <c r="J1143" s="1" t="n">
        <v>0</v>
      </c>
      <c r="K1143" s="1" t="n">
        <v>2000</v>
      </c>
      <c r="L1143" s="4" t="n">
        <v>3.277</v>
      </c>
      <c r="M1143" s="48" t="n">
        <v>46039</v>
      </c>
      <c r="N1143" s="33" t="n">
        <f aca="false">DAY(M1143)</f>
        <v>17</v>
      </c>
      <c r="O1143" s="33" t="str">
        <f aca="false">TEXT(M1143,"DDDD")</f>
        <v>sábado</v>
      </c>
      <c r="P1143" s="6" t="n">
        <f aca="false">MONTH(M1143)</f>
        <v>1</v>
      </c>
      <c r="Q1143" s="26" t="str">
        <f aca="false">TEXT(M1143,"MMMM")</f>
        <v>enero</v>
      </c>
    </row>
    <row r="1144" customFormat="false" ht="14.25" hidden="false" customHeight="false" outlineLevel="0" collapsed="false">
      <c r="A1144" s="1" t="n">
        <v>12</v>
      </c>
      <c r="B1144" s="1" t="s">
        <v>1834</v>
      </c>
      <c r="C1144" s="1" t="s">
        <v>20</v>
      </c>
      <c r="D1144" s="1" t="s">
        <v>1835</v>
      </c>
      <c r="E1144" s="2" t="n">
        <v>452427193</v>
      </c>
      <c r="F1144" s="21" t="s">
        <v>1836</v>
      </c>
      <c r="G1144" s="1" t="n">
        <v>452427287</v>
      </c>
      <c r="H1144" s="3" t="n">
        <v>4360</v>
      </c>
      <c r="I1144" s="1" t="n">
        <v>1800</v>
      </c>
      <c r="J1144" s="1" t="n">
        <v>0</v>
      </c>
      <c r="K1144" s="1" t="n">
        <v>2560</v>
      </c>
      <c r="L1144" s="4" t="n">
        <v>0</v>
      </c>
      <c r="M1144" s="48" t="n">
        <v>46044</v>
      </c>
      <c r="N1144" s="33" t="n">
        <f aca="false">DAY(M1144)</f>
        <v>22</v>
      </c>
      <c r="O1144" s="33" t="str">
        <f aca="false">TEXT(M1144,"DDDD")</f>
        <v>jueves</v>
      </c>
      <c r="P1144" s="6" t="n">
        <f aca="false">MONTH(M1144)</f>
        <v>1</v>
      </c>
      <c r="Q1144" s="26" t="str">
        <f aca="false">TEXT(M1144,"MMMM")</f>
        <v>enero</v>
      </c>
    </row>
    <row r="1145" customFormat="false" ht="14.25" hidden="false" customHeight="false" outlineLevel="0" collapsed="false">
      <c r="A1145" s="1" t="n">
        <v>11</v>
      </c>
      <c r="B1145" s="1" t="s">
        <v>1837</v>
      </c>
      <c r="C1145" s="1" t="s">
        <v>38</v>
      </c>
      <c r="D1145" s="1" t="s">
        <v>1838</v>
      </c>
      <c r="E1145" s="2" t="n">
        <v>452408785</v>
      </c>
      <c r="H1145" s="3" t="n">
        <f aca="false">SUM(I1145+J1145+K1145)</f>
        <v>1200</v>
      </c>
      <c r="I1145" s="1" t="n">
        <v>1200</v>
      </c>
      <c r="J1145" s="1" t="n">
        <v>0</v>
      </c>
      <c r="K1145" s="1" t="n">
        <v>0</v>
      </c>
      <c r="L1145" s="4" t="n">
        <v>0</v>
      </c>
      <c r="M1145" s="48" t="n">
        <v>46044</v>
      </c>
      <c r="N1145" s="33" t="n">
        <f aca="false">DAY(M1145)</f>
        <v>22</v>
      </c>
      <c r="O1145" s="33" t="str">
        <f aca="false">TEXT(M1145,"DDDD")</f>
        <v>jueves</v>
      </c>
      <c r="P1145" s="6" t="n">
        <f aca="false">MONTH(M1145)</f>
        <v>1</v>
      </c>
      <c r="Q1145" s="26" t="str">
        <f aca="false">TEXT(M1145,"MMMM")</f>
        <v>enero</v>
      </c>
    </row>
    <row r="1146" customFormat="false" ht="14.25" hidden="false" customHeight="false" outlineLevel="0" collapsed="false">
      <c r="A1146" s="1" t="n">
        <v>11</v>
      </c>
      <c r="B1146" s="1" t="s">
        <v>162</v>
      </c>
      <c r="C1146" s="1" t="s">
        <v>20</v>
      </c>
      <c r="D1146" s="1" t="s">
        <v>1839</v>
      </c>
      <c r="E1146" s="2" t="n">
        <v>452415768</v>
      </c>
      <c r="F1146" s="21" t="s">
        <v>1840</v>
      </c>
      <c r="G1146" s="1" t="n">
        <v>452416194</v>
      </c>
      <c r="H1146" s="3" t="n">
        <f aca="false">SUM(I1146+J1146+K1146)</f>
        <v>1800</v>
      </c>
      <c r="I1146" s="1" t="n">
        <v>1800</v>
      </c>
      <c r="J1146" s="1" t="n">
        <v>0</v>
      </c>
      <c r="K1146" s="1" t="n">
        <v>0</v>
      </c>
      <c r="L1146" s="4" t="n">
        <v>0</v>
      </c>
      <c r="M1146" s="48" t="n">
        <v>46044</v>
      </c>
      <c r="N1146" s="33" t="n">
        <f aca="false">DAY(M1146)</f>
        <v>22</v>
      </c>
      <c r="O1146" s="33" t="str">
        <f aca="false">TEXT(M1146,"DDDD")</f>
        <v>jueves</v>
      </c>
      <c r="P1146" s="6" t="n">
        <f aca="false">MONTH(M1146)</f>
        <v>1</v>
      </c>
      <c r="Q1146" s="26" t="str">
        <f aca="false">TEXT(M1146,"MMMM")</f>
        <v>enero</v>
      </c>
    </row>
    <row r="1147" customFormat="false" ht="14.25" hidden="false" customHeight="false" outlineLevel="0" collapsed="false">
      <c r="A1147" s="1" t="n">
        <v>10</v>
      </c>
      <c r="B1147" s="1" t="s">
        <v>1841</v>
      </c>
      <c r="C1147" s="1" t="s">
        <v>38</v>
      </c>
      <c r="D1147" s="1" t="s">
        <v>1838</v>
      </c>
      <c r="E1147" s="2" t="n">
        <v>452421101</v>
      </c>
      <c r="H1147" s="3" t="n">
        <f aca="false">SUM(I1147+J1147+K1147)</f>
        <v>3980</v>
      </c>
      <c r="I1147" s="1" t="n">
        <v>1700</v>
      </c>
      <c r="J1147" s="1" t="n">
        <v>0</v>
      </c>
      <c r="K1147" s="1" t="n">
        <v>2280</v>
      </c>
      <c r="L1147" s="4" t="n">
        <v>0</v>
      </c>
      <c r="M1147" s="48" t="n">
        <v>46044</v>
      </c>
      <c r="N1147" s="33" t="n">
        <f aca="false">DAY(M1147)</f>
        <v>22</v>
      </c>
      <c r="O1147" s="33" t="str">
        <f aca="false">TEXT(M1147,"DDDD")</f>
        <v>jueves</v>
      </c>
      <c r="P1147" s="6" t="n">
        <f aca="false">MONTH(M1147)</f>
        <v>1</v>
      </c>
      <c r="Q1147" s="26" t="str">
        <f aca="false">TEXT(M1147,"MMMM")</f>
        <v>enero</v>
      </c>
    </row>
    <row r="1148" customFormat="false" ht="14.25" hidden="false" customHeight="false" outlineLevel="0" collapsed="false">
      <c r="A1148" s="1" t="n">
        <v>10</v>
      </c>
      <c r="B1148" s="1" t="s">
        <v>1842</v>
      </c>
      <c r="C1148" s="1" t="s">
        <v>20</v>
      </c>
      <c r="D1148" s="1" t="s">
        <v>213</v>
      </c>
      <c r="E1148" s="2" t="n">
        <v>452406324</v>
      </c>
      <c r="H1148" s="3" t="n">
        <f aca="false">SUM(I1148+J1148+K1148)</f>
        <v>1740</v>
      </c>
      <c r="I1148" s="1" t="n">
        <v>1200</v>
      </c>
      <c r="J1148" s="1" t="n">
        <v>0</v>
      </c>
      <c r="K1148" s="1" t="n">
        <v>540</v>
      </c>
      <c r="L1148" s="4" t="n">
        <v>0</v>
      </c>
      <c r="M1148" s="48" t="n">
        <v>46044</v>
      </c>
      <c r="N1148" s="33" t="n">
        <f aca="false">DAY(M1148)</f>
        <v>22</v>
      </c>
      <c r="O1148" s="33" t="str">
        <f aca="false">TEXT(M1148,"DDDD")</f>
        <v>jueves</v>
      </c>
      <c r="P1148" s="6" t="n">
        <f aca="false">MONTH(M1148)</f>
        <v>1</v>
      </c>
      <c r="Q1148" s="26" t="str">
        <f aca="false">TEXT(M1148,"MMMM")</f>
        <v>enero</v>
      </c>
    </row>
    <row r="1149" customFormat="false" ht="14.25" hidden="false" customHeight="false" outlineLevel="0" collapsed="false">
      <c r="A1149" s="1" t="n">
        <v>10</v>
      </c>
      <c r="B1149" s="1" t="s">
        <v>1843</v>
      </c>
      <c r="C1149" s="1" t="s">
        <v>38</v>
      </c>
      <c r="D1149" s="1" t="s">
        <v>1844</v>
      </c>
      <c r="E1149" s="2" t="n">
        <v>452405124</v>
      </c>
      <c r="H1149" s="3" t="n">
        <f aca="false">SUM(I1149+J1149+K1149)</f>
        <v>1700</v>
      </c>
      <c r="I1149" s="1" t="n">
        <v>1200</v>
      </c>
      <c r="J1149" s="1" t="n">
        <v>0</v>
      </c>
      <c r="K1149" s="1" t="n">
        <v>500</v>
      </c>
      <c r="L1149" s="4" t="n">
        <v>0</v>
      </c>
      <c r="M1149" s="48" t="n">
        <v>46044</v>
      </c>
      <c r="N1149" s="33" t="n">
        <f aca="false">DAY(M1149)</f>
        <v>22</v>
      </c>
      <c r="O1149" s="33" t="str">
        <f aca="false">TEXT(M1149,"DDDD")</f>
        <v>jueves</v>
      </c>
      <c r="P1149" s="6" t="n">
        <f aca="false">MONTH(M1149)</f>
        <v>1</v>
      </c>
      <c r="Q1149" s="26" t="str">
        <f aca="false">TEXT(M1149,"MMMM")</f>
        <v>enero</v>
      </c>
    </row>
    <row r="1150" customFormat="false" ht="14.25" hidden="false" customHeight="false" outlineLevel="0" collapsed="false">
      <c r="A1150" s="1" t="n">
        <v>9</v>
      </c>
      <c r="B1150" s="1" t="s">
        <v>1845</v>
      </c>
      <c r="C1150" s="1" t="s">
        <v>20</v>
      </c>
      <c r="D1150" s="1" t="s">
        <v>1846</v>
      </c>
      <c r="E1150" s="2" t="n">
        <v>452401316</v>
      </c>
      <c r="H1150" s="3" t="n">
        <f aca="false">SUM(I1150+J1150+K1150)</f>
        <v>1620</v>
      </c>
      <c r="I1150" s="1" t="n">
        <v>1200</v>
      </c>
      <c r="J1150" s="1" t="n">
        <v>0</v>
      </c>
      <c r="K1150" s="1" t="n">
        <v>420</v>
      </c>
      <c r="L1150" s="4" t="n">
        <v>0</v>
      </c>
      <c r="M1150" s="48" t="n">
        <v>46044</v>
      </c>
      <c r="N1150" s="33" t="n">
        <f aca="false">DAY(M1150)</f>
        <v>22</v>
      </c>
      <c r="O1150" s="33" t="str">
        <f aca="false">TEXT(M1150,"DDDD")</f>
        <v>jueves</v>
      </c>
      <c r="P1150" s="6" t="n">
        <f aca="false">MONTH(M1150)</f>
        <v>1</v>
      </c>
      <c r="Q1150" s="26" t="str">
        <f aca="false">TEXT(M1150,"MMMM")</f>
        <v>enero</v>
      </c>
    </row>
    <row r="1151" customFormat="false" ht="14.25" hidden="false" customHeight="false" outlineLevel="0" collapsed="false">
      <c r="A1151" s="1" t="n">
        <v>9</v>
      </c>
      <c r="B1151" s="1" t="s">
        <v>1847</v>
      </c>
      <c r="C1151" s="1" t="s">
        <v>20</v>
      </c>
      <c r="D1151" s="1" t="s">
        <v>1848</v>
      </c>
      <c r="E1151" s="2" t="n">
        <v>452610016</v>
      </c>
      <c r="F1151" s="21" t="s">
        <v>1849</v>
      </c>
      <c r="G1151" s="1" t="n">
        <v>452609904</v>
      </c>
      <c r="H1151" s="3" t="n">
        <f aca="false">SUM(I1151+J1151+K1151)</f>
        <v>6180</v>
      </c>
      <c r="I1151" s="1" t="n">
        <v>1800</v>
      </c>
      <c r="J1151" s="1" t="n">
        <v>0</v>
      </c>
      <c r="K1151" s="1" t="n">
        <v>4380</v>
      </c>
      <c r="L1151" s="4" t="n">
        <v>0</v>
      </c>
      <c r="M1151" s="48" t="n">
        <v>46046</v>
      </c>
      <c r="N1151" s="33" t="n">
        <f aca="false">DAY(M1151)</f>
        <v>24</v>
      </c>
      <c r="O1151" s="33" t="str">
        <f aca="false">TEXT(M1151,"DDDD")</f>
        <v>sábado</v>
      </c>
      <c r="P1151" s="6" t="n">
        <f aca="false">MONTH(M1151)</f>
        <v>1</v>
      </c>
      <c r="Q1151" s="26" t="str">
        <f aca="false">TEXT(M1151,"MMMM")</f>
        <v>enero</v>
      </c>
    </row>
    <row r="1152" customFormat="false" ht="14.25" hidden="false" customHeight="false" outlineLevel="0" collapsed="false">
      <c r="A1152" s="1" t="n">
        <v>9</v>
      </c>
      <c r="B1152" s="1" t="s">
        <v>1850</v>
      </c>
      <c r="D1152" s="1" t="s">
        <v>49</v>
      </c>
      <c r="E1152" s="2" t="n">
        <v>452606390</v>
      </c>
      <c r="H1152" s="3" t="n">
        <f aca="false">SUM(I1152+J1152+K1152)</f>
        <v>1810</v>
      </c>
      <c r="I1152" s="1" t="n">
        <v>1600</v>
      </c>
      <c r="J1152" s="1" t="n">
        <v>0</v>
      </c>
      <c r="K1152" s="1" t="n">
        <v>210</v>
      </c>
      <c r="L1152" s="4" t="n">
        <v>0</v>
      </c>
      <c r="M1152" s="48" t="n">
        <v>46046</v>
      </c>
      <c r="N1152" s="33" t="n">
        <f aca="false">DAY(M1152)</f>
        <v>24</v>
      </c>
      <c r="O1152" s="33" t="str">
        <f aca="false">TEXT(M1152,"DDDD")</f>
        <v>sábado</v>
      </c>
      <c r="P1152" s="6" t="n">
        <f aca="false">MONTH(M1152)</f>
        <v>1</v>
      </c>
      <c r="Q1152" s="26" t="str">
        <f aca="false">TEXT(M1152,"MMMM")</f>
        <v>enero</v>
      </c>
    </row>
    <row r="1153" customFormat="false" ht="14.25" hidden="false" customHeight="false" outlineLevel="0" collapsed="false">
      <c r="A1153" s="1" t="n">
        <v>8</v>
      </c>
      <c r="B1153" s="1" t="s">
        <v>1851</v>
      </c>
      <c r="C1153" s="1" t="s">
        <v>38</v>
      </c>
      <c r="D1153" s="1" t="s">
        <v>1852</v>
      </c>
      <c r="E1153" s="2" t="n">
        <v>452611102</v>
      </c>
      <c r="H1153" s="3" t="n">
        <f aca="false">SUM(I1153+J1153+K1153)</f>
        <v>1200</v>
      </c>
      <c r="I1153" s="1" t="n">
        <v>1200</v>
      </c>
      <c r="J1153" s="1" t="n">
        <v>0</v>
      </c>
      <c r="K1153" s="1" t="n">
        <v>0</v>
      </c>
      <c r="L1153" s="4" t="n">
        <v>0</v>
      </c>
      <c r="M1153" s="48" t="n">
        <v>46046</v>
      </c>
      <c r="N1153" s="33" t="n">
        <f aca="false">DAY(M1153)</f>
        <v>24</v>
      </c>
      <c r="O1153" s="33" t="str">
        <f aca="false">TEXT(M1153,"DDDD")</f>
        <v>sábado</v>
      </c>
      <c r="P1153" s="6" t="n">
        <f aca="false">MONTH(M1153)</f>
        <v>1</v>
      </c>
      <c r="Q1153" s="26" t="str">
        <f aca="false">TEXT(M1153,"MMMM")</f>
        <v>enero</v>
      </c>
    </row>
    <row r="1154" customFormat="false" ht="14.25" hidden="false" customHeight="false" outlineLevel="0" collapsed="false">
      <c r="A1154" s="1" t="n">
        <v>8</v>
      </c>
      <c r="B1154" s="1" t="s">
        <v>1853</v>
      </c>
      <c r="C1154" s="1" t="s">
        <v>20</v>
      </c>
      <c r="D1154" s="1" t="s">
        <v>270</v>
      </c>
      <c r="E1154" s="2" t="n">
        <v>452596090</v>
      </c>
      <c r="H1154" s="3" t="n">
        <f aca="false">SUM(I1154+J1154+K1154)</f>
        <v>2250</v>
      </c>
      <c r="I1154" s="1" t="n">
        <v>2250</v>
      </c>
      <c r="J1154" s="1" t="n">
        <v>0</v>
      </c>
      <c r="K1154" s="1" t="n">
        <v>0</v>
      </c>
      <c r="L1154" s="4" t="n">
        <v>0</v>
      </c>
      <c r="M1154" s="48" t="n">
        <v>46046</v>
      </c>
      <c r="N1154" s="33" t="n">
        <f aca="false">DAY(M1154)</f>
        <v>24</v>
      </c>
      <c r="O1154" s="33" t="str">
        <f aca="false">TEXT(M1154,"DDDD")</f>
        <v>sábado</v>
      </c>
      <c r="P1154" s="6" t="n">
        <f aca="false">MONTH(M1154)</f>
        <v>1</v>
      </c>
      <c r="Q1154" s="26" t="str">
        <f aca="false">TEXT(M1154,"MMMM")</f>
        <v>enero</v>
      </c>
    </row>
    <row r="1155" customFormat="false" ht="14.25" hidden="false" customHeight="false" outlineLevel="0" collapsed="false">
      <c r="A1155" s="1" t="n">
        <v>8</v>
      </c>
      <c r="B1155" s="1" t="s">
        <v>1854</v>
      </c>
      <c r="C1155" s="1" t="s">
        <v>20</v>
      </c>
      <c r="D1155" s="1" t="s">
        <v>1855</v>
      </c>
      <c r="E1155" s="2" t="n">
        <v>452593203</v>
      </c>
      <c r="H1155" s="3" t="n">
        <f aca="false">SUM(I1155+J1155+K1155)</f>
        <v>3680</v>
      </c>
      <c r="I1155" s="1" t="n">
        <v>1200</v>
      </c>
      <c r="J1155" s="1" t="n">
        <v>0</v>
      </c>
      <c r="K1155" s="1" t="n">
        <v>2480</v>
      </c>
      <c r="L1155" s="4" t="n">
        <v>0</v>
      </c>
      <c r="M1155" s="48" t="n">
        <v>46046</v>
      </c>
      <c r="N1155" s="33" t="n">
        <f aca="false">DAY(M1155)</f>
        <v>24</v>
      </c>
      <c r="O1155" s="33" t="str">
        <f aca="false">TEXT(M1155,"DDDD")</f>
        <v>sábado</v>
      </c>
      <c r="P1155" s="6" t="n">
        <f aca="false">MONTH(M1155)</f>
        <v>1</v>
      </c>
      <c r="Q1155" s="26" t="str">
        <f aca="false">TEXT(M1155,"MMMM")</f>
        <v>enero</v>
      </c>
    </row>
    <row r="1156" customFormat="false" ht="14.25" hidden="false" customHeight="false" outlineLevel="0" collapsed="false">
      <c r="A1156" s="1" t="n">
        <v>7</v>
      </c>
      <c r="B1156" s="1" t="s">
        <v>1856</v>
      </c>
      <c r="C1156" s="1" t="s">
        <v>20</v>
      </c>
      <c r="D1156" s="1" t="s">
        <v>478</v>
      </c>
      <c r="E1156" s="2" t="n">
        <v>452591705</v>
      </c>
      <c r="H1156" s="3" t="n">
        <f aca="false">SUM(I1156+J1156+K1156)</f>
        <v>2940</v>
      </c>
      <c r="I1156" s="1" t="n">
        <v>1200</v>
      </c>
      <c r="J1156" s="1" t="n">
        <v>0</v>
      </c>
      <c r="K1156" s="1" t="n">
        <v>1740</v>
      </c>
      <c r="L1156" s="4" t="n">
        <v>0</v>
      </c>
      <c r="M1156" s="48" t="n">
        <v>46046</v>
      </c>
      <c r="N1156" s="33" t="n">
        <f aca="false">DAY(M1156)</f>
        <v>24</v>
      </c>
      <c r="O1156" s="33" t="str">
        <f aca="false">TEXT(M1156,"DDDD")</f>
        <v>sábado</v>
      </c>
      <c r="P1156" s="6" t="n">
        <f aca="false">MONTH(M1156)</f>
        <v>1</v>
      </c>
      <c r="Q1156" s="26" t="str">
        <f aca="false">TEXT(M1156,"MMMM")</f>
        <v>enero</v>
      </c>
    </row>
    <row r="1157" customFormat="false" ht="14.25" hidden="false" customHeight="false" outlineLevel="0" collapsed="false">
      <c r="A1157" s="1" t="n">
        <v>7</v>
      </c>
      <c r="B1157" s="1" t="s">
        <v>1857</v>
      </c>
      <c r="C1157" s="1" t="s">
        <v>20</v>
      </c>
      <c r="D1157" s="1" t="s">
        <v>1858</v>
      </c>
      <c r="E1157" s="2" t="n">
        <v>452581601</v>
      </c>
      <c r="H1157" s="3" t="n">
        <f aca="false">SUM(I1157+J1157+K1157)</f>
        <v>2040</v>
      </c>
      <c r="I1157" s="1" t="n">
        <v>1200</v>
      </c>
      <c r="J1157" s="1" t="n">
        <v>0</v>
      </c>
      <c r="K1157" s="1" t="n">
        <v>840</v>
      </c>
      <c r="L1157" s="4" t="n">
        <v>0</v>
      </c>
      <c r="M1157" s="48" t="n">
        <v>46046</v>
      </c>
      <c r="N1157" s="33" t="n">
        <f aca="false">DAY(M1157)</f>
        <v>24</v>
      </c>
      <c r="O1157" s="33" t="str">
        <f aca="false">TEXT(M1157,"DDDD")</f>
        <v>sábado</v>
      </c>
      <c r="P1157" s="6" t="n">
        <f aca="false">MONTH(M1157)</f>
        <v>1</v>
      </c>
      <c r="Q1157" s="26" t="str">
        <f aca="false">TEXT(M1157,"MMMM")</f>
        <v>enero</v>
      </c>
    </row>
    <row r="1158" customFormat="false" ht="14.25" hidden="false" customHeight="false" outlineLevel="0" collapsed="false">
      <c r="A1158" s="1" t="n">
        <v>6</v>
      </c>
      <c r="B1158" s="1" t="s">
        <v>1812</v>
      </c>
      <c r="C1158" s="1" t="s">
        <v>38</v>
      </c>
      <c r="D1158" s="1" t="s">
        <v>1859</v>
      </c>
      <c r="E1158" s="2" t="n">
        <v>452579334</v>
      </c>
      <c r="H1158" s="3" t="n">
        <f aca="false">SUM(I1158+J1158+K1158)</f>
        <v>1700</v>
      </c>
      <c r="I1158" s="1" t="n">
        <v>1200</v>
      </c>
      <c r="J1158" s="1" t="n">
        <v>0</v>
      </c>
      <c r="K1158" s="1" t="n">
        <v>500</v>
      </c>
      <c r="L1158" s="4" t="n">
        <v>0</v>
      </c>
      <c r="M1158" s="48" t="n">
        <v>46046</v>
      </c>
      <c r="N1158" s="33" t="n">
        <f aca="false">DAY(M1158)</f>
        <v>24</v>
      </c>
      <c r="O1158" s="33" t="str">
        <f aca="false">TEXT(M1158,"DDDD")</f>
        <v>sábado</v>
      </c>
      <c r="P1158" s="6" t="n">
        <f aca="false">MONTH(M1158)</f>
        <v>1</v>
      </c>
      <c r="Q1158" s="26" t="str">
        <f aca="false">TEXT(M1158,"MMMM")</f>
        <v>enero</v>
      </c>
    </row>
    <row r="1159" customFormat="false" ht="14.25" hidden="false" customHeight="false" outlineLevel="0" collapsed="false">
      <c r="A1159" s="1" t="n">
        <v>6</v>
      </c>
      <c r="B1159" s="1" t="s">
        <v>1860</v>
      </c>
      <c r="C1159" s="1" t="s">
        <v>38</v>
      </c>
      <c r="D1159" s="1" t="s">
        <v>1861</v>
      </c>
      <c r="E1159" s="2" t="n">
        <v>452578593</v>
      </c>
      <c r="H1159" s="3" t="n">
        <f aca="false">SUM(I1159+J1159+K1159)</f>
        <v>2200</v>
      </c>
      <c r="I1159" s="1" t="n">
        <v>2200</v>
      </c>
      <c r="J1159" s="1" t="n">
        <v>0</v>
      </c>
      <c r="K1159" s="1" t="n">
        <v>0</v>
      </c>
      <c r="L1159" s="4" t="n">
        <v>0</v>
      </c>
      <c r="M1159" s="48" t="n">
        <v>46046</v>
      </c>
      <c r="N1159" s="33" t="n">
        <f aca="false">DAY(M1159)</f>
        <v>24</v>
      </c>
      <c r="O1159" s="33" t="str">
        <f aca="false">TEXT(M1159,"DDDD")</f>
        <v>sábado</v>
      </c>
      <c r="P1159" s="6" t="n">
        <f aca="false">MONTH(M1159)</f>
        <v>1</v>
      </c>
      <c r="Q1159" s="26" t="str">
        <f aca="false">TEXT(M1159,"MMMM")</f>
        <v>enero</v>
      </c>
    </row>
    <row r="1160" customFormat="false" ht="14.25" hidden="false" customHeight="false" outlineLevel="0" collapsed="false">
      <c r="A1160" s="1" t="n">
        <v>6</v>
      </c>
      <c r="B1160" s="1" t="s">
        <v>1814</v>
      </c>
      <c r="C1160" s="1" t="s">
        <v>20</v>
      </c>
      <c r="D1160" s="1" t="s">
        <v>1152</v>
      </c>
      <c r="E1160" s="2" t="n">
        <v>452775541</v>
      </c>
      <c r="H1160" s="3" t="n">
        <f aca="false">SUM(I1160+J1160+K1160)</f>
        <v>1500</v>
      </c>
      <c r="I1160" s="1" t="n">
        <v>1200</v>
      </c>
      <c r="J1160" s="1" t="n">
        <v>0</v>
      </c>
      <c r="K1160" s="1" t="n">
        <v>300</v>
      </c>
      <c r="L1160" s="4" t="n">
        <v>0</v>
      </c>
      <c r="M1160" s="48" t="n">
        <v>46046</v>
      </c>
      <c r="N1160" s="33" t="n">
        <f aca="false">DAY(M1160)</f>
        <v>24</v>
      </c>
      <c r="O1160" s="33" t="str">
        <f aca="false">TEXT(M1160,"DDDD")</f>
        <v>sábado</v>
      </c>
      <c r="P1160" s="6" t="n">
        <f aca="false">MONTH(M1160)</f>
        <v>1</v>
      </c>
      <c r="Q1160" s="26" t="str">
        <f aca="false">TEXT(M1160,"MMMM")</f>
        <v>enero</v>
      </c>
    </row>
    <row r="1161" customFormat="false" ht="14.25" hidden="false" customHeight="false" outlineLevel="0" collapsed="false">
      <c r="A1161" s="1" t="n">
        <v>8</v>
      </c>
      <c r="B1161" s="1" t="s">
        <v>1862</v>
      </c>
      <c r="C1161" s="1" t="s">
        <v>38</v>
      </c>
      <c r="D1161" s="1" t="s">
        <v>1863</v>
      </c>
      <c r="E1161" s="2" t="n">
        <v>452717148</v>
      </c>
      <c r="H1161" s="3" t="n">
        <f aca="false">SUM(I1161+J1161+K1161)</f>
        <v>1700</v>
      </c>
      <c r="I1161" s="1" t="n">
        <v>1200</v>
      </c>
      <c r="J1161" s="1" t="n">
        <v>0</v>
      </c>
      <c r="K1161" s="1" t="n">
        <v>500</v>
      </c>
      <c r="L1161" s="4" t="n">
        <v>0</v>
      </c>
      <c r="M1161" s="48" t="n">
        <v>46047</v>
      </c>
      <c r="N1161" s="33" t="n">
        <f aca="false">DAY(M1161)</f>
        <v>25</v>
      </c>
      <c r="O1161" s="33" t="str">
        <f aca="false">TEXT(M1161,"DDDD")</f>
        <v>domingo</v>
      </c>
      <c r="P1161" s="6" t="n">
        <f aca="false">MONTH(M1161)</f>
        <v>1</v>
      </c>
      <c r="Q1161" s="26" t="str">
        <f aca="false">TEXT(M1161,"MMMM")</f>
        <v>enero</v>
      </c>
    </row>
    <row r="1162" customFormat="false" ht="14.25" hidden="false" customHeight="false" outlineLevel="0" collapsed="false">
      <c r="A1162" s="1" t="n">
        <v>8</v>
      </c>
      <c r="B1162" s="1" t="s">
        <v>1864</v>
      </c>
      <c r="C1162" s="1" t="s">
        <v>20</v>
      </c>
      <c r="D1162" s="1" t="s">
        <v>1865</v>
      </c>
      <c r="E1162" s="2" t="n">
        <v>452715030</v>
      </c>
      <c r="H1162" s="3" t="n">
        <f aca="false">SUM(I1162+J1162+K1162)</f>
        <v>1650</v>
      </c>
      <c r="I1162" s="1" t="n">
        <v>1450</v>
      </c>
      <c r="J1162" s="1" t="n">
        <v>0</v>
      </c>
      <c r="K1162" s="1" t="n">
        <v>200</v>
      </c>
      <c r="L1162" s="4" t="n">
        <v>0</v>
      </c>
      <c r="M1162" s="48" t="n">
        <v>46047</v>
      </c>
      <c r="N1162" s="33" t="n">
        <f aca="false">DAY(M1162)</f>
        <v>25</v>
      </c>
      <c r="O1162" s="33" t="str">
        <f aca="false">TEXT(M1162,"DDDD")</f>
        <v>domingo</v>
      </c>
      <c r="P1162" s="6" t="n">
        <f aca="false">MONTH(M1162)</f>
        <v>1</v>
      </c>
      <c r="Q1162" s="26" t="str">
        <f aca="false">TEXT(M1162,"MMMM")</f>
        <v>enero</v>
      </c>
    </row>
    <row r="1163" customFormat="false" ht="14.25" hidden="false" customHeight="false" outlineLevel="0" collapsed="false">
      <c r="A1163" s="1" t="n">
        <v>8</v>
      </c>
      <c r="B1163" s="1" t="s">
        <v>1866</v>
      </c>
      <c r="C1163" s="1" t="s">
        <v>38</v>
      </c>
      <c r="D1163" s="1" t="s">
        <v>783</v>
      </c>
      <c r="E1163" s="2" t="n">
        <v>452708272</v>
      </c>
      <c r="H1163" s="3" t="n">
        <f aca="false">SUM(I1163+J1163+K1163)</f>
        <v>3210</v>
      </c>
      <c r="I1163" s="1" t="n">
        <v>2250</v>
      </c>
      <c r="J1163" s="1" t="n">
        <v>0</v>
      </c>
      <c r="K1163" s="1" t="n">
        <v>960</v>
      </c>
      <c r="L1163" s="4" t="n">
        <v>0</v>
      </c>
      <c r="M1163" s="48" t="n">
        <v>46047</v>
      </c>
      <c r="N1163" s="33" t="n">
        <f aca="false">DAY(M1163)</f>
        <v>25</v>
      </c>
      <c r="O1163" s="33" t="str">
        <f aca="false">TEXT(M1163,"DDDD")</f>
        <v>domingo</v>
      </c>
      <c r="P1163" s="6" t="n">
        <f aca="false">MONTH(M1163)</f>
        <v>1</v>
      </c>
      <c r="Q1163" s="26" t="str">
        <f aca="false">TEXT(M1163,"MMMM")</f>
        <v>enero</v>
      </c>
    </row>
    <row r="1164" customFormat="false" ht="14.25" hidden="false" customHeight="false" outlineLevel="0" collapsed="false">
      <c r="A1164" s="1" t="n">
        <v>7</v>
      </c>
      <c r="B1164" s="1" t="s">
        <v>1867</v>
      </c>
      <c r="C1164" s="1" t="s">
        <v>20</v>
      </c>
      <c r="D1164" s="1" t="s">
        <v>1154</v>
      </c>
      <c r="E1164" s="2" t="n">
        <v>452703256</v>
      </c>
      <c r="H1164" s="3" t="n">
        <f aca="false">SUM(I1164+J1164+K1164)</f>
        <v>2100</v>
      </c>
      <c r="I1164" s="1" t="n">
        <v>1200</v>
      </c>
      <c r="J1164" s="1" t="n">
        <v>0</v>
      </c>
      <c r="K1164" s="1" t="n">
        <v>900</v>
      </c>
      <c r="L1164" s="4" t="n">
        <v>0</v>
      </c>
      <c r="M1164" s="48" t="n">
        <v>46047</v>
      </c>
      <c r="N1164" s="33" t="n">
        <f aca="false">DAY(M1164)</f>
        <v>25</v>
      </c>
      <c r="O1164" s="33" t="str">
        <f aca="false">TEXT(M1164,"DDDD")</f>
        <v>domingo</v>
      </c>
      <c r="P1164" s="6" t="n">
        <f aca="false">MONTH(M1164)</f>
        <v>1</v>
      </c>
      <c r="Q1164" s="26" t="str">
        <f aca="false">TEXT(M1164,"MMMM")</f>
        <v>enero</v>
      </c>
    </row>
    <row r="1165" customFormat="false" ht="14.25" hidden="false" customHeight="false" outlineLevel="0" collapsed="false">
      <c r="A1165" s="1" t="n">
        <v>12</v>
      </c>
      <c r="B1165" s="1" t="s">
        <v>1868</v>
      </c>
      <c r="C1165" s="1" t="s">
        <v>38</v>
      </c>
      <c r="D1165" s="1" t="s">
        <v>1869</v>
      </c>
      <c r="E1165" s="2" t="n">
        <v>453822579</v>
      </c>
      <c r="H1165" s="3" t="n">
        <f aca="false">SUM(I1165+J1165+K1165)</f>
        <v>1200</v>
      </c>
      <c r="I1165" s="1" t="n">
        <v>1200</v>
      </c>
      <c r="J1165" s="1" t="n">
        <v>0</v>
      </c>
      <c r="K1165" s="1" t="n">
        <v>0</v>
      </c>
      <c r="L1165" s="4" t="n">
        <v>1.493</v>
      </c>
      <c r="M1165" s="48" t="n">
        <v>46057</v>
      </c>
      <c r="N1165" s="33" t="n">
        <f aca="false">DAY(M1165)</f>
        <v>4</v>
      </c>
      <c r="O1165" s="33" t="str">
        <f aca="false">TEXT(M1165,"DDDD")</f>
        <v>miércoles</v>
      </c>
      <c r="P1165" s="6" t="n">
        <f aca="false">MONTH(M1165)</f>
        <v>2</v>
      </c>
      <c r="Q1165" s="26" t="str">
        <f aca="false">TEXT(M1165,"MMMM")</f>
        <v>febrero</v>
      </c>
    </row>
    <row r="1166" customFormat="false" ht="14.25" hidden="false" customHeight="false" outlineLevel="0" collapsed="false">
      <c r="A1166" s="1" t="n">
        <v>12</v>
      </c>
      <c r="B1166" s="1" t="s">
        <v>1870</v>
      </c>
      <c r="C1166" s="1" t="s">
        <v>38</v>
      </c>
      <c r="D1166" s="1" t="s">
        <v>1637</v>
      </c>
      <c r="E1166" s="2" t="n">
        <v>453816404</v>
      </c>
      <c r="F1166" s="21" t="s">
        <v>1637</v>
      </c>
      <c r="G1166" s="1" t="n">
        <v>453817107</v>
      </c>
      <c r="H1166" s="3" t="n">
        <f aca="false">SUM(I1166+J1166+K1166)</f>
        <v>1800</v>
      </c>
      <c r="I1166" s="1" t="n">
        <v>1800</v>
      </c>
      <c r="J1166" s="1" t="n">
        <v>0</v>
      </c>
      <c r="K1166" s="1" t="n">
        <v>0</v>
      </c>
      <c r="L1166" s="4" t="n">
        <v>2.187</v>
      </c>
      <c r="M1166" s="48" t="n">
        <v>46057</v>
      </c>
      <c r="N1166" s="33" t="n">
        <f aca="false">DAY(M1166)</f>
        <v>4</v>
      </c>
      <c r="O1166" s="33" t="str">
        <f aca="false">TEXT(M1166,"DDDD")</f>
        <v>miércoles</v>
      </c>
      <c r="P1166" s="6" t="n">
        <f aca="false">MONTH(M1166)</f>
        <v>2</v>
      </c>
      <c r="Q1166" s="26" t="str">
        <f aca="false">TEXT(M1166,"MMMM")</f>
        <v>febrero</v>
      </c>
    </row>
    <row r="1167" customFormat="false" ht="14.25" hidden="false" customHeight="false" outlineLevel="0" collapsed="false">
      <c r="A1167" s="1" t="n">
        <v>11</v>
      </c>
      <c r="B1167" s="1" t="s">
        <v>1398</v>
      </c>
      <c r="C1167" s="1" t="s">
        <v>20</v>
      </c>
      <c r="D1167" s="1" t="s">
        <v>82</v>
      </c>
      <c r="E1167" s="2" t="n">
        <v>453804198</v>
      </c>
      <c r="F1167" s="21" t="s">
        <v>82</v>
      </c>
      <c r="G1167" s="1" t="n">
        <v>453805338</v>
      </c>
      <c r="H1167" s="3" t="n">
        <f aca="false">SUM(I1167+J1167+K1167)</f>
        <v>5220</v>
      </c>
      <c r="I1167" s="1" t="n">
        <v>1800</v>
      </c>
      <c r="J1167" s="1" t="n">
        <v>0</v>
      </c>
      <c r="K1167" s="1" t="n">
        <v>3420</v>
      </c>
      <c r="L1167" s="4" t="n">
        <v>2.169</v>
      </c>
      <c r="M1167" s="48" t="n">
        <v>46057</v>
      </c>
      <c r="N1167" s="33" t="n">
        <f aca="false">DAY(M1167)</f>
        <v>4</v>
      </c>
      <c r="O1167" s="33" t="str">
        <f aca="false">TEXT(M1167,"DDDD")</f>
        <v>miércoles</v>
      </c>
      <c r="P1167" s="6" t="n">
        <f aca="false">MONTH(M1167)</f>
        <v>2</v>
      </c>
      <c r="Q1167" s="26" t="str">
        <f aca="false">TEXT(M1167,"MMMM")</f>
        <v>febrero</v>
      </c>
    </row>
    <row r="1168" customFormat="false" ht="14.25" hidden="false" customHeight="false" outlineLevel="0" collapsed="false">
      <c r="A1168" s="1" t="n">
        <v>11</v>
      </c>
      <c r="B1168" s="1" t="s">
        <v>1871</v>
      </c>
      <c r="C1168" s="1" t="s">
        <v>20</v>
      </c>
      <c r="D1168" s="1" t="s">
        <v>887</v>
      </c>
      <c r="E1168" s="2" t="n">
        <v>453797704</v>
      </c>
      <c r="H1168" s="3" t="n">
        <f aca="false">SUM(I1168+J1168+K1168)</f>
        <v>3060</v>
      </c>
      <c r="I1168" s="1" t="n">
        <v>1200</v>
      </c>
      <c r="J1168" s="1" t="n">
        <v>0</v>
      </c>
      <c r="K1168" s="1" t="n">
        <v>1860</v>
      </c>
      <c r="L1168" s="4" t="n">
        <v>1.083</v>
      </c>
      <c r="M1168" s="48" t="n">
        <v>46057</v>
      </c>
      <c r="N1168" s="33" t="n">
        <f aca="false">DAY(M1168)</f>
        <v>4</v>
      </c>
      <c r="O1168" s="33" t="str">
        <f aca="false">TEXT(M1168,"DDDD")</f>
        <v>miércoles</v>
      </c>
      <c r="P1168" s="6" t="n">
        <f aca="false">MONTH(M1168)</f>
        <v>2</v>
      </c>
      <c r="Q1168" s="26" t="str">
        <f aca="false">TEXT(M1168,"MMMM")</f>
        <v>febrero</v>
      </c>
    </row>
    <row r="1169" customFormat="false" ht="14.25" hidden="false" customHeight="false" outlineLevel="0" collapsed="false">
      <c r="A1169" s="1" t="n">
        <v>11</v>
      </c>
      <c r="B1169" s="1" t="s">
        <v>1872</v>
      </c>
      <c r="C1169" s="1" t="s">
        <v>20</v>
      </c>
      <c r="D1169" s="1" t="s">
        <v>1873</v>
      </c>
      <c r="E1169" s="2" t="n">
        <v>453793213</v>
      </c>
      <c r="F1169" s="21" t="s">
        <v>1165</v>
      </c>
      <c r="G1169" s="1" t="n">
        <v>453793355</v>
      </c>
      <c r="H1169" s="3" t="n">
        <f aca="false">SUM(I1169+J1169+K1169)</f>
        <v>4250</v>
      </c>
      <c r="I1169" s="1" t="n">
        <v>1800</v>
      </c>
      <c r="J1169" s="1" t="n">
        <v>0</v>
      </c>
      <c r="K1169" s="1" t="n">
        <v>2450</v>
      </c>
      <c r="L1169" s="4" t="n">
        <v>1.146</v>
      </c>
      <c r="M1169" s="48" t="n">
        <v>46057</v>
      </c>
      <c r="N1169" s="33" t="n">
        <f aca="false">DAY(M1169)</f>
        <v>4</v>
      </c>
      <c r="O1169" s="33" t="str">
        <f aca="false">TEXT(M1169,"DDDD")</f>
        <v>miércoles</v>
      </c>
      <c r="P1169" s="6" t="n">
        <f aca="false">MONTH(M1169)</f>
        <v>2</v>
      </c>
      <c r="Q1169" s="26" t="str">
        <f aca="false">TEXT(M1169,"MMMM")</f>
        <v>febrero</v>
      </c>
    </row>
    <row r="1170" customFormat="false" ht="14.25" hidden="false" customHeight="false" outlineLevel="0" collapsed="false">
      <c r="A1170" s="1" t="n">
        <v>11</v>
      </c>
      <c r="B1170" s="1" t="s">
        <v>1874</v>
      </c>
      <c r="C1170" s="1" t="s">
        <v>38</v>
      </c>
      <c r="D1170" s="1" t="s">
        <v>65</v>
      </c>
      <c r="E1170" s="2" t="n">
        <v>453789477</v>
      </c>
      <c r="H1170" s="3" t="n">
        <f aca="false">SUM(I1170+J1170+K1170)</f>
        <v>3550</v>
      </c>
      <c r="I1170" s="1" t="n">
        <v>3250</v>
      </c>
      <c r="J1170" s="1" t="n">
        <v>0</v>
      </c>
      <c r="K1170" s="1" t="n">
        <v>300</v>
      </c>
      <c r="L1170" s="4" t="n">
        <v>0.615</v>
      </c>
      <c r="M1170" s="48" t="n">
        <v>46057</v>
      </c>
      <c r="N1170" s="33" t="n">
        <f aca="false">DAY(M1170)</f>
        <v>4</v>
      </c>
      <c r="O1170" s="33" t="str">
        <f aca="false">TEXT(M1170,"DDDD")</f>
        <v>miércoles</v>
      </c>
      <c r="P1170" s="6" t="n">
        <f aca="false">MONTH(M1170)</f>
        <v>2</v>
      </c>
      <c r="Q1170" s="26" t="str">
        <f aca="false">TEXT(M1170,"MMMM")</f>
        <v>febrero</v>
      </c>
    </row>
    <row r="1171" customFormat="false" ht="14.25" hidden="false" customHeight="false" outlineLevel="0" collapsed="false">
      <c r="A1171" s="1" t="n">
        <v>12</v>
      </c>
      <c r="B1171" s="1" t="s">
        <v>1769</v>
      </c>
      <c r="C1171" s="1" t="s">
        <v>38</v>
      </c>
      <c r="D1171" s="1" t="s">
        <v>189</v>
      </c>
      <c r="E1171" s="2" t="n">
        <v>453931568</v>
      </c>
      <c r="H1171" s="3" t="n">
        <f aca="false">SUM(I1171+J1171+K1171)</f>
        <v>1520</v>
      </c>
      <c r="I1171" s="1" t="n">
        <v>1200</v>
      </c>
      <c r="J1171" s="1" t="n">
        <v>0</v>
      </c>
      <c r="K1171" s="1" t="n">
        <v>320</v>
      </c>
      <c r="L1171" s="4" t="n">
        <v>1.952</v>
      </c>
      <c r="M1171" s="48" t="n">
        <v>46058</v>
      </c>
      <c r="N1171" s="33" t="n">
        <f aca="false">DAY(M1171)</f>
        <v>5</v>
      </c>
      <c r="O1171" s="33" t="str">
        <f aca="false">TEXT(M1171,"DDDD")</f>
        <v>jueves</v>
      </c>
      <c r="P1171" s="6" t="n">
        <f aca="false">MONTH(M1171)</f>
        <v>2</v>
      </c>
      <c r="Q1171" s="26" t="str">
        <f aca="false">TEXT(M1171,"MMMM")</f>
        <v>febrero</v>
      </c>
    </row>
    <row r="1172" customFormat="false" ht="14.25" hidden="false" customHeight="false" outlineLevel="0" collapsed="false">
      <c r="A1172" s="1" t="n">
        <v>12</v>
      </c>
      <c r="B1172" s="1" t="s">
        <v>1875</v>
      </c>
      <c r="C1172" s="1" t="s">
        <v>38</v>
      </c>
      <c r="D1172" s="1" t="s">
        <v>1838</v>
      </c>
      <c r="E1172" s="2" t="n">
        <v>453926558</v>
      </c>
      <c r="H1172" s="3" t="n">
        <f aca="false">SUM(I1172+J1172+K1172)</f>
        <v>1200</v>
      </c>
      <c r="I1172" s="1" t="n">
        <v>1200</v>
      </c>
      <c r="J1172" s="1" t="n">
        <v>0</v>
      </c>
      <c r="K1172" s="1" t="n">
        <v>0</v>
      </c>
      <c r="L1172" s="4" t="n">
        <v>1.001</v>
      </c>
      <c r="M1172" s="48" t="n">
        <v>46058</v>
      </c>
      <c r="N1172" s="33" t="n">
        <f aca="false">DAY(M1172)</f>
        <v>5</v>
      </c>
      <c r="O1172" s="33" t="str">
        <f aca="false">TEXT(M1172,"DDDD")</f>
        <v>jueves</v>
      </c>
      <c r="P1172" s="6" t="n">
        <f aca="false">MONTH(M1172)</f>
        <v>2</v>
      </c>
      <c r="Q1172" s="26" t="str">
        <f aca="false">TEXT(M1172,"MMMM")</f>
        <v>febrero</v>
      </c>
    </row>
    <row r="1173" customFormat="false" ht="14.25" hidden="false" customHeight="false" outlineLevel="0" collapsed="false">
      <c r="A1173" s="1" t="n">
        <v>12</v>
      </c>
      <c r="B1173" s="1" t="s">
        <v>1876</v>
      </c>
      <c r="C1173" s="1" t="s">
        <v>20</v>
      </c>
      <c r="D1173" s="1" t="s">
        <v>1119</v>
      </c>
      <c r="E1173" s="2" t="n">
        <v>453918761</v>
      </c>
      <c r="H1173" s="3" t="n">
        <f aca="false">SUM(I1173+J1173+K1173)</f>
        <v>1670</v>
      </c>
      <c r="I1173" s="1" t="n">
        <v>1450</v>
      </c>
      <c r="J1173" s="1" t="n">
        <v>100</v>
      </c>
      <c r="K1173" s="1" t="n">
        <v>120</v>
      </c>
      <c r="L1173" s="4" t="n">
        <v>1.449</v>
      </c>
      <c r="M1173" s="48" t="n">
        <v>46058</v>
      </c>
      <c r="N1173" s="33" t="n">
        <f aca="false">DAY(M1173)</f>
        <v>5</v>
      </c>
      <c r="O1173" s="33" t="str">
        <f aca="false">TEXT(M1173,"DDDD")</f>
        <v>jueves</v>
      </c>
      <c r="P1173" s="6" t="n">
        <f aca="false">MONTH(M1173)</f>
        <v>2</v>
      </c>
      <c r="Q1173" s="26" t="str">
        <f aca="false">TEXT(M1173,"MMMM")</f>
        <v>febrero</v>
      </c>
    </row>
    <row r="1174" customFormat="false" ht="14.25" hidden="false" customHeight="false" outlineLevel="0" collapsed="false">
      <c r="A1174" s="1" t="n">
        <v>11</v>
      </c>
      <c r="B1174" s="1" t="s">
        <v>1877</v>
      </c>
      <c r="C1174" s="1" t="s">
        <v>20</v>
      </c>
      <c r="D1174" s="1" t="s">
        <v>1878</v>
      </c>
      <c r="E1174" s="2" t="n">
        <v>453909241</v>
      </c>
      <c r="F1174" s="21" t="s">
        <v>1165</v>
      </c>
      <c r="G1174" s="1" t="n">
        <v>453906481</v>
      </c>
      <c r="H1174" s="3" t="n">
        <f aca="false">SUM(I1174+J1174+K1174)</f>
        <v>3100</v>
      </c>
      <c r="I1174" s="1" t="n">
        <v>1800</v>
      </c>
      <c r="J1174" s="1" t="n">
        <v>200</v>
      </c>
      <c r="K1174" s="1" t="n">
        <v>1100</v>
      </c>
      <c r="L1174" s="4" t="n">
        <v>1.323</v>
      </c>
      <c r="M1174" s="48" t="n">
        <v>46058</v>
      </c>
      <c r="N1174" s="33" t="n">
        <f aca="false">DAY(M1174)</f>
        <v>5</v>
      </c>
      <c r="O1174" s="33" t="str">
        <f aca="false">TEXT(M1174,"DDDD")</f>
        <v>jueves</v>
      </c>
      <c r="P1174" s="6" t="n">
        <f aca="false">MONTH(M1174)</f>
        <v>2</v>
      </c>
      <c r="Q1174" s="26" t="str">
        <f aca="false">TEXT(M1174,"MMMM")</f>
        <v>febrero</v>
      </c>
    </row>
    <row r="1175" customFormat="false" ht="14.25" hidden="false" customHeight="false" outlineLevel="0" collapsed="false">
      <c r="A1175" s="1" t="n">
        <v>11</v>
      </c>
      <c r="B1175" s="1" t="s">
        <v>54</v>
      </c>
      <c r="C1175" s="1" t="s">
        <v>20</v>
      </c>
      <c r="D1175" s="1" t="s">
        <v>1879</v>
      </c>
      <c r="E1175" s="2" t="n">
        <v>453900360</v>
      </c>
      <c r="H1175" s="3" t="n">
        <f aca="false">SUM(I1175+J1175+K1175)</f>
        <v>1880</v>
      </c>
      <c r="I1175" s="1" t="n">
        <v>1200</v>
      </c>
      <c r="J1175" s="1" t="n">
        <v>100</v>
      </c>
      <c r="K1175" s="1" t="n">
        <v>580</v>
      </c>
      <c r="L1175" s="4" t="n">
        <v>2.139</v>
      </c>
      <c r="M1175" s="48" t="n">
        <v>46058</v>
      </c>
      <c r="N1175" s="33" t="n">
        <f aca="false">DAY(M1175)</f>
        <v>5</v>
      </c>
      <c r="O1175" s="33" t="str">
        <f aca="false">TEXT(M1175,"DDDD")</f>
        <v>jueves</v>
      </c>
      <c r="P1175" s="6" t="n">
        <f aca="false">MONTH(M1175)</f>
        <v>2</v>
      </c>
      <c r="Q1175" s="26" t="str">
        <f aca="false">TEXT(M1175,"MMMM")</f>
        <v>febrero</v>
      </c>
    </row>
    <row r="1176" customFormat="false" ht="14.25" hidden="false" customHeight="false" outlineLevel="0" collapsed="false">
      <c r="A1176" s="1" t="n">
        <v>11</v>
      </c>
      <c r="B1176" s="1" t="s">
        <v>1880</v>
      </c>
      <c r="C1176" s="1" t="s">
        <v>20</v>
      </c>
      <c r="D1176" s="1" t="s">
        <v>1865</v>
      </c>
      <c r="E1176" s="2" t="n">
        <v>453893671</v>
      </c>
      <c r="F1176" s="21" t="s">
        <v>478</v>
      </c>
      <c r="G1176" s="1" t="n">
        <v>453894656</v>
      </c>
      <c r="H1176" s="3" t="n">
        <f aca="false">SUM(I1176+J1176+K1176)</f>
        <v>3800</v>
      </c>
      <c r="I1176" s="1" t="n">
        <v>1800</v>
      </c>
      <c r="J1176" s="1" t="n">
        <v>200</v>
      </c>
      <c r="K1176" s="1" t="n">
        <v>1800</v>
      </c>
      <c r="L1176" s="4" t="n">
        <v>2.527</v>
      </c>
      <c r="M1176" s="48" t="n">
        <v>46058</v>
      </c>
      <c r="N1176" s="33" t="n">
        <f aca="false">DAY(M1176)</f>
        <v>5</v>
      </c>
      <c r="O1176" s="33" t="str">
        <f aca="false">TEXT(M1176,"DDDD")</f>
        <v>jueves</v>
      </c>
      <c r="P1176" s="6" t="n">
        <f aca="false">MONTH(M1176)</f>
        <v>2</v>
      </c>
      <c r="Q1176" s="26" t="str">
        <f aca="false">TEXT(M1176,"MMMM")</f>
        <v>febrero</v>
      </c>
    </row>
    <row r="1177" customFormat="false" ht="14.25" hidden="false" customHeight="false" outlineLevel="0" collapsed="false">
      <c r="A1177" s="1" t="n">
        <v>8</v>
      </c>
      <c r="B1177" s="1" t="s">
        <v>1881</v>
      </c>
      <c r="C1177" s="1" t="s">
        <v>20</v>
      </c>
      <c r="D1177" s="1" t="s">
        <v>1882</v>
      </c>
      <c r="E1177" s="2" t="n">
        <v>453870027</v>
      </c>
      <c r="H1177" s="3" t="n">
        <f aca="false">SUM(I1177+J1177+K1177)</f>
        <v>1700</v>
      </c>
      <c r="I1177" s="1" t="n">
        <v>1200</v>
      </c>
      <c r="J1177" s="1" t="n">
        <v>0</v>
      </c>
      <c r="K1177" s="1" t="n">
        <v>500</v>
      </c>
      <c r="L1177" s="4" t="n">
        <v>2.84</v>
      </c>
      <c r="M1177" s="48" t="n">
        <v>46058</v>
      </c>
      <c r="N1177" s="33" t="n">
        <f aca="false">DAY(M1177)</f>
        <v>5</v>
      </c>
      <c r="O1177" s="33" t="str">
        <f aca="false">TEXT(M1177,"DDDD")</f>
        <v>jueves</v>
      </c>
      <c r="P1177" s="6" t="n">
        <f aca="false">MONTH(M1177)</f>
        <v>2</v>
      </c>
      <c r="Q1177" s="26" t="str">
        <f aca="false">TEXT(M1177,"MMMM")</f>
        <v>febrero</v>
      </c>
    </row>
    <row r="1178" customFormat="false" ht="14.25" hidden="false" customHeight="false" outlineLevel="0" collapsed="false">
      <c r="A1178" s="1" t="n">
        <v>8</v>
      </c>
      <c r="B1178" s="1" t="s">
        <v>1883</v>
      </c>
      <c r="C1178" s="1" t="s">
        <v>1884</v>
      </c>
      <c r="D1178" s="1" t="s">
        <v>202</v>
      </c>
      <c r="E1178" s="2" t="n">
        <v>453867289</v>
      </c>
      <c r="H1178" s="3" t="n">
        <f aca="false">SUM(I1178+J1178+K1178)</f>
        <v>1600</v>
      </c>
      <c r="I1178" s="1" t="n">
        <v>1600</v>
      </c>
      <c r="J1178" s="1" t="n">
        <v>0</v>
      </c>
      <c r="K1178" s="1" t="n">
        <v>0</v>
      </c>
      <c r="L1178" s="4" t="n">
        <v>2.379</v>
      </c>
      <c r="M1178" s="48" t="n">
        <v>46058</v>
      </c>
      <c r="N1178" s="33" t="n">
        <f aca="false">DAY(M1178)</f>
        <v>5</v>
      </c>
      <c r="O1178" s="33" t="str">
        <f aca="false">TEXT(M1178,"DDDD")</f>
        <v>jueves</v>
      </c>
      <c r="P1178" s="6" t="n">
        <f aca="false">MONTH(M1178)</f>
        <v>2</v>
      </c>
      <c r="Q1178" s="26" t="str">
        <f aca="false">TEXT(M1178,"MMMM")</f>
        <v>febrero</v>
      </c>
    </row>
    <row r="1179" customFormat="false" ht="14.25" hidden="false" customHeight="false" outlineLevel="0" collapsed="false">
      <c r="A1179" s="1" t="n">
        <v>8</v>
      </c>
      <c r="B1179" s="1" t="s">
        <v>1885</v>
      </c>
      <c r="C1179" s="1" t="s">
        <v>38</v>
      </c>
      <c r="D1179" s="1" t="s">
        <v>1886</v>
      </c>
      <c r="E1179" s="2" t="n">
        <v>453863069</v>
      </c>
      <c r="H1179" s="3" t="n">
        <f aca="false">SUM(I1179+J1179+K1179)</f>
        <v>1450</v>
      </c>
      <c r="I1179" s="1" t="n">
        <v>1450</v>
      </c>
      <c r="J1179" s="1" t="n">
        <v>0</v>
      </c>
      <c r="K1179" s="1" t="n">
        <v>0</v>
      </c>
      <c r="L1179" s="4" t="n">
        <v>2.556</v>
      </c>
      <c r="M1179" s="48" t="n">
        <v>46058</v>
      </c>
      <c r="N1179" s="33" t="n">
        <f aca="false">DAY(M1179)</f>
        <v>5</v>
      </c>
      <c r="O1179" s="33" t="str">
        <f aca="false">TEXT(M1179,"DDDD")</f>
        <v>jueves</v>
      </c>
      <c r="P1179" s="6" t="n">
        <f aca="false">MONTH(M1179)</f>
        <v>2</v>
      </c>
      <c r="Q1179" s="26" t="str">
        <f aca="false">TEXT(M1179,"MMMM")</f>
        <v>febrero</v>
      </c>
    </row>
    <row r="1180" customFormat="false" ht="14.25" hidden="false" customHeight="false" outlineLevel="0" collapsed="false">
      <c r="A1180" s="1" t="n">
        <v>7</v>
      </c>
      <c r="B1180" s="1" t="s">
        <v>1887</v>
      </c>
      <c r="C1180" s="1" t="s">
        <v>20</v>
      </c>
      <c r="D1180" s="1" t="s">
        <v>1165</v>
      </c>
      <c r="E1180" s="2" t="n">
        <v>453858102</v>
      </c>
      <c r="H1180" s="3" t="n">
        <f aca="false">SUM(I1180+J1180+K1180)</f>
        <v>1800</v>
      </c>
      <c r="I1180" s="1" t="n">
        <v>1200</v>
      </c>
      <c r="J1180" s="1" t="n">
        <v>0</v>
      </c>
      <c r="K1180" s="1" t="n">
        <v>600</v>
      </c>
      <c r="L1180" s="4" t="n">
        <v>1.602</v>
      </c>
      <c r="M1180" s="48" t="n">
        <v>46058</v>
      </c>
      <c r="N1180" s="33" t="n">
        <f aca="false">DAY(M1180)</f>
        <v>5</v>
      </c>
      <c r="O1180" s="33" t="str">
        <f aca="false">TEXT(M1180,"DDDD")</f>
        <v>jueves</v>
      </c>
      <c r="P1180" s="6" t="n">
        <f aca="false">MONTH(M1180)</f>
        <v>2</v>
      </c>
      <c r="Q1180" s="26" t="str">
        <f aca="false">TEXT(M1180,"MMMM")</f>
        <v>febrero</v>
      </c>
    </row>
    <row r="1181" customFormat="false" ht="14.25" hidden="false" customHeight="false" outlineLevel="0" collapsed="false">
      <c r="A1181" s="1" t="n">
        <v>7</v>
      </c>
      <c r="B1181" s="1" t="s">
        <v>620</v>
      </c>
      <c r="C1181" s="1" t="s">
        <v>20</v>
      </c>
      <c r="D1181" s="1" t="s">
        <v>1165</v>
      </c>
      <c r="E1181" s="2" t="n">
        <v>453855139</v>
      </c>
      <c r="H1181" s="3" t="n">
        <f aca="false">SUM(I1181+J1181+K1181)</f>
        <v>2700</v>
      </c>
      <c r="I1181" s="1" t="n">
        <v>1200</v>
      </c>
      <c r="J1181" s="1" t="n">
        <v>0</v>
      </c>
      <c r="K1181" s="1" t="n">
        <v>1500</v>
      </c>
      <c r="L1181" s="4" t="n">
        <v>1.783</v>
      </c>
      <c r="M1181" s="48" t="n">
        <v>46058</v>
      </c>
      <c r="N1181" s="33" t="n">
        <f aca="false">DAY(M1181)</f>
        <v>5</v>
      </c>
      <c r="O1181" s="33" t="str">
        <f aca="false">TEXT(M1181,"DDDD")</f>
        <v>jueves</v>
      </c>
      <c r="P1181" s="6" t="n">
        <f aca="false">MONTH(M1181)</f>
        <v>2</v>
      </c>
      <c r="Q1181" s="26" t="str">
        <f aca="false">TEXT(M1181,"MMMM")</f>
        <v>febrero</v>
      </c>
    </row>
    <row r="1182" customFormat="false" ht="14.25" hidden="false" customHeight="false" outlineLevel="0" collapsed="false">
      <c r="A1182" s="1" t="n">
        <v>7</v>
      </c>
      <c r="B1182" s="1" t="s">
        <v>1080</v>
      </c>
      <c r="C1182" s="1" t="s">
        <v>20</v>
      </c>
      <c r="D1182" s="1" t="s">
        <v>1888</v>
      </c>
      <c r="E1182" s="2" t="n">
        <v>453855243</v>
      </c>
      <c r="H1182" s="3" t="n">
        <f aca="false">SUM(I1182+J1182+K1182)</f>
        <v>3640</v>
      </c>
      <c r="I1182" s="1" t="n">
        <v>1200</v>
      </c>
      <c r="J1182" s="1" t="n">
        <v>0</v>
      </c>
      <c r="K1182" s="1" t="n">
        <v>2440</v>
      </c>
      <c r="L1182" s="4" t="n">
        <v>2.252</v>
      </c>
      <c r="M1182" s="48" t="n">
        <v>46058</v>
      </c>
      <c r="N1182" s="33" t="n">
        <f aca="false">DAY(M1182)</f>
        <v>5</v>
      </c>
      <c r="O1182" s="33" t="str">
        <f aca="false">TEXT(M1182,"DDDD")</f>
        <v>jueves</v>
      </c>
      <c r="P1182" s="6" t="n">
        <f aca="false">MONTH(M1182)</f>
        <v>2</v>
      </c>
      <c r="Q1182" s="26" t="str">
        <f aca="false">TEXT(M1182,"MMMM")</f>
        <v>febrero</v>
      </c>
    </row>
    <row r="1183" customFormat="false" ht="14.25" hidden="false" customHeight="false" outlineLevel="0" collapsed="false">
      <c r="A1183" s="1" t="n">
        <v>7</v>
      </c>
      <c r="B1183" s="1" t="s">
        <v>1889</v>
      </c>
      <c r="C1183" s="1" t="s">
        <v>20</v>
      </c>
      <c r="D1183" s="1" t="s">
        <v>1890</v>
      </c>
      <c r="E1183" s="2" t="n">
        <v>453850164</v>
      </c>
      <c r="F1183" s="21" t="s">
        <v>1891</v>
      </c>
      <c r="G1183" s="1" t="n">
        <v>453850954</v>
      </c>
      <c r="H1183" s="3" t="n">
        <f aca="false">SUM(I1183+J1183+K1183)</f>
        <v>5594</v>
      </c>
      <c r="I1183" s="1" t="n">
        <v>2354</v>
      </c>
      <c r="J1183" s="1" t="n">
        <v>0</v>
      </c>
      <c r="K1183" s="1" t="n">
        <v>3240</v>
      </c>
      <c r="L1183" s="4" t="n">
        <v>2.064</v>
      </c>
      <c r="M1183" s="48" t="n">
        <v>46058</v>
      </c>
      <c r="N1183" s="33" t="n">
        <f aca="false">DAY(M1183)</f>
        <v>5</v>
      </c>
      <c r="O1183" s="33" t="str">
        <f aca="false">TEXT(M1183,"DDDD")</f>
        <v>jueves</v>
      </c>
      <c r="P1183" s="6" t="n">
        <f aca="false">MONTH(M1183)</f>
        <v>2</v>
      </c>
      <c r="Q1183" s="26" t="str">
        <f aca="false">TEXT(M1183,"MMMM")</f>
        <v>febrero</v>
      </c>
    </row>
    <row r="1184" customFormat="false" ht="14.25" hidden="false" customHeight="false" outlineLevel="0" collapsed="false">
      <c r="A1184" s="1" t="n">
        <v>12</v>
      </c>
      <c r="B1184" s="1" t="s">
        <v>1892</v>
      </c>
      <c r="C1184" s="1" t="s">
        <v>20</v>
      </c>
      <c r="D1184" s="1" t="s">
        <v>175</v>
      </c>
      <c r="E1184" s="2" t="n">
        <v>454050246</v>
      </c>
      <c r="H1184" s="3" t="n">
        <f aca="false">SUM(I1184+J1184+K1184)</f>
        <v>2050</v>
      </c>
      <c r="I1184" s="1" t="n">
        <v>1650</v>
      </c>
      <c r="J1184" s="1" t="n">
        <v>100</v>
      </c>
      <c r="K1184" s="1" t="n">
        <v>300</v>
      </c>
      <c r="L1184" s="4" t="n">
        <v>0.923</v>
      </c>
      <c r="M1184" s="48" t="n">
        <v>46059</v>
      </c>
      <c r="N1184" s="33" t="n">
        <f aca="false">DAY(M1184)</f>
        <v>6</v>
      </c>
      <c r="O1184" s="33" t="str">
        <f aca="false">TEXT(M1184,"DDDD")</f>
        <v>viernes</v>
      </c>
      <c r="P1184" s="6" t="n">
        <f aca="false">MONTH(M1184)</f>
        <v>2</v>
      </c>
      <c r="Q1184" s="26" t="str">
        <f aca="false">TEXT(M1184,"MMMM")</f>
        <v>febrero</v>
      </c>
    </row>
    <row r="1185" customFormat="false" ht="14.25" hidden="false" customHeight="false" outlineLevel="0" collapsed="false">
      <c r="A1185" s="1" t="n">
        <v>12</v>
      </c>
      <c r="B1185" s="1" t="s">
        <v>1893</v>
      </c>
      <c r="C1185" s="1" t="s">
        <v>38</v>
      </c>
      <c r="D1185" s="1" t="s">
        <v>1637</v>
      </c>
      <c r="E1185" s="2" t="n">
        <v>454038834</v>
      </c>
      <c r="F1185" s="21" t="s">
        <v>1637</v>
      </c>
      <c r="G1185" s="1" t="n">
        <v>454040817</v>
      </c>
      <c r="H1185" s="3" t="n">
        <f aca="false">SUM(I1185+J1185+K1185)</f>
        <v>2300</v>
      </c>
      <c r="I1185" s="1" t="n">
        <v>2100</v>
      </c>
      <c r="J1185" s="1" t="n">
        <v>200</v>
      </c>
      <c r="K1185" s="1" t="n">
        <v>0</v>
      </c>
      <c r="L1185" s="4" t="n">
        <v>2.058</v>
      </c>
      <c r="M1185" s="48" t="n">
        <v>46059</v>
      </c>
      <c r="N1185" s="33" t="n">
        <f aca="false">DAY(M1185)</f>
        <v>6</v>
      </c>
      <c r="O1185" s="33" t="str">
        <f aca="false">TEXT(M1185,"DDDD")</f>
        <v>viernes</v>
      </c>
      <c r="P1185" s="6" t="n">
        <f aca="false">MONTH(M1185)</f>
        <v>2</v>
      </c>
      <c r="Q1185" s="26" t="str">
        <f aca="false">TEXT(M1185,"MMMM")</f>
        <v>febrero</v>
      </c>
    </row>
    <row r="1186" customFormat="false" ht="14.25" hidden="false" customHeight="false" outlineLevel="0" collapsed="false">
      <c r="A1186" s="1" t="n">
        <v>12</v>
      </c>
      <c r="B1186" s="1" t="s">
        <v>1870</v>
      </c>
      <c r="C1186" s="1" t="s">
        <v>20</v>
      </c>
      <c r="D1186" s="1" t="s">
        <v>600</v>
      </c>
      <c r="E1186" s="2" t="n">
        <v>454033295</v>
      </c>
      <c r="H1186" s="3" t="n">
        <f aca="false">SUM(I1186+J1186+K1186)</f>
        <v>4120</v>
      </c>
      <c r="I1186" s="1" t="n">
        <v>1200</v>
      </c>
      <c r="J1186" s="1" t="n">
        <v>100</v>
      </c>
      <c r="K1186" s="1" t="n">
        <v>2820</v>
      </c>
      <c r="L1186" s="4" t="n">
        <v>0.485</v>
      </c>
      <c r="M1186" s="48" t="n">
        <v>46059</v>
      </c>
      <c r="N1186" s="33" t="n">
        <f aca="false">DAY(M1186)</f>
        <v>6</v>
      </c>
      <c r="O1186" s="33" t="str">
        <f aca="false">TEXT(M1186,"DDDD")</f>
        <v>viernes</v>
      </c>
      <c r="P1186" s="6" t="n">
        <f aca="false">MONTH(M1186)</f>
        <v>2</v>
      </c>
      <c r="Q1186" s="26" t="str">
        <f aca="false">TEXT(M1186,"MMMM")</f>
        <v>febrero</v>
      </c>
    </row>
    <row r="1187" customFormat="false" ht="14.25" hidden="false" customHeight="false" outlineLevel="0" collapsed="false">
      <c r="A1187" s="1" t="n">
        <v>12</v>
      </c>
      <c r="B1187" s="1" t="s">
        <v>1894</v>
      </c>
      <c r="C1187" s="1" t="s">
        <v>20</v>
      </c>
      <c r="D1187" s="1" t="s">
        <v>1895</v>
      </c>
      <c r="E1187" s="2" t="n">
        <v>454023984</v>
      </c>
      <c r="H1187" s="3" t="n">
        <f aca="false">SUM(I1187+J1187+K1187)</f>
        <v>5730</v>
      </c>
      <c r="I1187" s="1" t="n">
        <v>2350</v>
      </c>
      <c r="J1187" s="1" t="n">
        <v>100</v>
      </c>
      <c r="K1187" s="1" t="n">
        <v>3280</v>
      </c>
      <c r="L1187" s="4" t="n">
        <v>2.019</v>
      </c>
      <c r="M1187" s="48" t="n">
        <v>46059</v>
      </c>
      <c r="N1187" s="33" t="n">
        <f aca="false">DAY(M1187)</f>
        <v>6</v>
      </c>
      <c r="O1187" s="33" t="str">
        <f aca="false">TEXT(M1187,"DDDD")</f>
        <v>viernes</v>
      </c>
      <c r="P1187" s="6" t="n">
        <f aca="false">MONTH(M1187)</f>
        <v>2</v>
      </c>
      <c r="Q1187" s="26" t="str">
        <f aca="false">TEXT(M1187,"MMMM")</f>
        <v>febrero</v>
      </c>
    </row>
    <row r="1188" customFormat="false" ht="14.25" hidden="false" customHeight="false" outlineLevel="0" collapsed="false">
      <c r="A1188" s="1" t="n">
        <v>11</v>
      </c>
      <c r="B1188" s="1" t="s">
        <v>1896</v>
      </c>
      <c r="C1188" s="1" t="s">
        <v>20</v>
      </c>
      <c r="D1188" s="1" t="s">
        <v>1221</v>
      </c>
      <c r="E1188" s="2" t="n">
        <v>454015043</v>
      </c>
      <c r="F1188" s="21" t="s">
        <v>266</v>
      </c>
      <c r="G1188" s="1" t="n">
        <v>454019054</v>
      </c>
      <c r="H1188" s="3" t="n">
        <f aca="false">SUM(I1188+J1188+K1188)</f>
        <v>3200</v>
      </c>
      <c r="I1188" s="1" t="n">
        <v>2000</v>
      </c>
      <c r="J1188" s="1" t="n">
        <v>200</v>
      </c>
      <c r="K1188" s="1" t="n">
        <v>1000</v>
      </c>
      <c r="L1188" s="4" t="n">
        <v>1.481</v>
      </c>
      <c r="M1188" s="48" t="n">
        <v>46059</v>
      </c>
      <c r="N1188" s="33" t="n">
        <f aca="false">DAY(M1188)</f>
        <v>6</v>
      </c>
      <c r="O1188" s="33" t="str">
        <f aca="false">TEXT(M1188,"DDDD")</f>
        <v>viernes</v>
      </c>
      <c r="P1188" s="6" t="n">
        <f aca="false">MONTH(M1188)</f>
        <v>2</v>
      </c>
      <c r="Q1188" s="26" t="str">
        <f aca="false">TEXT(M1188,"MMMM")</f>
        <v>febrero</v>
      </c>
    </row>
    <row r="1189" customFormat="false" ht="14.25" hidden="false" customHeight="false" outlineLevel="0" collapsed="false">
      <c r="A1189" s="1" t="n">
        <v>11</v>
      </c>
      <c r="B1189" s="1" t="s">
        <v>1063</v>
      </c>
      <c r="C1189" s="1" t="s">
        <v>38</v>
      </c>
      <c r="D1189" s="1" t="s">
        <v>152</v>
      </c>
      <c r="E1189" s="2" t="n">
        <v>454002929</v>
      </c>
      <c r="F1189" s="21" t="s">
        <v>152</v>
      </c>
      <c r="G1189" s="1" t="n">
        <v>454011437</v>
      </c>
      <c r="H1189" s="3" t="n">
        <f aca="false">SUM(I1189+J1189+K1189)</f>
        <v>2900</v>
      </c>
      <c r="I1189" s="1" t="n">
        <v>1800</v>
      </c>
      <c r="J1189" s="1" t="n">
        <v>200</v>
      </c>
      <c r="K1189" s="1" t="n">
        <v>900</v>
      </c>
      <c r="L1189" s="4" t="n">
        <v>1.619</v>
      </c>
      <c r="M1189" s="48" t="n">
        <v>46059</v>
      </c>
      <c r="N1189" s="33" t="n">
        <f aca="false">DAY(M1189)</f>
        <v>6</v>
      </c>
      <c r="O1189" s="33" t="str">
        <f aca="false">TEXT(M1189,"DDDD")</f>
        <v>viernes</v>
      </c>
      <c r="P1189" s="6" t="n">
        <f aca="false">MONTH(M1189)</f>
        <v>2</v>
      </c>
      <c r="Q1189" s="26" t="str">
        <f aca="false">TEXT(M1189,"MMMM")</f>
        <v>febrero</v>
      </c>
    </row>
    <row r="1190" customFormat="false" ht="14.25" hidden="false" customHeight="false" outlineLevel="0" collapsed="false">
      <c r="A1190" s="1" t="n">
        <v>11</v>
      </c>
      <c r="B1190" s="1" t="s">
        <v>1897</v>
      </c>
      <c r="C1190" s="1" t="s">
        <v>20</v>
      </c>
      <c r="D1190" s="1" t="s">
        <v>526</v>
      </c>
      <c r="E1190" s="2" t="n">
        <v>453999362</v>
      </c>
      <c r="H1190" s="3" t="n">
        <f aca="false">SUM(I1190+J1190+K1190)</f>
        <v>4540</v>
      </c>
      <c r="I1190" s="1" t="n">
        <v>2600</v>
      </c>
      <c r="J1190" s="1" t="n">
        <v>100</v>
      </c>
      <c r="K1190" s="1" t="n">
        <v>1840</v>
      </c>
      <c r="L1190" s="4" t="n">
        <v>3.095</v>
      </c>
      <c r="M1190" s="48" t="n">
        <v>46059</v>
      </c>
      <c r="N1190" s="33" t="n">
        <f aca="false">DAY(M1190)</f>
        <v>6</v>
      </c>
      <c r="O1190" s="33" t="str">
        <f aca="false">TEXT(M1190,"DDDD")</f>
        <v>viernes</v>
      </c>
      <c r="P1190" s="6" t="n">
        <f aca="false">MONTH(M1190)</f>
        <v>2</v>
      </c>
      <c r="Q1190" s="26" t="str">
        <f aca="false">TEXT(M1190,"MMMM")</f>
        <v>febrero</v>
      </c>
    </row>
    <row r="1191" customFormat="false" ht="14.25" hidden="false" customHeight="false" outlineLevel="0" collapsed="false">
      <c r="A1191" s="1" t="n">
        <v>10</v>
      </c>
      <c r="B1191" s="1" t="s">
        <v>1898</v>
      </c>
      <c r="C1191" s="1" t="s">
        <v>38</v>
      </c>
      <c r="D1191" s="1" t="s">
        <v>847</v>
      </c>
      <c r="E1191" s="2" t="n">
        <v>453996855</v>
      </c>
      <c r="H1191" s="3" t="n">
        <f aca="false">SUM(I1191+J1191+K1191)</f>
        <v>2950</v>
      </c>
      <c r="I1191" s="1" t="n">
        <v>2950</v>
      </c>
      <c r="J1191" s="1" t="n">
        <v>0</v>
      </c>
      <c r="K1191" s="1" t="n">
        <v>0</v>
      </c>
      <c r="L1191" s="4" t="n">
        <v>1.256</v>
      </c>
      <c r="M1191" s="48" t="n">
        <v>46059</v>
      </c>
      <c r="N1191" s="33" t="n">
        <f aca="false">DAY(M1191)</f>
        <v>6</v>
      </c>
      <c r="O1191" s="33" t="str">
        <f aca="false">TEXT(M1191,"DDDD")</f>
        <v>viernes</v>
      </c>
      <c r="P1191" s="6" t="n">
        <f aca="false">MONTH(M1191)</f>
        <v>2</v>
      </c>
      <c r="Q1191" s="26" t="str">
        <f aca="false">TEXT(M1191,"MMMM")</f>
        <v>febrero</v>
      </c>
    </row>
    <row r="1192" customFormat="false" ht="14.25" hidden="false" customHeight="false" outlineLevel="0" collapsed="false">
      <c r="A1192" s="1" t="n">
        <v>10</v>
      </c>
      <c r="B1192" s="1" t="s">
        <v>1899</v>
      </c>
      <c r="C1192" s="1" t="s">
        <v>38</v>
      </c>
      <c r="D1192" s="1" t="s">
        <v>43</v>
      </c>
      <c r="E1192" s="2" t="n">
        <v>453988966</v>
      </c>
      <c r="H1192" s="3" t="n">
        <f aca="false">SUM(I1192+J1192+K1192)</f>
        <v>5300</v>
      </c>
      <c r="I1192" s="1" t="n">
        <v>5300</v>
      </c>
      <c r="J1192" s="1" t="n">
        <v>0</v>
      </c>
      <c r="K1192" s="1" t="n">
        <v>0</v>
      </c>
      <c r="L1192" s="4" t="n">
        <v>3.387</v>
      </c>
      <c r="M1192" s="48" t="n">
        <v>46059</v>
      </c>
      <c r="N1192" s="33" t="n">
        <f aca="false">DAY(M1192)</f>
        <v>6</v>
      </c>
      <c r="O1192" s="33" t="str">
        <f aca="false">TEXT(M1192,"DDDD")</f>
        <v>viernes</v>
      </c>
      <c r="P1192" s="6" t="n">
        <f aca="false">MONTH(M1192)</f>
        <v>2</v>
      </c>
      <c r="Q1192" s="26" t="str">
        <f aca="false">TEXT(M1192,"MMMM")</f>
        <v>febrero</v>
      </c>
    </row>
    <row r="1193" customFormat="false" ht="14.25" hidden="false" customHeight="false" outlineLevel="0" collapsed="false">
      <c r="A1193" s="1" t="n">
        <v>9</v>
      </c>
      <c r="B1193" s="1" t="s">
        <v>1900</v>
      </c>
      <c r="C1193" s="1" t="s">
        <v>38</v>
      </c>
      <c r="D1193" s="1" t="s">
        <v>1901</v>
      </c>
      <c r="E1193" s="2" t="n">
        <v>453988231</v>
      </c>
      <c r="H1193" s="3" t="n">
        <f aca="false">SUM(I1193+J1193+K1193)</f>
        <v>2080</v>
      </c>
      <c r="I1193" s="1" t="n">
        <v>1200</v>
      </c>
      <c r="J1193" s="1" t="n">
        <v>0</v>
      </c>
      <c r="K1193" s="1" t="n">
        <v>880</v>
      </c>
      <c r="L1193" s="4" t="n">
        <v>0.935</v>
      </c>
      <c r="M1193" s="48" t="n">
        <v>46059</v>
      </c>
      <c r="N1193" s="33" t="n">
        <f aca="false">DAY(M1193)</f>
        <v>6</v>
      </c>
      <c r="O1193" s="33" t="str">
        <f aca="false">TEXT(M1193,"DDDD")</f>
        <v>viernes</v>
      </c>
      <c r="P1193" s="6" t="n">
        <f aca="false">MONTH(M1193)</f>
        <v>2</v>
      </c>
      <c r="Q1193" s="26" t="str">
        <f aca="false">TEXT(M1193,"MMMM")</f>
        <v>febrero</v>
      </c>
    </row>
    <row r="1194" customFormat="false" ht="14.25" hidden="false" customHeight="false" outlineLevel="0" collapsed="false">
      <c r="A1194" s="1" t="n">
        <v>9</v>
      </c>
      <c r="B1194" s="1" t="s">
        <v>962</v>
      </c>
      <c r="C1194" s="1" t="s">
        <v>20</v>
      </c>
      <c r="D1194" s="1" t="s">
        <v>1902</v>
      </c>
      <c r="E1194" s="2" t="n">
        <v>453986115</v>
      </c>
      <c r="H1194" s="3" t="n">
        <f aca="false">SUM(I1194+J1194+K1194)</f>
        <v>1880</v>
      </c>
      <c r="I1194" s="1" t="n">
        <v>1200</v>
      </c>
      <c r="J1194" s="1" t="n">
        <v>0</v>
      </c>
      <c r="K1194" s="1" t="n">
        <v>680</v>
      </c>
      <c r="L1194" s="4" t="n">
        <v>0.418</v>
      </c>
      <c r="M1194" s="48" t="n">
        <v>46059</v>
      </c>
      <c r="N1194" s="33" t="n">
        <f aca="false">DAY(M1194)</f>
        <v>6</v>
      </c>
      <c r="O1194" s="33" t="str">
        <f aca="false">TEXT(M1194,"DDDD")</f>
        <v>viernes</v>
      </c>
      <c r="P1194" s="6" t="n">
        <f aca="false">MONTH(M1194)</f>
        <v>2</v>
      </c>
      <c r="Q1194" s="26" t="str">
        <f aca="false">TEXT(M1194,"MMMM")</f>
        <v>febrero</v>
      </c>
    </row>
    <row r="1195" customFormat="false" ht="14.25" hidden="false" customHeight="false" outlineLevel="0" collapsed="false">
      <c r="A1195" s="1" t="n">
        <v>9</v>
      </c>
      <c r="B1195" s="1" t="s">
        <v>1903</v>
      </c>
      <c r="C1195" s="1" t="s">
        <v>1884</v>
      </c>
      <c r="D1195" s="1" t="s">
        <v>49</v>
      </c>
      <c r="E1195" s="2" t="n">
        <v>453981150</v>
      </c>
      <c r="H1195" s="3" t="n">
        <f aca="false">SUM(I1195+J1195+K1195)</f>
        <v>1700</v>
      </c>
      <c r="I1195" s="1" t="n">
        <v>1200</v>
      </c>
      <c r="J1195" s="1" t="n">
        <v>0</v>
      </c>
      <c r="K1195" s="1" t="n">
        <v>500</v>
      </c>
      <c r="L1195" s="4" t="n">
        <v>2.085</v>
      </c>
      <c r="M1195" s="48" t="n">
        <v>46059</v>
      </c>
      <c r="N1195" s="33" t="n">
        <f aca="false">DAY(M1195)</f>
        <v>6</v>
      </c>
      <c r="O1195" s="33" t="str">
        <f aca="false">TEXT(M1195,"DDDD")</f>
        <v>viernes</v>
      </c>
      <c r="P1195" s="6" t="n">
        <f aca="false">MONTH(M1195)</f>
        <v>2</v>
      </c>
      <c r="Q1195" s="26" t="str">
        <f aca="false">TEXT(M1195,"MMMM")</f>
        <v>febrero</v>
      </c>
    </row>
    <row r="1196" customFormat="false" ht="14.25" hidden="false" customHeight="false" outlineLevel="0" collapsed="false">
      <c r="A1196" s="1" t="n">
        <v>12</v>
      </c>
      <c r="B1196" s="1" t="s">
        <v>1904</v>
      </c>
      <c r="C1196" s="1" t="s">
        <v>20</v>
      </c>
      <c r="D1196" s="1" t="s">
        <v>82</v>
      </c>
      <c r="E1196" s="2" t="n">
        <v>454165086</v>
      </c>
      <c r="F1196" s="21" t="s">
        <v>82</v>
      </c>
      <c r="G1196" s="1" t="n">
        <v>454165619</v>
      </c>
      <c r="H1196" s="3" t="n">
        <f aca="false">SUM(I1196+J1196+K1196)</f>
        <v>3220</v>
      </c>
      <c r="I1196" s="1" t="n">
        <v>1800</v>
      </c>
      <c r="J1196" s="1" t="n">
        <v>0</v>
      </c>
      <c r="K1196" s="1" t="n">
        <v>1420</v>
      </c>
      <c r="L1196" s="4" t="n">
        <v>2.449</v>
      </c>
      <c r="M1196" s="48" t="n">
        <v>46060</v>
      </c>
      <c r="N1196" s="33" t="n">
        <f aca="false">DAY(M1196)</f>
        <v>7</v>
      </c>
      <c r="O1196" s="33" t="str">
        <f aca="false">TEXT(M1196,"DDDD")</f>
        <v>sábado</v>
      </c>
      <c r="P1196" s="6" t="n">
        <f aca="false">MONTH(M1196)</f>
        <v>2</v>
      </c>
      <c r="Q1196" s="26" t="str">
        <f aca="false">TEXT(M1196,"MMMM")</f>
        <v>febrero</v>
      </c>
      <c r="R1196" s="21" t="s">
        <v>82</v>
      </c>
      <c r="S1196" s="1" t="n">
        <v>16215</v>
      </c>
    </row>
    <row r="1197" customFormat="false" ht="14.25" hidden="false" customHeight="false" outlineLevel="0" collapsed="false">
      <c r="A1197" s="1" t="n">
        <v>12</v>
      </c>
      <c r="B1197" s="1" t="s">
        <v>313</v>
      </c>
      <c r="C1197" s="1" t="s">
        <v>38</v>
      </c>
      <c r="D1197" s="1" t="s">
        <v>1438</v>
      </c>
      <c r="E1197" s="2" t="n">
        <v>454155667</v>
      </c>
      <c r="F1197" s="21" t="s">
        <v>1438</v>
      </c>
      <c r="G1197" s="1" t="n">
        <v>454156023</v>
      </c>
      <c r="H1197" s="3" t="n">
        <f aca="false">SUM(I1197+J1197+K1197)</f>
        <v>3152</v>
      </c>
      <c r="I1197" s="1" t="n">
        <v>2151</v>
      </c>
      <c r="J1197" s="1" t="n">
        <v>0</v>
      </c>
      <c r="K1197" s="1" t="n">
        <v>1001</v>
      </c>
      <c r="L1197" s="4" t="n">
        <v>3.028</v>
      </c>
      <c r="M1197" s="48" t="n">
        <v>46060</v>
      </c>
      <c r="N1197" s="33" t="n">
        <f aca="false">DAY(M1197)</f>
        <v>7</v>
      </c>
      <c r="O1197" s="33" t="str">
        <f aca="false">TEXT(M1197,"DDDD")</f>
        <v>sábado</v>
      </c>
      <c r="P1197" s="6" t="n">
        <f aca="false">MONTH(M1197)</f>
        <v>2</v>
      </c>
      <c r="Q1197" s="26" t="str">
        <f aca="false">TEXT(M1197,"MMMM")</f>
        <v>febrero</v>
      </c>
    </row>
    <row r="1198" customFormat="false" ht="14.25" hidden="false" customHeight="false" outlineLevel="0" collapsed="false">
      <c r="A1198" s="1" t="n">
        <v>12</v>
      </c>
      <c r="B1198" s="1" t="s">
        <v>1834</v>
      </c>
      <c r="C1198" s="1" t="s">
        <v>38</v>
      </c>
      <c r="D1198" s="1" t="s">
        <v>1905</v>
      </c>
      <c r="E1198" s="2" t="n">
        <v>454147026</v>
      </c>
      <c r="H1198" s="3" t="n">
        <f aca="false">SUM(I1198+J1198+K1198)</f>
        <v>2900</v>
      </c>
      <c r="I1198" s="1" t="n">
        <v>1600</v>
      </c>
      <c r="J1198" s="1" t="n">
        <v>0</v>
      </c>
      <c r="K1198" s="1" t="n">
        <v>1300</v>
      </c>
      <c r="L1198" s="4" t="n">
        <v>1.579</v>
      </c>
      <c r="M1198" s="48" t="n">
        <v>46060</v>
      </c>
      <c r="N1198" s="33" t="n">
        <f aca="false">DAY(M1198)</f>
        <v>7</v>
      </c>
      <c r="O1198" s="33" t="str">
        <f aca="false">TEXT(M1198,"DDDD")</f>
        <v>sábado</v>
      </c>
      <c r="P1198" s="6" t="n">
        <f aca="false">MONTH(M1198)</f>
        <v>2</v>
      </c>
      <c r="Q1198" s="26" t="str">
        <f aca="false">TEXT(M1198,"MMMM")</f>
        <v>febrero</v>
      </c>
    </row>
    <row r="1199" customFormat="false" ht="14.25" hidden="false" customHeight="false" outlineLevel="0" collapsed="false">
      <c r="A1199" s="1" t="n">
        <v>11</v>
      </c>
      <c r="B1199" s="1" t="s">
        <v>1906</v>
      </c>
      <c r="C1199" s="1" t="s">
        <v>20</v>
      </c>
      <c r="D1199" s="1" t="s">
        <v>926</v>
      </c>
      <c r="E1199" s="2" t="n">
        <v>454142046</v>
      </c>
      <c r="H1199" s="3" t="n">
        <f aca="false">SUM(I1199+J1199+K1199)</f>
        <v>4200</v>
      </c>
      <c r="I1199" s="1" t="n">
        <v>2700</v>
      </c>
      <c r="J1199" s="1" t="n">
        <v>0</v>
      </c>
      <c r="K1199" s="1" t="n">
        <v>1500</v>
      </c>
      <c r="L1199" s="4" t="n">
        <v>2.848</v>
      </c>
      <c r="M1199" s="48" t="n">
        <v>46060</v>
      </c>
      <c r="N1199" s="33" t="n">
        <f aca="false">DAY(M1199)</f>
        <v>7</v>
      </c>
      <c r="O1199" s="33" t="str">
        <f aca="false">TEXT(M1199,"DDDD")</f>
        <v>sábado</v>
      </c>
      <c r="P1199" s="6" t="n">
        <f aca="false">MONTH(M1199)</f>
        <v>2</v>
      </c>
      <c r="Q1199" s="26" t="str">
        <f aca="false">TEXT(M1199,"MMMM")</f>
        <v>febrero</v>
      </c>
    </row>
    <row r="1200" customFormat="false" ht="14.25" hidden="false" customHeight="false" outlineLevel="0" collapsed="false">
      <c r="A1200" s="1" t="n">
        <v>11</v>
      </c>
      <c r="B1200" s="1" t="s">
        <v>1907</v>
      </c>
      <c r="C1200" s="1" t="s">
        <v>20</v>
      </c>
      <c r="D1200" s="1" t="s">
        <v>82</v>
      </c>
      <c r="E1200" s="2" t="n">
        <v>454131775</v>
      </c>
      <c r="F1200" s="21" t="s">
        <v>82</v>
      </c>
      <c r="G1200" s="1" t="n">
        <v>454134317</v>
      </c>
      <c r="H1200" s="3" t="n">
        <f aca="false">SUM(I1200+J1200+K1200)</f>
        <v>5020</v>
      </c>
      <c r="I1200" s="1" t="n">
        <v>1800</v>
      </c>
      <c r="J1200" s="1" t="n">
        <v>0</v>
      </c>
      <c r="K1200" s="1" t="n">
        <v>3220</v>
      </c>
      <c r="L1200" s="4" t="n">
        <v>1.455</v>
      </c>
      <c r="M1200" s="48" t="n">
        <v>46060</v>
      </c>
      <c r="N1200" s="33" t="n">
        <f aca="false">DAY(M1200)</f>
        <v>7</v>
      </c>
      <c r="O1200" s="33" t="str">
        <f aca="false">TEXT(M1200,"DDDD")</f>
        <v>sábado</v>
      </c>
      <c r="P1200" s="6" t="n">
        <f aca="false">MONTH(M1200)</f>
        <v>2</v>
      </c>
      <c r="Q1200" s="26" t="str">
        <f aca="false">TEXT(M1200,"MMMM")</f>
        <v>febrero</v>
      </c>
      <c r="R1200" s="21" t="s">
        <v>82</v>
      </c>
      <c r="S1200" s="1" t="n">
        <v>42660</v>
      </c>
    </row>
    <row r="1201" customFormat="false" ht="14.25" hidden="false" customHeight="false" outlineLevel="0" collapsed="false">
      <c r="A1201" s="1" t="n">
        <v>11</v>
      </c>
      <c r="B1201" s="1" t="s">
        <v>1908</v>
      </c>
      <c r="C1201" s="1" t="s">
        <v>38</v>
      </c>
      <c r="D1201" s="1" t="s">
        <v>152</v>
      </c>
      <c r="E1201" s="2" t="n">
        <v>454126860</v>
      </c>
      <c r="H1201" s="3" t="n">
        <f aca="false">SUM(I1201+J1201+K1201)</f>
        <v>1200</v>
      </c>
      <c r="I1201" s="1" t="n">
        <v>1200</v>
      </c>
      <c r="J1201" s="1" t="n">
        <v>0</v>
      </c>
      <c r="K1201" s="1" t="n">
        <v>0</v>
      </c>
      <c r="L1201" s="4" t="n">
        <v>0.636</v>
      </c>
      <c r="M1201" s="48" t="n">
        <v>46060</v>
      </c>
      <c r="N1201" s="33" t="n">
        <f aca="false">DAY(M1201)</f>
        <v>7</v>
      </c>
      <c r="O1201" s="33" t="str">
        <f aca="false">TEXT(M1201,"DDDD")</f>
        <v>sábado</v>
      </c>
      <c r="P1201" s="6" t="n">
        <f aca="false">MONTH(M1201)</f>
        <v>2</v>
      </c>
      <c r="Q1201" s="26" t="str">
        <f aca="false">TEXT(M1201,"MMMM")</f>
        <v>febrero</v>
      </c>
    </row>
    <row r="1202" customFormat="false" ht="14.25" hidden="false" customHeight="false" outlineLevel="0" collapsed="false">
      <c r="A1202" s="1" t="n">
        <v>10</v>
      </c>
      <c r="B1202" s="1" t="s">
        <v>987</v>
      </c>
      <c r="C1202" s="1" t="s">
        <v>20</v>
      </c>
      <c r="D1202" s="1" t="s">
        <v>721</v>
      </c>
      <c r="E1202" s="2" t="n">
        <v>454119551</v>
      </c>
      <c r="H1202" s="3" t="n">
        <f aca="false">SUM(I1202+J1202+K1202)</f>
        <v>6360</v>
      </c>
      <c r="I1202" s="1" t="n">
        <v>2900</v>
      </c>
      <c r="J1202" s="1" t="n">
        <v>0</v>
      </c>
      <c r="K1202" s="1" t="n">
        <v>3460</v>
      </c>
      <c r="L1202" s="4" t="n">
        <v>2.722</v>
      </c>
      <c r="M1202" s="48" t="n">
        <v>46060</v>
      </c>
      <c r="N1202" s="33" t="n">
        <f aca="false">DAY(M1202)</f>
        <v>7</v>
      </c>
      <c r="O1202" s="33" t="str">
        <f aca="false">TEXT(M1202,"DDDD")</f>
        <v>sábado</v>
      </c>
      <c r="P1202" s="6" t="n">
        <f aca="false">MONTH(M1202)</f>
        <v>2</v>
      </c>
      <c r="Q1202" s="26" t="str">
        <f aca="false">TEXT(M1202,"MMMM")</f>
        <v>febrero</v>
      </c>
    </row>
    <row r="1203" customFormat="false" ht="14.25" hidden="false" customHeight="false" outlineLevel="0" collapsed="false">
      <c r="A1203" s="1" t="n">
        <v>10</v>
      </c>
      <c r="B1203" s="1" t="s">
        <v>1909</v>
      </c>
      <c r="C1203" s="1" t="s">
        <v>20</v>
      </c>
      <c r="D1203" s="1" t="s">
        <v>1910</v>
      </c>
      <c r="E1203" s="2" t="n">
        <v>454117503</v>
      </c>
      <c r="H1203" s="3" t="n">
        <f aca="false">SUM(I1203+J1203+K1203)</f>
        <v>2650</v>
      </c>
      <c r="I1203" s="1" t="n">
        <v>2650</v>
      </c>
      <c r="J1203" s="1" t="n">
        <v>0</v>
      </c>
      <c r="K1203" s="1" t="n">
        <v>0</v>
      </c>
      <c r="L1203" s="4" t="n">
        <v>1.053</v>
      </c>
      <c r="M1203" s="48" t="n">
        <v>46060</v>
      </c>
      <c r="N1203" s="33" t="n">
        <f aca="false">DAY(M1203)</f>
        <v>7</v>
      </c>
      <c r="O1203" s="33" t="str">
        <f aca="false">TEXT(M1203,"DDDD")</f>
        <v>sábado</v>
      </c>
      <c r="P1203" s="6" t="n">
        <f aca="false">MONTH(M1203)</f>
        <v>2</v>
      </c>
      <c r="Q1203" s="26" t="str">
        <f aca="false">TEXT(M1203,"MMMM")</f>
        <v>febrero</v>
      </c>
    </row>
    <row r="1204" customFormat="false" ht="14.25" hidden="false" customHeight="false" outlineLevel="0" collapsed="false">
      <c r="A1204" s="1" t="n">
        <v>10</v>
      </c>
      <c r="B1204" s="1" t="s">
        <v>1911</v>
      </c>
      <c r="C1204" s="1" t="s">
        <v>38</v>
      </c>
      <c r="D1204" s="1" t="s">
        <v>737</v>
      </c>
      <c r="E1204" s="2" t="n">
        <v>454108559</v>
      </c>
      <c r="H1204" s="3" t="n">
        <f aca="false">SUM(I1204+J1204+K1204)</f>
        <v>5300</v>
      </c>
      <c r="I1204" s="1" t="n">
        <v>5300</v>
      </c>
      <c r="J1204" s="1" t="n">
        <v>0</v>
      </c>
      <c r="K1204" s="1" t="n">
        <v>0</v>
      </c>
      <c r="L1204" s="4" t="n">
        <v>2.748</v>
      </c>
      <c r="M1204" s="48" t="n">
        <v>46060</v>
      </c>
      <c r="N1204" s="33" t="n">
        <f aca="false">DAY(M1204)</f>
        <v>7</v>
      </c>
      <c r="O1204" s="33" t="str">
        <f aca="false">TEXT(M1204,"DDDD")</f>
        <v>sábado</v>
      </c>
      <c r="P1204" s="6" t="n">
        <f aca="false">MONTH(M1204)</f>
        <v>2</v>
      </c>
      <c r="Q1204" s="26" t="str">
        <f aca="false">TEXT(M1204,"MMMM")</f>
        <v>febrero</v>
      </c>
    </row>
    <row r="1205" customFormat="false" ht="14.25" hidden="false" customHeight="false" outlineLevel="0" collapsed="false">
      <c r="A1205" s="1" t="n">
        <v>10</v>
      </c>
      <c r="B1205" s="1" t="s">
        <v>1912</v>
      </c>
      <c r="C1205" s="1" t="s">
        <v>20</v>
      </c>
      <c r="D1205" s="1" t="s">
        <v>1913</v>
      </c>
      <c r="E1205" s="2" t="n">
        <v>454111270</v>
      </c>
      <c r="H1205" s="3" t="n">
        <f aca="false">SUM(I1205+J1205+K1205)</f>
        <v>1250</v>
      </c>
      <c r="I1205" s="1" t="n">
        <v>1250</v>
      </c>
      <c r="J1205" s="1" t="n">
        <v>0</v>
      </c>
      <c r="K1205" s="1" t="n">
        <v>0</v>
      </c>
      <c r="L1205" s="4" t="n">
        <v>1.156</v>
      </c>
      <c r="M1205" s="48" t="n">
        <v>46060</v>
      </c>
      <c r="N1205" s="33" t="n">
        <f aca="false">DAY(M1205)</f>
        <v>7</v>
      </c>
      <c r="O1205" s="33" t="str">
        <f aca="false">TEXT(M1205,"DDDD")</f>
        <v>sábado</v>
      </c>
      <c r="P1205" s="6" t="n">
        <f aca="false">MONTH(M1205)</f>
        <v>2</v>
      </c>
      <c r="Q1205" s="26" t="str">
        <f aca="false">TEXT(M1205,"MMMM")</f>
        <v>febrero</v>
      </c>
    </row>
    <row r="1206" customFormat="false" ht="14.25" hidden="false" customHeight="false" outlineLevel="0" collapsed="false">
      <c r="A1206" s="1" t="n">
        <v>9</v>
      </c>
      <c r="B1206" s="1" t="s">
        <v>1914</v>
      </c>
      <c r="C1206" s="1" t="s">
        <v>20</v>
      </c>
      <c r="D1206" s="1" t="s">
        <v>1915</v>
      </c>
      <c r="E1206" s="2" t="n">
        <v>454110012</v>
      </c>
      <c r="H1206" s="3" t="n">
        <f aca="false">SUM(I1206+J1206+K1206)</f>
        <v>2110</v>
      </c>
      <c r="I1206" s="1" t="n">
        <v>1350</v>
      </c>
      <c r="J1206" s="1" t="n">
        <v>0</v>
      </c>
      <c r="K1206" s="1" t="n">
        <v>760</v>
      </c>
      <c r="L1206" s="4" t="n">
        <v>1.996</v>
      </c>
      <c r="M1206" s="48" t="n">
        <v>46060</v>
      </c>
      <c r="N1206" s="33" t="n">
        <f aca="false">DAY(M1206)</f>
        <v>7</v>
      </c>
      <c r="O1206" s="33" t="str">
        <f aca="false">TEXT(M1206,"DDDD")</f>
        <v>sábado</v>
      </c>
      <c r="P1206" s="6" t="n">
        <f aca="false">MONTH(M1206)</f>
        <v>2</v>
      </c>
      <c r="Q1206" s="26" t="str">
        <f aca="false">TEXT(M1206,"MMMM")</f>
        <v>febrero</v>
      </c>
    </row>
    <row r="1207" customFormat="false" ht="14.25" hidden="false" customHeight="false" outlineLevel="0" collapsed="false">
      <c r="A1207" s="1" t="n">
        <v>9</v>
      </c>
      <c r="B1207" s="1" t="s">
        <v>1916</v>
      </c>
      <c r="C1207" s="1" t="s">
        <v>20</v>
      </c>
      <c r="D1207" s="1" t="s">
        <v>1673</v>
      </c>
      <c r="E1207" s="2" t="n">
        <v>454107598</v>
      </c>
      <c r="H1207" s="3" t="n">
        <f aca="false">SUM(I1207+J1207+K1207)</f>
        <v>2580</v>
      </c>
      <c r="I1207" s="1" t="n">
        <v>1400</v>
      </c>
      <c r="J1207" s="1" t="n">
        <v>0</v>
      </c>
      <c r="K1207" s="1" t="n">
        <v>1180</v>
      </c>
      <c r="M1207" s="48" t="n">
        <v>46060</v>
      </c>
      <c r="N1207" s="33" t="n">
        <f aca="false">DAY(M1207)</f>
        <v>7</v>
      </c>
      <c r="O1207" s="33" t="str">
        <f aca="false">TEXT(M1207,"DDDD")</f>
        <v>sábado</v>
      </c>
      <c r="P1207" s="6" t="n">
        <f aca="false">MONTH(M1207)</f>
        <v>2</v>
      </c>
      <c r="Q1207" s="26" t="str">
        <f aca="false">TEXT(M1207,"MMMM")</f>
        <v>febrero</v>
      </c>
    </row>
    <row r="1208" customFormat="false" ht="14.25" hidden="false" customHeight="false" outlineLevel="0" collapsed="false">
      <c r="A1208" s="1" t="n">
        <v>9</v>
      </c>
      <c r="B1208" s="1" t="s">
        <v>1917</v>
      </c>
      <c r="C1208" s="1" t="s">
        <v>20</v>
      </c>
      <c r="D1208" s="1" t="s">
        <v>1918</v>
      </c>
      <c r="E1208" s="2" t="n">
        <v>454102031</v>
      </c>
      <c r="H1208" s="3" t="n">
        <f aca="false">SUM(I1208+J1208+K1208)</f>
        <v>2510</v>
      </c>
      <c r="I1208" s="1" t="n">
        <v>1750</v>
      </c>
      <c r="J1208" s="1" t="n">
        <v>0</v>
      </c>
      <c r="K1208" s="1" t="n">
        <v>760</v>
      </c>
      <c r="L1208" s="4" t="n">
        <v>2.929</v>
      </c>
      <c r="M1208" s="48" t="n">
        <v>46060</v>
      </c>
      <c r="N1208" s="33" t="n">
        <f aca="false">DAY(M1208)</f>
        <v>7</v>
      </c>
      <c r="O1208" s="33" t="str">
        <f aca="false">TEXT(M1208,"DDDD")</f>
        <v>sábado</v>
      </c>
      <c r="P1208" s="6" t="n">
        <f aca="false">MONTH(M1208)</f>
        <v>2</v>
      </c>
      <c r="Q1208" s="26" t="str">
        <f aca="false">TEXT(M1208,"MMMM")</f>
        <v>febrero</v>
      </c>
    </row>
    <row r="1209" customFormat="false" ht="14.25" hidden="false" customHeight="false" outlineLevel="0" collapsed="false">
      <c r="A1209" s="1" t="n">
        <v>9</v>
      </c>
      <c r="B1209" s="1" t="s">
        <v>1919</v>
      </c>
      <c r="C1209" s="1" t="s">
        <v>38</v>
      </c>
      <c r="D1209" s="1" t="s">
        <v>1920</v>
      </c>
      <c r="E1209" s="2" t="n">
        <v>454100864</v>
      </c>
      <c r="H1209" s="3" t="n">
        <f aca="false">SUM(I1209+J1209+K1209)</f>
        <v>1350</v>
      </c>
      <c r="I1209" s="1" t="n">
        <v>1350</v>
      </c>
      <c r="J1209" s="1" t="n">
        <v>0</v>
      </c>
      <c r="K1209" s="1" t="n">
        <v>0</v>
      </c>
      <c r="L1209" s="4" t="n">
        <v>0.952</v>
      </c>
      <c r="M1209" s="48" t="n">
        <v>46060</v>
      </c>
      <c r="N1209" s="33" t="n">
        <f aca="false">DAY(M1209)</f>
        <v>7</v>
      </c>
      <c r="O1209" s="33" t="str">
        <f aca="false">TEXT(M1209,"DDDD")</f>
        <v>sábado</v>
      </c>
      <c r="P1209" s="6" t="n">
        <f aca="false">MONTH(M1209)</f>
        <v>2</v>
      </c>
      <c r="Q1209" s="26" t="str">
        <f aca="false">TEXT(M1209,"MMMM")</f>
        <v>febrero</v>
      </c>
    </row>
    <row r="1210" customFormat="false" ht="14.25" hidden="false" customHeight="false" outlineLevel="0" collapsed="false">
      <c r="A1210" s="1" t="n">
        <v>7</v>
      </c>
      <c r="B1210" s="1" t="s">
        <v>77</v>
      </c>
      <c r="C1210" s="1" t="s">
        <v>20</v>
      </c>
      <c r="D1210" s="1" t="s">
        <v>1921</v>
      </c>
      <c r="E1210" s="2" t="n">
        <v>454081341</v>
      </c>
      <c r="H1210" s="3" t="n">
        <f aca="false">SUM(I1210+J1210+K1210)</f>
        <v>4553</v>
      </c>
      <c r="I1210" s="1" t="n">
        <v>1750</v>
      </c>
      <c r="J1210" s="1" t="n">
        <v>0</v>
      </c>
      <c r="K1210" s="1" t="n">
        <v>2803</v>
      </c>
      <c r="L1210" s="4" t="n">
        <v>3.051</v>
      </c>
      <c r="M1210" s="48" t="n">
        <v>46060</v>
      </c>
      <c r="N1210" s="33" t="n">
        <f aca="false">DAY(M1210)</f>
        <v>7</v>
      </c>
      <c r="O1210" s="33" t="str">
        <f aca="false">TEXT(M1210,"DDDD")</f>
        <v>sábado</v>
      </c>
      <c r="P1210" s="6" t="n">
        <f aca="false">MONTH(M1210)</f>
        <v>2</v>
      </c>
      <c r="Q1210" s="26" t="str">
        <f aca="false">TEXT(M1210,"MMMM")</f>
        <v>febrero</v>
      </c>
    </row>
    <row r="1211" customFormat="false" ht="14.25" hidden="false" customHeight="false" outlineLevel="0" collapsed="false">
      <c r="A1211" s="1" t="n">
        <v>7</v>
      </c>
      <c r="B1211" s="1" t="s">
        <v>1922</v>
      </c>
      <c r="C1211" s="1" t="s">
        <v>20</v>
      </c>
      <c r="D1211" s="1" t="s">
        <v>1923</v>
      </c>
      <c r="E1211" s="2" t="n">
        <v>454078388</v>
      </c>
      <c r="H1211" s="3" t="n">
        <f aca="false">SUM(I1211+J1211+K1211)</f>
        <v>1850</v>
      </c>
      <c r="I1211" s="1" t="n">
        <v>1550</v>
      </c>
      <c r="J1211" s="1" t="n">
        <v>0</v>
      </c>
      <c r="K1211" s="1" t="n">
        <v>300</v>
      </c>
      <c r="L1211" s="4" t="n">
        <v>2.189</v>
      </c>
      <c r="M1211" s="48" t="n">
        <v>46060</v>
      </c>
      <c r="N1211" s="33" t="n">
        <f aca="false">DAY(M1211)</f>
        <v>7</v>
      </c>
      <c r="O1211" s="33" t="str">
        <f aca="false">TEXT(M1211,"DDDD")</f>
        <v>sábado</v>
      </c>
      <c r="P1211" s="6" t="n">
        <f aca="false">MONTH(M1211)</f>
        <v>2</v>
      </c>
      <c r="Q1211" s="26" t="str">
        <f aca="false">TEXT(M1211,"MMMM")</f>
        <v>febrero</v>
      </c>
    </row>
    <row r="1212" customFormat="false" ht="14.25" hidden="false" customHeight="false" outlineLevel="0" collapsed="false">
      <c r="A1212" s="1" t="n">
        <v>7</v>
      </c>
      <c r="B1212" s="1" t="s">
        <v>1924</v>
      </c>
      <c r="C1212" s="1" t="s">
        <v>20</v>
      </c>
      <c r="D1212" s="1" t="s">
        <v>1925</v>
      </c>
      <c r="E1212" s="2" t="n">
        <v>454075920</v>
      </c>
      <c r="H1212" s="3" t="n">
        <f aca="false">SUM(I1212+J1212+K1212)</f>
        <v>2760</v>
      </c>
      <c r="I1212" s="1" t="n">
        <v>1200</v>
      </c>
      <c r="J1212" s="1" t="n">
        <v>0</v>
      </c>
      <c r="K1212" s="1" t="n">
        <v>1560</v>
      </c>
      <c r="L1212" s="4" t="n">
        <v>1.136</v>
      </c>
      <c r="M1212" s="48" t="n">
        <v>46060</v>
      </c>
      <c r="N1212" s="33" t="n">
        <f aca="false">DAY(M1212)</f>
        <v>7</v>
      </c>
      <c r="O1212" s="33" t="str">
        <f aca="false">TEXT(M1212,"DDDD")</f>
        <v>sábado</v>
      </c>
      <c r="P1212" s="6" t="n">
        <f aca="false">MONTH(M1212)</f>
        <v>2</v>
      </c>
      <c r="Q1212" s="26" t="str">
        <f aca="false">TEXT(M1212,"MMMM")</f>
        <v>febrero</v>
      </c>
    </row>
    <row r="1213" customFormat="false" ht="14.25" hidden="false" customHeight="false" outlineLevel="0" collapsed="false">
      <c r="A1213" s="1" t="n">
        <v>7</v>
      </c>
      <c r="B1213" s="1" t="s">
        <v>1810</v>
      </c>
      <c r="C1213" s="1" t="s">
        <v>1884</v>
      </c>
      <c r="D1213" s="1" t="s">
        <v>1409</v>
      </c>
      <c r="E1213" s="2" t="n">
        <v>454073204</v>
      </c>
      <c r="H1213" s="3" t="n">
        <f aca="false">SUM(I1213+J1213+K1213)</f>
        <v>2100</v>
      </c>
      <c r="I1213" s="1" t="n">
        <v>2100</v>
      </c>
      <c r="J1213" s="1" t="n">
        <v>0</v>
      </c>
      <c r="K1213" s="1" t="n">
        <v>0</v>
      </c>
      <c r="L1213" s="4" t="n">
        <v>2.737</v>
      </c>
      <c r="M1213" s="48" t="n">
        <v>46060</v>
      </c>
      <c r="N1213" s="33" t="n">
        <f aca="false">DAY(M1213)</f>
        <v>7</v>
      </c>
      <c r="O1213" s="33" t="str">
        <f aca="false">TEXT(M1213,"DDDD")</f>
        <v>sábado</v>
      </c>
      <c r="P1213" s="6" t="n">
        <f aca="false">MONTH(M1213)</f>
        <v>2</v>
      </c>
      <c r="Q1213" s="26" t="str">
        <f aca="false">TEXT(M1213,"MMMM")</f>
        <v>febrero</v>
      </c>
    </row>
    <row r="1214" customFormat="false" ht="14.25" hidden="false" customHeight="false" outlineLevel="0" collapsed="false">
      <c r="A1214" s="1" t="n">
        <v>6</v>
      </c>
      <c r="B1214" s="1" t="s">
        <v>1926</v>
      </c>
      <c r="C1214" s="1" t="s">
        <v>20</v>
      </c>
      <c r="D1214" s="1" t="s">
        <v>213</v>
      </c>
      <c r="E1214" s="2" t="n">
        <v>454072006</v>
      </c>
      <c r="H1214" s="3" t="n">
        <f aca="false">SUM(I1214+J1214+K1214)</f>
        <v>2080</v>
      </c>
      <c r="I1214" s="1" t="n">
        <v>1200</v>
      </c>
      <c r="J1214" s="1" t="n">
        <v>0</v>
      </c>
      <c r="K1214" s="1" t="n">
        <v>880</v>
      </c>
      <c r="L1214" s="4" t="n">
        <v>0.605</v>
      </c>
      <c r="M1214" s="48" t="n">
        <v>46060</v>
      </c>
      <c r="N1214" s="33" t="n">
        <f aca="false">DAY(M1214)</f>
        <v>7</v>
      </c>
      <c r="O1214" s="33" t="str">
        <f aca="false">TEXT(M1214,"DDDD")</f>
        <v>sábado</v>
      </c>
      <c r="P1214" s="6" t="n">
        <f aca="false">MONTH(M1214)</f>
        <v>2</v>
      </c>
      <c r="Q1214" s="26" t="str">
        <f aca="false">TEXT(M1214,"MMMM")</f>
        <v>febrero</v>
      </c>
    </row>
    <row r="1215" customFormat="false" ht="14.25" hidden="false" customHeight="false" outlineLevel="0" collapsed="false">
      <c r="A1215" s="1" t="n">
        <v>6</v>
      </c>
      <c r="B1215" s="1" t="s">
        <v>1927</v>
      </c>
      <c r="C1215" s="1" t="s">
        <v>38</v>
      </c>
      <c r="D1215" s="1" t="s">
        <v>1928</v>
      </c>
      <c r="E1215" s="2" t="n">
        <v>454070401</v>
      </c>
      <c r="H1215" s="3" t="n">
        <f aca="false">SUM(I1215+J1215+K1215)</f>
        <v>2160</v>
      </c>
      <c r="I1215" s="1" t="n">
        <v>1300</v>
      </c>
      <c r="J1215" s="1" t="n">
        <v>0</v>
      </c>
      <c r="K1215" s="1" t="n">
        <v>860</v>
      </c>
      <c r="L1215" s="4" t="n">
        <v>1.574</v>
      </c>
      <c r="M1215" s="48" t="n">
        <v>46060</v>
      </c>
      <c r="N1215" s="33" t="n">
        <f aca="false">DAY(M1215)</f>
        <v>7</v>
      </c>
      <c r="O1215" s="33" t="str">
        <f aca="false">TEXT(M1215,"DDDD")</f>
        <v>sábado</v>
      </c>
      <c r="P1215" s="6" t="n">
        <f aca="false">MONTH(M1215)</f>
        <v>2</v>
      </c>
      <c r="Q1215" s="26" t="str">
        <f aca="false">TEXT(M1215,"MMMM")</f>
        <v>febrero</v>
      </c>
    </row>
    <row r="1216" customFormat="false" ht="14.25" hidden="false" customHeight="false" outlineLevel="0" collapsed="false">
      <c r="A1216" s="1" t="n">
        <v>6</v>
      </c>
      <c r="B1216" s="1" t="s">
        <v>1860</v>
      </c>
      <c r="C1216" s="1" t="s">
        <v>38</v>
      </c>
      <c r="D1216" s="1" t="s">
        <v>747</v>
      </c>
      <c r="E1216" s="2" t="n">
        <v>454069789</v>
      </c>
      <c r="H1216" s="3" t="n">
        <f aca="false">SUM(I1216+J1216+K1216)</f>
        <v>2320</v>
      </c>
      <c r="I1216" s="1" t="n">
        <v>1200</v>
      </c>
      <c r="J1216" s="1" t="n">
        <v>0</v>
      </c>
      <c r="K1216" s="1" t="n">
        <v>1120</v>
      </c>
      <c r="L1216" s="4" t="n">
        <v>1.088</v>
      </c>
      <c r="M1216" s="48" t="n">
        <v>46060</v>
      </c>
      <c r="N1216" s="33" t="n">
        <f aca="false">DAY(M1216)</f>
        <v>7</v>
      </c>
      <c r="O1216" s="33" t="str">
        <f aca="false">TEXT(M1216,"DDDD")</f>
        <v>sábado</v>
      </c>
      <c r="P1216" s="6" t="n">
        <f aca="false">MONTH(M1216)</f>
        <v>2</v>
      </c>
      <c r="Q1216" s="26" t="str">
        <f aca="false">TEXT(M1216,"MMMM")</f>
        <v>febrero</v>
      </c>
    </row>
    <row r="1217" customFormat="false" ht="14.25" hidden="false" customHeight="false" outlineLevel="0" collapsed="false">
      <c r="A1217" s="1" t="n">
        <v>12</v>
      </c>
      <c r="B1217" s="1" t="s">
        <v>1929</v>
      </c>
      <c r="C1217" s="1" t="s">
        <v>20</v>
      </c>
      <c r="D1217" s="1" t="s">
        <v>1930</v>
      </c>
      <c r="E1217" s="2" t="n">
        <v>454299533</v>
      </c>
      <c r="F1217" s="21" t="s">
        <v>1671</v>
      </c>
      <c r="G1217" s="1" t="n">
        <v>454297534</v>
      </c>
      <c r="H1217" s="3" t="n">
        <f aca="false">SUM(I1217+J1217+K1217)</f>
        <v>6460</v>
      </c>
      <c r="I1217" s="1" t="n">
        <v>3100</v>
      </c>
      <c r="J1217" s="1" t="n">
        <v>0</v>
      </c>
      <c r="K1217" s="1" t="n">
        <v>3360</v>
      </c>
      <c r="L1217" s="4" t="n">
        <v>2.096</v>
      </c>
      <c r="M1217" s="48" t="n">
        <v>46061</v>
      </c>
      <c r="N1217" s="33" t="n">
        <f aca="false">DAY(M1217)</f>
        <v>8</v>
      </c>
      <c r="O1217" s="33" t="str">
        <f aca="false">TEXT(M1217,"DDDD")</f>
        <v>domingo</v>
      </c>
      <c r="P1217" s="6" t="n">
        <f aca="false">MONTH(M1217)</f>
        <v>2</v>
      </c>
      <c r="Q1217" s="26" t="str">
        <f aca="false">TEXT(M1217,"MMMM")</f>
        <v>febrero</v>
      </c>
    </row>
    <row r="1218" customFormat="false" ht="14.25" hidden="false" customHeight="false" outlineLevel="0" collapsed="false">
      <c r="A1218" s="1" t="n">
        <v>12</v>
      </c>
      <c r="B1218" s="1" t="s">
        <v>240</v>
      </c>
      <c r="C1218" s="1" t="s">
        <v>20</v>
      </c>
      <c r="D1218" s="1" t="s">
        <v>150</v>
      </c>
      <c r="E1218" s="2" t="n">
        <v>454295664</v>
      </c>
      <c r="H1218" s="3" t="n">
        <f aca="false">SUM(I1218+J1218+K1218)</f>
        <v>2140</v>
      </c>
      <c r="I1218" s="1" t="n">
        <v>1200</v>
      </c>
      <c r="J1218" s="1" t="n">
        <v>0</v>
      </c>
      <c r="K1218" s="1" t="n">
        <v>940</v>
      </c>
      <c r="L1218" s="4" t="n">
        <v>0.469</v>
      </c>
      <c r="M1218" s="48" t="n">
        <v>46061</v>
      </c>
      <c r="N1218" s="33" t="n">
        <f aca="false">DAY(M1218)</f>
        <v>8</v>
      </c>
      <c r="O1218" s="33" t="str">
        <f aca="false">TEXT(M1218,"DDDD")</f>
        <v>domingo</v>
      </c>
      <c r="P1218" s="6" t="n">
        <f aca="false">MONTH(M1218)</f>
        <v>2</v>
      </c>
      <c r="Q1218" s="26" t="str">
        <f aca="false">TEXT(M1218,"MMMM")</f>
        <v>febrero</v>
      </c>
    </row>
    <row r="1219" customFormat="false" ht="14.25" hidden="false" customHeight="false" outlineLevel="0" collapsed="false">
      <c r="A1219" s="1" t="n">
        <v>12</v>
      </c>
      <c r="B1219" s="1" t="s">
        <v>743</v>
      </c>
      <c r="C1219" s="1" t="s">
        <v>20</v>
      </c>
      <c r="D1219" s="1" t="s">
        <v>1858</v>
      </c>
      <c r="E1219" s="2" t="n">
        <v>454286163</v>
      </c>
      <c r="F1219" s="21" t="s">
        <v>1931</v>
      </c>
      <c r="G1219" s="1" t="n">
        <v>454287874</v>
      </c>
      <c r="H1219" s="3" t="n">
        <f aca="false">SUM(I1219+J1219+K1219)</f>
        <v>9020</v>
      </c>
      <c r="I1219" s="1" t="n">
        <v>2800</v>
      </c>
      <c r="J1219" s="1" t="n">
        <v>0</v>
      </c>
      <c r="K1219" s="1" t="n">
        <v>6220</v>
      </c>
      <c r="L1219" s="4" t="n">
        <v>1.526</v>
      </c>
      <c r="M1219" s="48" t="n">
        <v>46061</v>
      </c>
      <c r="N1219" s="33" t="n">
        <f aca="false">DAY(M1219)</f>
        <v>8</v>
      </c>
      <c r="O1219" s="33" t="str">
        <f aca="false">TEXT(M1219,"DDDD")</f>
        <v>domingo</v>
      </c>
      <c r="P1219" s="6" t="n">
        <f aca="false">MONTH(M1219)</f>
        <v>2</v>
      </c>
      <c r="Q1219" s="26" t="str">
        <f aca="false">TEXT(M1219,"MMMM")</f>
        <v>febrero</v>
      </c>
    </row>
    <row r="1220" customFormat="false" ht="14.25" hidden="false" customHeight="false" outlineLevel="0" collapsed="false">
      <c r="A1220" s="1" t="n">
        <v>12</v>
      </c>
      <c r="B1220" s="1" t="s">
        <v>1932</v>
      </c>
      <c r="C1220" s="1" t="s">
        <v>20</v>
      </c>
      <c r="D1220" s="1" t="s">
        <v>1931</v>
      </c>
      <c r="E1220" s="2" t="n">
        <v>454267982</v>
      </c>
      <c r="F1220" s="21" t="s">
        <v>1933</v>
      </c>
      <c r="G1220" s="1" t="n">
        <v>454266953</v>
      </c>
      <c r="H1220" s="3" t="n">
        <f aca="false">SUM(I1220+J1220+K1220)</f>
        <v>8380</v>
      </c>
      <c r="I1220" s="1" t="n">
        <v>4300</v>
      </c>
      <c r="J1220" s="1" t="n">
        <v>0</v>
      </c>
      <c r="K1220" s="1" t="n">
        <v>4080</v>
      </c>
      <c r="L1220" s="4" t="n">
        <v>2.521</v>
      </c>
      <c r="M1220" s="48" t="n">
        <v>46061</v>
      </c>
      <c r="N1220" s="33" t="n">
        <f aca="false">DAY(M1220)</f>
        <v>8</v>
      </c>
      <c r="O1220" s="33" t="str">
        <f aca="false">TEXT(M1220,"DDDD")</f>
        <v>domingo</v>
      </c>
      <c r="P1220" s="6" t="n">
        <f aca="false">MONTH(M1220)</f>
        <v>2</v>
      </c>
      <c r="Q1220" s="26" t="str">
        <f aca="false">TEXT(M1220,"MMMM")</f>
        <v>febrero</v>
      </c>
    </row>
    <row r="1221" customFormat="false" ht="14.25" hidden="false" customHeight="false" outlineLevel="0" collapsed="false">
      <c r="A1221" s="1" t="n">
        <v>11</v>
      </c>
      <c r="B1221" s="1" t="s">
        <v>1934</v>
      </c>
      <c r="C1221" s="1" t="s">
        <v>20</v>
      </c>
      <c r="D1221" s="1" t="s">
        <v>1188</v>
      </c>
      <c r="E1221" s="2" t="n">
        <v>454263614</v>
      </c>
      <c r="H1221" s="3" t="n">
        <f aca="false">SUM(I1221+J1221+K1221)</f>
        <v>1700</v>
      </c>
      <c r="I1221" s="1" t="n">
        <v>1200</v>
      </c>
      <c r="J1221" s="1" t="n">
        <v>0</v>
      </c>
      <c r="K1221" s="1" t="n">
        <v>500</v>
      </c>
      <c r="L1221" s="4" t="n">
        <v>0.92</v>
      </c>
      <c r="M1221" s="48" t="n">
        <v>46061</v>
      </c>
      <c r="N1221" s="33" t="n">
        <f aca="false">DAY(M1221)</f>
        <v>8</v>
      </c>
      <c r="O1221" s="33" t="str">
        <f aca="false">TEXT(M1221,"DDDD")</f>
        <v>domingo</v>
      </c>
      <c r="P1221" s="6" t="n">
        <f aca="false">MONTH(M1221)</f>
        <v>2</v>
      </c>
      <c r="Q1221" s="26" t="str">
        <f aca="false">TEXT(M1221,"MMMM")</f>
        <v>febrero</v>
      </c>
    </row>
    <row r="1222" customFormat="false" ht="14.25" hidden="false" customHeight="false" outlineLevel="0" collapsed="false">
      <c r="A1222" s="1" t="n">
        <v>11</v>
      </c>
      <c r="B1222" s="1" t="s">
        <v>1935</v>
      </c>
      <c r="C1222" s="1" t="s">
        <v>20</v>
      </c>
      <c r="D1222" s="1" t="s">
        <v>1936</v>
      </c>
      <c r="E1222" s="2" t="n">
        <v>454257467</v>
      </c>
      <c r="F1222" s="21" t="s">
        <v>693</v>
      </c>
      <c r="G1222" s="1" t="n">
        <v>454258972</v>
      </c>
      <c r="H1222" s="3" t="n">
        <f aca="false">SUM(I1222+J1222+K1222)</f>
        <v>5400</v>
      </c>
      <c r="I1222" s="1" t="n">
        <v>1900</v>
      </c>
      <c r="J1222" s="1" t="n">
        <v>0</v>
      </c>
      <c r="K1222" s="1" t="n">
        <v>3500</v>
      </c>
      <c r="L1222" s="4" t="n">
        <v>1.851</v>
      </c>
      <c r="M1222" s="48" t="n">
        <v>46061</v>
      </c>
      <c r="N1222" s="33" t="n">
        <f aca="false">DAY(M1222)</f>
        <v>8</v>
      </c>
      <c r="O1222" s="33" t="str">
        <f aca="false">TEXT(M1222,"DDDD")</f>
        <v>domingo</v>
      </c>
      <c r="P1222" s="6" t="n">
        <f aca="false">MONTH(M1222)</f>
        <v>2</v>
      </c>
      <c r="Q1222" s="26" t="str">
        <f aca="false">TEXT(M1222,"MMMM")</f>
        <v>febrero</v>
      </c>
    </row>
    <row r="1223" customFormat="false" ht="14.25" hidden="false" customHeight="false" outlineLevel="0" collapsed="false">
      <c r="A1223" s="1" t="n">
        <v>11</v>
      </c>
      <c r="B1223" s="1" t="s">
        <v>247</v>
      </c>
      <c r="C1223" s="1" t="s">
        <v>38</v>
      </c>
      <c r="D1223" s="1" t="s">
        <v>1637</v>
      </c>
      <c r="E1223" s="2" t="n">
        <v>454256058</v>
      </c>
      <c r="H1223" s="3" t="n">
        <f aca="false">SUM(I1223+J1223+K1223)</f>
        <v>1200</v>
      </c>
      <c r="I1223" s="1" t="n">
        <v>1200</v>
      </c>
      <c r="J1223" s="1" t="n">
        <v>0</v>
      </c>
      <c r="K1223" s="1" t="n">
        <v>0</v>
      </c>
      <c r="L1223" s="4" t="n">
        <v>0.771</v>
      </c>
      <c r="M1223" s="48" t="n">
        <v>46061</v>
      </c>
      <c r="N1223" s="33" t="n">
        <f aca="false">DAY(M1223)</f>
        <v>8</v>
      </c>
      <c r="O1223" s="33" t="str">
        <f aca="false">TEXT(M1223,"DDDD")</f>
        <v>domingo</v>
      </c>
      <c r="P1223" s="6" t="n">
        <f aca="false">MONTH(M1223)</f>
        <v>2</v>
      </c>
      <c r="Q1223" s="26" t="str">
        <f aca="false">TEXT(M1223,"MMMM")</f>
        <v>febrero</v>
      </c>
    </row>
    <row r="1224" customFormat="false" ht="14.25" hidden="false" customHeight="false" outlineLevel="0" collapsed="false">
      <c r="A1224" s="1" t="n">
        <v>10</v>
      </c>
      <c r="B1224" s="1" t="s">
        <v>322</v>
      </c>
      <c r="C1224" s="1" t="s">
        <v>38</v>
      </c>
      <c r="D1224" s="1" t="s">
        <v>512</v>
      </c>
      <c r="E1224" s="2" t="n">
        <v>454247021</v>
      </c>
      <c r="H1224" s="3" t="n">
        <f aca="false">SUM(I1224+J1224+K1224)</f>
        <v>2690</v>
      </c>
      <c r="I1224" s="1" t="n">
        <v>2250</v>
      </c>
      <c r="J1224" s="1" t="n">
        <v>0</v>
      </c>
      <c r="K1224" s="1" t="n">
        <v>440</v>
      </c>
      <c r="L1224" s="4" t="n">
        <v>1.91</v>
      </c>
      <c r="M1224" s="48" t="n">
        <v>46061</v>
      </c>
      <c r="N1224" s="33" t="n">
        <f aca="false">DAY(M1224)</f>
        <v>8</v>
      </c>
      <c r="O1224" s="33" t="str">
        <f aca="false">TEXT(M1224,"DDDD")</f>
        <v>domingo</v>
      </c>
      <c r="P1224" s="6" t="n">
        <f aca="false">MONTH(M1224)</f>
        <v>2</v>
      </c>
      <c r="Q1224" s="26" t="str">
        <f aca="false">TEXT(M1224,"MMMM")</f>
        <v>febrero</v>
      </c>
    </row>
    <row r="1225" customFormat="false" ht="14.25" hidden="false" customHeight="false" outlineLevel="0" collapsed="false">
      <c r="A1225" s="1" t="n">
        <v>10</v>
      </c>
      <c r="B1225" s="1" t="s">
        <v>1937</v>
      </c>
      <c r="C1225" s="1" t="s">
        <v>38</v>
      </c>
      <c r="D1225" s="1" t="s">
        <v>274</v>
      </c>
      <c r="E1225" s="2" t="n">
        <v>454244215</v>
      </c>
      <c r="H1225" s="3" t="n">
        <f aca="false">SUM(I1225+J1225+K1225)</f>
        <v>3000</v>
      </c>
      <c r="I1225" s="1" t="n">
        <v>1500</v>
      </c>
      <c r="J1225" s="1" t="n">
        <v>0</v>
      </c>
      <c r="K1225" s="1" t="n">
        <v>1500</v>
      </c>
      <c r="L1225" s="4" t="n">
        <v>2.48</v>
      </c>
      <c r="M1225" s="48" t="n">
        <v>46061</v>
      </c>
      <c r="N1225" s="33" t="n">
        <f aca="false">DAY(M1225)</f>
        <v>8</v>
      </c>
      <c r="O1225" s="33" t="str">
        <f aca="false">TEXT(M1225,"DDDD")</f>
        <v>domingo</v>
      </c>
      <c r="P1225" s="6" t="n">
        <f aca="false">MONTH(M1225)</f>
        <v>2</v>
      </c>
      <c r="Q1225" s="26" t="str">
        <f aca="false">TEXT(M1225,"MMMM")</f>
        <v>febrero</v>
      </c>
    </row>
    <row r="1226" customFormat="false" ht="14.25" hidden="false" customHeight="false" outlineLevel="0" collapsed="false">
      <c r="A1226" s="1" t="n">
        <v>10</v>
      </c>
      <c r="B1226" s="1" t="s">
        <v>1938</v>
      </c>
      <c r="C1226" s="1" t="s">
        <v>38</v>
      </c>
      <c r="D1226" s="1" t="s">
        <v>65</v>
      </c>
      <c r="E1226" s="2" t="n">
        <v>454242467</v>
      </c>
      <c r="H1226" s="3" t="n">
        <f aca="false">SUM(I1226+J1226+K1226)</f>
        <v>3130</v>
      </c>
      <c r="I1226" s="1" t="n">
        <v>1350</v>
      </c>
      <c r="J1226" s="1" t="n">
        <v>0</v>
      </c>
      <c r="K1226" s="1" t="n">
        <v>1780</v>
      </c>
      <c r="L1226" s="4" t="n">
        <v>1.587</v>
      </c>
      <c r="M1226" s="48" t="n">
        <v>46061</v>
      </c>
      <c r="N1226" s="33" t="n">
        <f aca="false">DAY(M1226)</f>
        <v>8</v>
      </c>
      <c r="O1226" s="33" t="str">
        <f aca="false">TEXT(M1226,"DDDD")</f>
        <v>domingo</v>
      </c>
      <c r="P1226" s="6" t="n">
        <f aca="false">MONTH(M1226)</f>
        <v>2</v>
      </c>
      <c r="Q1226" s="26" t="str">
        <f aca="false">TEXT(M1226,"MMMM")</f>
        <v>febrero</v>
      </c>
    </row>
    <row r="1227" customFormat="false" ht="14.25" hidden="false" customHeight="false" outlineLevel="0" collapsed="false">
      <c r="A1227" s="1" t="n">
        <v>10</v>
      </c>
      <c r="B1227" s="1" t="s">
        <v>1939</v>
      </c>
      <c r="C1227" s="1" t="s">
        <v>38</v>
      </c>
      <c r="D1227" s="1" t="s">
        <v>65</v>
      </c>
      <c r="E1227" s="2" t="n">
        <v>454236019</v>
      </c>
      <c r="H1227" s="3" t="n">
        <f aca="false">SUM(I1227+J1227+K1227)</f>
        <v>5300</v>
      </c>
      <c r="I1227" s="1" t="n">
        <v>5300</v>
      </c>
      <c r="J1227" s="1" t="n">
        <v>0</v>
      </c>
      <c r="K1227" s="1" t="n">
        <v>0</v>
      </c>
      <c r="L1227" s="4" t="n">
        <v>1.019</v>
      </c>
      <c r="M1227" s="48" t="n">
        <v>46061</v>
      </c>
      <c r="N1227" s="33" t="n">
        <f aca="false">DAY(M1227)</f>
        <v>8</v>
      </c>
      <c r="O1227" s="33" t="str">
        <f aca="false">TEXT(M1227,"DDDD")</f>
        <v>domingo</v>
      </c>
      <c r="P1227" s="6" t="n">
        <f aca="false">MONTH(M1227)</f>
        <v>2</v>
      </c>
      <c r="Q1227" s="26" t="str">
        <f aca="false">TEXT(M1227,"MMMM")</f>
        <v>febrero</v>
      </c>
    </row>
    <row r="1228" customFormat="false" ht="14.25" hidden="false" customHeight="false" outlineLevel="0" collapsed="false">
      <c r="A1228" s="1" t="n">
        <v>9</v>
      </c>
      <c r="B1228" s="1" t="s">
        <v>1940</v>
      </c>
      <c r="C1228" s="1" t="s">
        <v>20</v>
      </c>
      <c r="D1228" s="1" t="s">
        <v>774</v>
      </c>
      <c r="E1228" s="2" t="n">
        <v>454233876</v>
      </c>
      <c r="H1228" s="3" t="n">
        <f aca="false">SUM(I1228+J1228+K1228)</f>
        <v>4720</v>
      </c>
      <c r="I1228" s="1" t="n">
        <v>1200</v>
      </c>
      <c r="J1228" s="1" t="n">
        <v>0</v>
      </c>
      <c r="K1228" s="1" t="n">
        <v>3520</v>
      </c>
      <c r="L1228" s="4" t="n">
        <v>2.353</v>
      </c>
      <c r="M1228" s="48" t="n">
        <v>46061</v>
      </c>
      <c r="N1228" s="33" t="n">
        <f aca="false">DAY(M1228)</f>
        <v>8</v>
      </c>
      <c r="O1228" s="33" t="str">
        <f aca="false">TEXT(M1228,"DDDD")</f>
        <v>domingo</v>
      </c>
      <c r="P1228" s="6" t="n">
        <f aca="false">MONTH(M1228)</f>
        <v>2</v>
      </c>
      <c r="Q1228" s="26" t="str">
        <f aca="false">TEXT(M1228,"MMMM")</f>
        <v>febrero</v>
      </c>
    </row>
    <row r="1229" customFormat="false" ht="14.25" hidden="false" customHeight="false" outlineLevel="0" collapsed="false">
      <c r="A1229" s="1" t="n">
        <v>9</v>
      </c>
      <c r="B1229" s="1" t="s">
        <v>1941</v>
      </c>
      <c r="C1229" s="1" t="s">
        <v>20</v>
      </c>
      <c r="D1229" s="1" t="s">
        <v>1942</v>
      </c>
      <c r="E1229" s="2" t="n">
        <v>454228832</v>
      </c>
      <c r="H1229" s="3" t="n">
        <f aca="false">SUM(I1229+J1229+K1229)</f>
        <v>3000</v>
      </c>
      <c r="I1229" s="1" t="n">
        <v>1800</v>
      </c>
      <c r="J1229" s="1" t="n">
        <v>0</v>
      </c>
      <c r="K1229" s="1" t="n">
        <v>1200</v>
      </c>
      <c r="L1229" s="4" t="n">
        <v>2.835</v>
      </c>
      <c r="M1229" s="48" t="n">
        <v>46061</v>
      </c>
      <c r="N1229" s="33" t="n">
        <f aca="false">DAY(M1229)</f>
        <v>8</v>
      </c>
      <c r="O1229" s="33" t="str">
        <f aca="false">TEXT(M1229,"DDDD")</f>
        <v>domingo</v>
      </c>
      <c r="P1229" s="6" t="n">
        <f aca="false">MONTH(M1229)</f>
        <v>2</v>
      </c>
      <c r="Q1229" s="26" t="str">
        <f aca="false">TEXT(M1229,"MMMM")</f>
        <v>febrero</v>
      </c>
    </row>
    <row r="1230" customFormat="false" ht="14.25" hidden="false" customHeight="false" outlineLevel="0" collapsed="false">
      <c r="A1230" s="1" t="n">
        <v>9</v>
      </c>
      <c r="B1230" s="1" t="s">
        <v>1943</v>
      </c>
      <c r="C1230" s="1" t="s">
        <v>20</v>
      </c>
      <c r="D1230" s="1" t="s">
        <v>1944</v>
      </c>
      <c r="E1230" s="2" t="n">
        <v>454224931</v>
      </c>
      <c r="H1230" s="3" t="n">
        <f aca="false">SUM(I1230+J1230+K1230)</f>
        <v>2250</v>
      </c>
      <c r="I1230" s="1" t="n">
        <v>2250</v>
      </c>
      <c r="J1230" s="1" t="n">
        <v>0</v>
      </c>
      <c r="K1230" s="1" t="n">
        <v>0</v>
      </c>
      <c r="L1230" s="4" t="n">
        <v>3.001</v>
      </c>
      <c r="M1230" s="48" t="n">
        <v>46061</v>
      </c>
      <c r="N1230" s="33" t="n">
        <f aca="false">DAY(M1230)</f>
        <v>8</v>
      </c>
      <c r="O1230" s="33" t="str">
        <f aca="false">TEXT(M1230,"DDDD")</f>
        <v>domingo</v>
      </c>
      <c r="P1230" s="6" t="n">
        <f aca="false">MONTH(M1230)</f>
        <v>2</v>
      </c>
      <c r="Q1230" s="26" t="str">
        <f aca="false">TEXT(M1230,"MMMM")</f>
        <v>febrero</v>
      </c>
    </row>
    <row r="1231" customFormat="false" ht="14.25" hidden="false" customHeight="false" outlineLevel="0" collapsed="false">
      <c r="A1231" s="1" t="n">
        <v>8</v>
      </c>
      <c r="B1231" s="1" t="s">
        <v>1945</v>
      </c>
      <c r="C1231" s="1" t="s">
        <v>20</v>
      </c>
      <c r="D1231" s="1" t="s">
        <v>1946</v>
      </c>
      <c r="E1231" s="2" t="n">
        <v>454221461</v>
      </c>
      <c r="H1231" s="3" t="n">
        <f aca="false">SUM(I1231+J1231+K1231)</f>
        <v>2560</v>
      </c>
      <c r="I1231" s="1" t="n">
        <v>1200</v>
      </c>
      <c r="J1231" s="1" t="n">
        <v>0</v>
      </c>
      <c r="K1231" s="1" t="n">
        <v>1360</v>
      </c>
      <c r="L1231" s="4" t="n">
        <v>1.992</v>
      </c>
      <c r="M1231" s="48" t="n">
        <v>46061</v>
      </c>
      <c r="N1231" s="33" t="n">
        <f aca="false">DAY(M1231)</f>
        <v>8</v>
      </c>
      <c r="O1231" s="33" t="str">
        <f aca="false">TEXT(M1231,"DDDD")</f>
        <v>domingo</v>
      </c>
      <c r="P1231" s="6" t="n">
        <f aca="false">MONTH(M1231)</f>
        <v>2</v>
      </c>
      <c r="Q1231" s="26" t="str">
        <f aca="false">TEXT(M1231,"MMMM")</f>
        <v>febrero</v>
      </c>
    </row>
    <row r="1232" customFormat="false" ht="14.25" hidden="false" customHeight="false" outlineLevel="0" collapsed="false">
      <c r="A1232" s="1" t="n">
        <v>8</v>
      </c>
      <c r="B1232" s="1" t="s">
        <v>1947</v>
      </c>
      <c r="C1232" s="1" t="s">
        <v>20</v>
      </c>
      <c r="D1232" s="1" t="s">
        <v>1948</v>
      </c>
      <c r="E1232" s="2" t="n">
        <v>454220545</v>
      </c>
      <c r="H1232" s="3" t="n">
        <f aca="false">SUM(I1232+J1232+K1232)</f>
        <v>1900</v>
      </c>
      <c r="I1232" s="1" t="n">
        <v>1900</v>
      </c>
      <c r="J1232" s="1" t="n">
        <v>0</v>
      </c>
      <c r="K1232" s="1" t="n">
        <v>0</v>
      </c>
      <c r="L1232" s="4" t="n">
        <v>2.286</v>
      </c>
      <c r="M1232" s="48" t="n">
        <v>46061</v>
      </c>
      <c r="N1232" s="33" t="n">
        <f aca="false">DAY(M1232)</f>
        <v>8</v>
      </c>
      <c r="O1232" s="33" t="str">
        <f aca="false">TEXT(M1232,"DDDD")</f>
        <v>domingo</v>
      </c>
      <c r="P1232" s="6" t="n">
        <f aca="false">MONTH(M1232)</f>
        <v>2</v>
      </c>
      <c r="Q1232" s="26" t="str">
        <f aca="false">TEXT(M1232,"MMMM")</f>
        <v>febrero</v>
      </c>
    </row>
    <row r="1233" customFormat="false" ht="14.25" hidden="false" customHeight="false" outlineLevel="0" collapsed="false">
      <c r="A1233" s="1" t="n">
        <v>8</v>
      </c>
      <c r="B1233" s="1" t="s">
        <v>1949</v>
      </c>
      <c r="C1233" s="1" t="s">
        <v>38</v>
      </c>
      <c r="D1233" s="1" t="s">
        <v>1950</v>
      </c>
      <c r="E1233" s="2" t="n">
        <v>454207057</v>
      </c>
      <c r="H1233" s="3" t="n">
        <f aca="false">SUM(I1233+J1233+K1233)</f>
        <v>8760</v>
      </c>
      <c r="I1233" s="1" t="n">
        <v>5300</v>
      </c>
      <c r="J1233" s="1" t="n">
        <v>0</v>
      </c>
      <c r="K1233" s="1" t="n">
        <v>3460</v>
      </c>
      <c r="L1233" s="4" t="n">
        <v>1.622</v>
      </c>
      <c r="M1233" s="48" t="n">
        <v>46061</v>
      </c>
      <c r="N1233" s="33" t="n">
        <f aca="false">DAY(M1233)</f>
        <v>8</v>
      </c>
      <c r="O1233" s="33" t="str">
        <f aca="false">TEXT(M1233,"DDDD")</f>
        <v>domingo</v>
      </c>
      <c r="P1233" s="6" t="n">
        <f aca="false">MONTH(M1233)</f>
        <v>2</v>
      </c>
      <c r="Q1233" s="26" t="str">
        <f aca="false">TEXT(M1233,"MMMM")</f>
        <v>febrero</v>
      </c>
    </row>
    <row r="1234" customFormat="false" ht="14.25" hidden="false" customHeight="false" outlineLevel="0" collapsed="false">
      <c r="A1234" s="1" t="n">
        <v>1</v>
      </c>
      <c r="B1234" s="1" t="s">
        <v>1951</v>
      </c>
      <c r="C1234" s="1" t="s">
        <v>38</v>
      </c>
      <c r="D1234" s="1" t="s">
        <v>1637</v>
      </c>
      <c r="E1234" s="2" t="n">
        <v>454172167</v>
      </c>
      <c r="F1234" s="21" t="s">
        <v>1637</v>
      </c>
      <c r="G1234" s="1" t="n">
        <v>454173272</v>
      </c>
      <c r="H1234" s="3" t="n">
        <f aca="false">SUM(I1234+J1234+K1234)</f>
        <v>2550</v>
      </c>
      <c r="I1234" s="1" t="n">
        <v>1850</v>
      </c>
      <c r="J1234" s="1" t="n">
        <v>0</v>
      </c>
      <c r="K1234" s="1" t="n">
        <v>700</v>
      </c>
      <c r="L1234" s="4" t="n">
        <v>2.579</v>
      </c>
      <c r="M1234" s="48" t="n">
        <v>46061</v>
      </c>
      <c r="N1234" s="33" t="n">
        <f aca="false">DAY(M1234)</f>
        <v>8</v>
      </c>
      <c r="O1234" s="33" t="str">
        <f aca="false">TEXT(M1234,"DDDD")</f>
        <v>domingo</v>
      </c>
      <c r="P1234" s="6" t="n">
        <f aca="false">MONTH(M1234)</f>
        <v>2</v>
      </c>
      <c r="Q1234" s="26" t="str">
        <f aca="false">TEXT(M1234,"MMMM")</f>
        <v>febrero</v>
      </c>
    </row>
    <row r="1235" customFormat="false" ht="14.25" hidden="false" customHeight="false" outlineLevel="0" collapsed="false">
      <c r="A1235" s="1" t="n">
        <v>1</v>
      </c>
      <c r="B1235" s="1" t="s">
        <v>1952</v>
      </c>
      <c r="C1235" s="1" t="s">
        <v>20</v>
      </c>
      <c r="D1235" s="1" t="s">
        <v>175</v>
      </c>
      <c r="E1235" s="2" t="n">
        <v>454304038</v>
      </c>
      <c r="F1235" s="21" t="s">
        <v>1953</v>
      </c>
      <c r="G1235" s="1" t="n">
        <v>454303839</v>
      </c>
      <c r="H1235" s="3" t="n">
        <f aca="false">SUM(I1235+J1235+K1235)</f>
        <v>2050</v>
      </c>
      <c r="I1235" s="1" t="n">
        <v>2050</v>
      </c>
      <c r="J1235" s="1" t="n">
        <v>0</v>
      </c>
      <c r="K1235" s="1" t="n">
        <v>0</v>
      </c>
      <c r="L1235" s="4" t="n">
        <v>1.64</v>
      </c>
      <c r="M1235" s="48" t="n">
        <v>46062</v>
      </c>
      <c r="N1235" s="33" t="n">
        <f aca="false">DAY(M1235)</f>
        <v>9</v>
      </c>
      <c r="O1235" s="33" t="str">
        <f aca="false">TEXT(M1235,"DDDD")</f>
        <v>lunes</v>
      </c>
      <c r="P1235" s="6" t="n">
        <f aca="false">MONTH(M1235)</f>
        <v>2</v>
      </c>
      <c r="Q1235" s="26" t="str">
        <f aca="false">TEXT(M1235,"MMMM")</f>
        <v>febrero</v>
      </c>
      <c r="R1235" s="21" t="s">
        <v>175</v>
      </c>
      <c r="S1235" s="1" t="n">
        <v>22288.5</v>
      </c>
    </row>
    <row r="1236" customFormat="false" ht="12" hidden="false" customHeight="true" outlineLevel="0" collapsed="false">
      <c r="A1236" s="1" t="n">
        <v>10</v>
      </c>
      <c r="B1236" s="1" t="s">
        <v>1954</v>
      </c>
      <c r="C1236" s="1" t="s">
        <v>38</v>
      </c>
      <c r="D1236" s="1" t="s">
        <v>1955</v>
      </c>
      <c r="E1236" s="2" t="n">
        <v>454450887</v>
      </c>
      <c r="F1236" s="21" t="s">
        <v>1955</v>
      </c>
      <c r="G1236" s="1" t="n">
        <v>454451388</v>
      </c>
      <c r="H1236" s="3" t="n">
        <f aca="false">SUM(I1236+J1236+K1236)</f>
        <v>6460</v>
      </c>
      <c r="I1236" s="1" t="n">
        <v>1800</v>
      </c>
      <c r="J1236" s="1" t="n">
        <v>0</v>
      </c>
      <c r="K1236" s="1" t="n">
        <v>4660</v>
      </c>
      <c r="L1236" s="4" t="n">
        <v>2.941</v>
      </c>
      <c r="M1236" s="48" t="n">
        <v>46063</v>
      </c>
      <c r="N1236" s="33" t="n">
        <f aca="false">DAY(M1236)</f>
        <v>10</v>
      </c>
      <c r="O1236" s="33" t="str">
        <f aca="false">TEXT(M1236,"DDDD")</f>
        <v>martes</v>
      </c>
      <c r="P1236" s="6" t="n">
        <f aca="false">MONTH(M1236)</f>
        <v>2</v>
      </c>
      <c r="Q1236" s="26" t="str">
        <f aca="false">TEXT(M1236,"MMMM")</f>
        <v>febrero</v>
      </c>
    </row>
    <row r="1237" customFormat="false" ht="14.25" hidden="false" customHeight="false" outlineLevel="0" collapsed="false">
      <c r="A1237" s="1" t="n">
        <v>9</v>
      </c>
      <c r="B1237" s="1" t="s">
        <v>1956</v>
      </c>
      <c r="C1237" s="1" t="s">
        <v>20</v>
      </c>
      <c r="D1237" s="1" t="s">
        <v>1957</v>
      </c>
      <c r="E1237" s="2" t="n">
        <v>454448727</v>
      </c>
      <c r="H1237" s="3" t="n">
        <f aca="false">SUM(I1237+J1237+K1237)</f>
        <v>2300</v>
      </c>
      <c r="I1237" s="1" t="n">
        <v>1300</v>
      </c>
      <c r="J1237" s="1" t="n">
        <v>0</v>
      </c>
      <c r="K1237" s="1" t="n">
        <v>1000</v>
      </c>
      <c r="L1237" s="4" t="n">
        <v>2.548</v>
      </c>
      <c r="M1237" s="48" t="n">
        <v>46063</v>
      </c>
      <c r="N1237" s="33" t="n">
        <f aca="false">DAY(M1237)</f>
        <v>10</v>
      </c>
      <c r="O1237" s="33" t="str">
        <f aca="false">TEXT(M1237,"DDDD")</f>
        <v>martes</v>
      </c>
      <c r="P1237" s="6" t="n">
        <f aca="false">MONTH(M1237)</f>
        <v>2</v>
      </c>
      <c r="Q1237" s="26" t="str">
        <f aca="false">TEXT(M1237,"MMMM")</f>
        <v>febrero</v>
      </c>
    </row>
    <row r="1238" customFormat="false" ht="14.25" hidden="false" customHeight="false" outlineLevel="0" collapsed="false">
      <c r="A1238" s="1" t="n">
        <v>9</v>
      </c>
      <c r="B1238" s="1" t="s">
        <v>1958</v>
      </c>
      <c r="C1238" s="1" t="s">
        <v>38</v>
      </c>
      <c r="D1238" s="1" t="s">
        <v>1959</v>
      </c>
      <c r="E1238" s="2" t="n">
        <v>454444614</v>
      </c>
      <c r="H1238" s="3" t="n">
        <f aca="false">SUM(I1238+J1238+K1238)</f>
        <v>1700</v>
      </c>
      <c r="I1238" s="1" t="n">
        <v>1700</v>
      </c>
      <c r="J1238" s="1" t="n">
        <v>0</v>
      </c>
      <c r="K1238" s="1" t="n">
        <v>0</v>
      </c>
      <c r="L1238" s="4" t="n">
        <v>3.065</v>
      </c>
      <c r="M1238" s="48" t="n">
        <v>46063</v>
      </c>
      <c r="N1238" s="33" t="n">
        <f aca="false">DAY(M1238)</f>
        <v>10</v>
      </c>
      <c r="O1238" s="33" t="str">
        <f aca="false">TEXT(M1238,"DDDD")</f>
        <v>martes</v>
      </c>
      <c r="P1238" s="6" t="n">
        <f aca="false">MONTH(M1238)</f>
        <v>2</v>
      </c>
      <c r="Q1238" s="26" t="str">
        <f aca="false">TEXT(M1238,"MMMM")</f>
        <v>febrero</v>
      </c>
    </row>
    <row r="1239" customFormat="false" ht="14.25" hidden="false" customHeight="false" outlineLevel="0" collapsed="false">
      <c r="A1239" s="1" t="n">
        <v>9</v>
      </c>
      <c r="B1239" s="1" t="s">
        <v>1960</v>
      </c>
      <c r="C1239" s="1" t="s">
        <v>38</v>
      </c>
      <c r="D1239" s="1" t="s">
        <v>1961</v>
      </c>
      <c r="E1239" s="2" t="n">
        <v>454445007</v>
      </c>
      <c r="H1239" s="3" t="n">
        <f aca="false">SUM(I1239+J1239+K1239)</f>
        <v>1950</v>
      </c>
      <c r="I1239" s="1" t="n">
        <v>1950</v>
      </c>
      <c r="J1239" s="1" t="n">
        <v>0</v>
      </c>
      <c r="K1239" s="1" t="n">
        <v>0</v>
      </c>
      <c r="L1239" s="4" t="n">
        <v>3.268</v>
      </c>
      <c r="M1239" s="48" t="n">
        <v>46063</v>
      </c>
      <c r="N1239" s="33" t="n">
        <f aca="false">DAY(M1239)</f>
        <v>10</v>
      </c>
      <c r="O1239" s="33" t="str">
        <f aca="false">TEXT(M1239,"DDDD")</f>
        <v>martes</v>
      </c>
      <c r="P1239" s="6" t="n">
        <f aca="false">MONTH(M1239)</f>
        <v>2</v>
      </c>
      <c r="Q1239" s="26" t="str">
        <f aca="false">TEXT(M1239,"MMMM")</f>
        <v>febrero</v>
      </c>
      <c r="R1239" s="21" t="s">
        <v>1961</v>
      </c>
      <c r="S1239" s="1" t="n">
        <v>23520.36</v>
      </c>
    </row>
    <row r="1240" customFormat="false" ht="14.25" hidden="false" customHeight="false" outlineLevel="0" collapsed="false">
      <c r="A1240" s="1" t="n">
        <v>9</v>
      </c>
      <c r="B1240" s="1" t="s">
        <v>999</v>
      </c>
      <c r="C1240" s="1" t="s">
        <v>20</v>
      </c>
      <c r="D1240" s="1" t="s">
        <v>96</v>
      </c>
      <c r="E1240" s="2" t="n">
        <v>454442415</v>
      </c>
      <c r="H1240" s="3" t="n">
        <f aca="false">SUM(I1240+J1240+K1240)</f>
        <v>1400</v>
      </c>
      <c r="I1240" s="1" t="n">
        <v>1200</v>
      </c>
      <c r="J1240" s="1" t="n">
        <v>0</v>
      </c>
      <c r="K1240" s="1" t="n">
        <v>200</v>
      </c>
      <c r="L1240" s="4" t="n">
        <v>1.158</v>
      </c>
      <c r="M1240" s="48" t="n">
        <v>46063</v>
      </c>
      <c r="N1240" s="33" t="n">
        <f aca="false">DAY(M1240)</f>
        <v>10</v>
      </c>
      <c r="O1240" s="33" t="str">
        <f aca="false">TEXT(M1240,"DDDD")</f>
        <v>martes</v>
      </c>
      <c r="P1240" s="6" t="n">
        <f aca="false">MONTH(M1240)</f>
        <v>2</v>
      </c>
      <c r="Q1240" s="26" t="str">
        <f aca="false">TEXT(M1240,"MMMM")</f>
        <v>febrero</v>
      </c>
    </row>
    <row r="1241" customFormat="false" ht="14.25" hidden="false" customHeight="false" outlineLevel="0" collapsed="false">
      <c r="A1241" s="1" t="n">
        <v>11</v>
      </c>
      <c r="B1241" s="1" t="s">
        <v>985</v>
      </c>
      <c r="C1241" s="1" t="s">
        <v>20</v>
      </c>
      <c r="D1241" s="1" t="s">
        <v>1962</v>
      </c>
      <c r="E1241" s="2" t="n">
        <v>454573515</v>
      </c>
      <c r="H1241" s="3" t="n">
        <f aca="false">SUM(I1241+J1241+K1241)</f>
        <v>7160</v>
      </c>
      <c r="I1241" s="1" t="n">
        <v>2200</v>
      </c>
      <c r="J1241" s="1" t="n">
        <v>0</v>
      </c>
      <c r="K1241" s="1" t="n">
        <v>4960</v>
      </c>
      <c r="L1241" s="4" t="n">
        <v>2.572</v>
      </c>
      <c r="M1241" s="48" t="n">
        <v>46064</v>
      </c>
      <c r="N1241" s="33" t="n">
        <f aca="false">DAY(M1241)</f>
        <v>11</v>
      </c>
      <c r="O1241" s="33" t="str">
        <f aca="false">TEXT(M1241,"DDDD")</f>
        <v>miércoles</v>
      </c>
      <c r="P1241" s="6" t="n">
        <f aca="false">MONTH(M1241)</f>
        <v>2</v>
      </c>
      <c r="Q1241" s="26" t="str">
        <f aca="false">TEXT(M1241,"MMMM")</f>
        <v>febrero</v>
      </c>
      <c r="R1241" s="21" t="s">
        <v>1962</v>
      </c>
      <c r="S1241" s="1" t="n">
        <v>40092</v>
      </c>
    </row>
    <row r="1242" customFormat="false" ht="14.25" hidden="false" customHeight="false" outlineLevel="0" collapsed="false">
      <c r="A1242" s="1" t="n">
        <v>11</v>
      </c>
      <c r="B1242" s="1" t="s">
        <v>1963</v>
      </c>
      <c r="C1242" s="1" t="s">
        <v>20</v>
      </c>
      <c r="D1242" s="1" t="s">
        <v>1221</v>
      </c>
      <c r="E1242" s="2" t="n">
        <v>454565597</v>
      </c>
      <c r="H1242" s="3" t="n">
        <f aca="false">SUM(I1242+J1242+K1242)</f>
        <v>4180</v>
      </c>
      <c r="I1242" s="1" t="n">
        <v>1800</v>
      </c>
      <c r="J1242" s="1" t="n">
        <v>0</v>
      </c>
      <c r="K1242" s="1" t="n">
        <v>2380</v>
      </c>
      <c r="L1242" s="4" t="n">
        <v>2.478</v>
      </c>
      <c r="M1242" s="48" t="n">
        <v>46064</v>
      </c>
      <c r="N1242" s="33" t="n">
        <f aca="false">DAY(M1242)</f>
        <v>11</v>
      </c>
      <c r="O1242" s="33" t="str">
        <f aca="false">TEXT(M1242,"DDDD")</f>
        <v>miércoles</v>
      </c>
      <c r="P1242" s="6" t="n">
        <f aca="false">MONTH(M1242)</f>
        <v>2</v>
      </c>
      <c r="Q1242" s="26" t="str">
        <f aca="false">TEXT(M1242,"MMMM")</f>
        <v>febrero</v>
      </c>
    </row>
    <row r="1243" customFormat="false" ht="14.25" hidden="false" customHeight="false" outlineLevel="0" collapsed="false">
      <c r="A1243" s="1" t="n">
        <v>11</v>
      </c>
      <c r="B1243" s="1" t="s">
        <v>1880</v>
      </c>
      <c r="C1243" s="1" t="s">
        <v>38</v>
      </c>
      <c r="D1243" s="1" t="s">
        <v>512</v>
      </c>
      <c r="E1243" s="2" t="n">
        <v>454560532</v>
      </c>
      <c r="F1243" s="21" t="s">
        <v>512</v>
      </c>
      <c r="G1243" s="1" t="n">
        <v>454561368</v>
      </c>
      <c r="H1243" s="3" t="n">
        <f aca="false">SUM(I1243+J1243+K1243)</f>
        <v>4180</v>
      </c>
      <c r="I1243" s="1" t="n">
        <v>3600</v>
      </c>
      <c r="J1243" s="1" t="n">
        <v>0</v>
      </c>
      <c r="K1243" s="1" t="n">
        <v>580</v>
      </c>
      <c r="L1243" s="4" t="n">
        <v>2.938</v>
      </c>
      <c r="M1243" s="48" t="n">
        <v>46064</v>
      </c>
      <c r="N1243" s="33" t="n">
        <f aca="false">DAY(M1243)</f>
        <v>11</v>
      </c>
      <c r="O1243" s="33" t="str">
        <f aca="false">TEXT(M1243,"DDDD")</f>
        <v>miércoles</v>
      </c>
      <c r="P1243" s="6" t="n">
        <f aca="false">MONTH(M1243)</f>
        <v>2</v>
      </c>
      <c r="Q1243" s="26" t="str">
        <f aca="false">TEXT(M1243,"MMMM")</f>
        <v>febrero</v>
      </c>
    </row>
    <row r="1244" customFormat="false" ht="14.25" hidden="false" customHeight="false" outlineLevel="0" collapsed="false">
      <c r="A1244" s="1" t="n">
        <v>10</v>
      </c>
      <c r="B1244" s="1" t="s">
        <v>1964</v>
      </c>
      <c r="C1244" s="1" t="s">
        <v>38</v>
      </c>
      <c r="D1244" s="1" t="s">
        <v>65</v>
      </c>
      <c r="E1244" s="2" t="n">
        <v>454556076</v>
      </c>
      <c r="H1244" s="3" t="n">
        <f aca="false">SUM(I1244+J1244+K1244)</f>
        <v>4550</v>
      </c>
      <c r="I1244" s="1" t="n">
        <v>2550</v>
      </c>
      <c r="J1244" s="1" t="n">
        <v>0</v>
      </c>
      <c r="K1244" s="1" t="n">
        <v>2000</v>
      </c>
      <c r="L1244" s="4" t="n">
        <v>0.871</v>
      </c>
      <c r="M1244" s="48" t="n">
        <v>46064</v>
      </c>
      <c r="N1244" s="33" t="n">
        <f aca="false">DAY(M1244)</f>
        <v>11</v>
      </c>
      <c r="O1244" s="33" t="str">
        <f aca="false">TEXT(M1244,"DDDD")</f>
        <v>miércoles</v>
      </c>
      <c r="P1244" s="6" t="n">
        <f aca="false">MONTH(M1244)</f>
        <v>2</v>
      </c>
      <c r="Q1244" s="26" t="str">
        <f aca="false">TEXT(M1244,"MMMM")</f>
        <v>febrero</v>
      </c>
    </row>
    <row r="1245" customFormat="false" ht="14.25" hidden="false" customHeight="false" outlineLevel="0" collapsed="false">
      <c r="A1245" s="1" t="n">
        <v>10</v>
      </c>
      <c r="B1245" s="1" t="s">
        <v>1965</v>
      </c>
      <c r="C1245" s="1" t="s">
        <v>20</v>
      </c>
      <c r="D1245" s="1" t="s">
        <v>464</v>
      </c>
      <c r="E1245" s="2" t="n">
        <v>454551758</v>
      </c>
      <c r="H1245" s="3" t="n">
        <f aca="false">SUM(I1245+J1245+K1245)</f>
        <v>1400</v>
      </c>
      <c r="I1245" s="1" t="n">
        <v>1200</v>
      </c>
      <c r="J1245" s="1" t="n">
        <v>0</v>
      </c>
      <c r="K1245" s="1" t="n">
        <v>200</v>
      </c>
      <c r="L1245" s="4" t="n">
        <v>0.784</v>
      </c>
      <c r="M1245" s="48" t="n">
        <v>46064</v>
      </c>
      <c r="N1245" s="33" t="n">
        <f aca="false">DAY(M1245)</f>
        <v>11</v>
      </c>
      <c r="O1245" s="33" t="str">
        <f aca="false">TEXT(M1245,"DDDD")</f>
        <v>miércoles</v>
      </c>
      <c r="P1245" s="6" t="n">
        <f aca="false">MONTH(M1245)</f>
        <v>2</v>
      </c>
      <c r="Q1245" s="26" t="str">
        <f aca="false">TEXT(M1245,"MMMM")</f>
        <v>febrero</v>
      </c>
    </row>
    <row r="1246" customFormat="false" ht="14.25" hidden="false" customHeight="false" outlineLevel="0" collapsed="false">
      <c r="A1246" s="1" t="n">
        <v>9</v>
      </c>
      <c r="B1246" s="1" t="s">
        <v>1007</v>
      </c>
      <c r="C1246" s="1" t="s">
        <v>20</v>
      </c>
      <c r="D1246" s="1" t="s">
        <v>1848</v>
      </c>
      <c r="E1246" s="2" t="n">
        <v>454549041</v>
      </c>
      <c r="F1246" s="21" t="s">
        <v>1848</v>
      </c>
      <c r="G1246" s="1" t="n">
        <v>454549711</v>
      </c>
      <c r="H1246" s="3" t="n">
        <f aca="false">SUM(I1246+J1246+K1246)</f>
        <v>2260</v>
      </c>
      <c r="I1246" s="1" t="n">
        <v>1800</v>
      </c>
      <c r="J1246" s="1" t="n">
        <v>0</v>
      </c>
      <c r="K1246" s="1" t="n">
        <v>460</v>
      </c>
      <c r="L1246" s="4" t="n">
        <v>2.625</v>
      </c>
      <c r="M1246" s="48" t="n">
        <v>46064</v>
      </c>
      <c r="N1246" s="33" t="n">
        <f aca="false">DAY(M1246)</f>
        <v>11</v>
      </c>
      <c r="O1246" s="33" t="str">
        <f aca="false">TEXT(M1246,"DDDD")</f>
        <v>miércoles</v>
      </c>
      <c r="P1246" s="6" t="n">
        <f aca="false">MONTH(M1246)</f>
        <v>2</v>
      </c>
      <c r="Q1246" s="26" t="str">
        <f aca="false">TEXT(M1246,"MMMM")</f>
        <v>febrero</v>
      </c>
    </row>
    <row r="1247" customFormat="false" ht="14.25" hidden="false" customHeight="false" outlineLevel="0" collapsed="false">
      <c r="A1247" s="1" t="n">
        <v>12</v>
      </c>
      <c r="B1247" s="1" t="s">
        <v>1800</v>
      </c>
      <c r="C1247" s="1" t="s">
        <v>20</v>
      </c>
      <c r="D1247" s="1" t="s">
        <v>1966</v>
      </c>
      <c r="E1247" s="2" t="n">
        <v>454705005</v>
      </c>
      <c r="H1247" s="3" t="n">
        <f aca="false">SUM(I1247+J1247+K1247)</f>
        <v>3090</v>
      </c>
      <c r="I1247" s="1" t="n">
        <v>1850</v>
      </c>
      <c r="J1247" s="1" t="n">
        <v>0</v>
      </c>
      <c r="K1247" s="1" t="n">
        <v>1240</v>
      </c>
      <c r="L1247" s="4" t="n">
        <v>2.763</v>
      </c>
      <c r="M1247" s="48" t="n">
        <v>46065</v>
      </c>
      <c r="N1247" s="33" t="n">
        <f aca="false">DAY(M1247)</f>
        <v>12</v>
      </c>
      <c r="O1247" s="33" t="str">
        <f aca="false">TEXT(M1247,"DDDD")</f>
        <v>jueves</v>
      </c>
      <c r="P1247" s="6" t="n">
        <f aca="false">MONTH(M1247)</f>
        <v>2</v>
      </c>
      <c r="Q1247" s="26" t="str">
        <f aca="false">TEXT(M1247,"MMMM")</f>
        <v>febrero</v>
      </c>
    </row>
    <row r="1248" customFormat="false" ht="14.25" hidden="false" customHeight="false" outlineLevel="0" collapsed="false">
      <c r="A1248" s="1" t="n">
        <v>12</v>
      </c>
      <c r="B1248" s="1" t="s">
        <v>333</v>
      </c>
      <c r="C1248" s="1" t="s">
        <v>20</v>
      </c>
      <c r="D1248" s="1" t="s">
        <v>1858</v>
      </c>
      <c r="E1248" s="2" t="n">
        <v>454699526</v>
      </c>
      <c r="H1248" s="3" t="n">
        <f aca="false">SUM(I1248+J1248+K1248)</f>
        <v>3110</v>
      </c>
      <c r="I1248" s="1" t="n">
        <v>1550</v>
      </c>
      <c r="J1248" s="1" t="n">
        <v>0</v>
      </c>
      <c r="K1248" s="1" t="n">
        <v>1560</v>
      </c>
      <c r="L1248" s="4" t="n">
        <v>2.771</v>
      </c>
      <c r="M1248" s="48" t="n">
        <v>46065</v>
      </c>
      <c r="N1248" s="33" t="n">
        <f aca="false">DAY(M1248)</f>
        <v>12</v>
      </c>
      <c r="O1248" s="33" t="str">
        <f aca="false">TEXT(M1248,"DDDD")</f>
        <v>jueves</v>
      </c>
      <c r="P1248" s="6" t="n">
        <f aca="false">MONTH(M1248)</f>
        <v>2</v>
      </c>
      <c r="Q1248" s="26" t="str">
        <f aca="false">TEXT(M1248,"MMMM")</f>
        <v>febrero</v>
      </c>
    </row>
    <row r="1249" customFormat="false" ht="14.25" hidden="false" customHeight="false" outlineLevel="0" collapsed="false">
      <c r="A1249" s="1" t="n">
        <v>12</v>
      </c>
      <c r="B1249" s="1" t="s">
        <v>743</v>
      </c>
      <c r="C1249" s="1" t="s">
        <v>20</v>
      </c>
      <c r="D1249" s="1" t="s">
        <v>1967</v>
      </c>
      <c r="E1249" s="2" t="n">
        <v>454691471</v>
      </c>
      <c r="F1249" s="21" t="s">
        <v>1967</v>
      </c>
      <c r="G1249" s="1" t="n">
        <v>454693314</v>
      </c>
      <c r="H1249" s="3" t="n">
        <f aca="false">SUM(I1249+J1249+K1249)</f>
        <v>7180</v>
      </c>
      <c r="I1249" s="1" t="n">
        <v>2400</v>
      </c>
      <c r="J1249" s="1" t="n">
        <v>100</v>
      </c>
      <c r="K1249" s="1" t="n">
        <v>4680</v>
      </c>
      <c r="L1249" s="4" t="n">
        <v>3.065</v>
      </c>
      <c r="M1249" s="48" t="n">
        <v>46065</v>
      </c>
      <c r="N1249" s="33" t="n">
        <f aca="false">DAY(M1249)</f>
        <v>12</v>
      </c>
      <c r="O1249" s="33" t="str">
        <f aca="false">TEXT(M1249,"DDDD")</f>
        <v>jueves</v>
      </c>
      <c r="P1249" s="6" t="n">
        <f aca="false">MONTH(M1249)</f>
        <v>2</v>
      </c>
      <c r="Q1249" s="26" t="str">
        <f aca="false">TEXT(M1249,"MMMM")</f>
        <v>febrero</v>
      </c>
    </row>
    <row r="1250" customFormat="false" ht="14.25" hidden="false" customHeight="false" outlineLevel="0" collapsed="false">
      <c r="A1250" s="1" t="n">
        <v>11</v>
      </c>
      <c r="B1250" s="1" t="s">
        <v>315</v>
      </c>
      <c r="C1250" s="1" t="s">
        <v>20</v>
      </c>
      <c r="D1250" s="1" t="s">
        <v>1409</v>
      </c>
      <c r="E1250" s="2" t="n">
        <v>454685735</v>
      </c>
      <c r="H1250" s="3" t="n">
        <f aca="false">SUM(I1250+J1250+K1250)</f>
        <v>3350</v>
      </c>
      <c r="I1250" s="1" t="n">
        <v>3250</v>
      </c>
      <c r="J1250" s="1" t="n">
        <v>100</v>
      </c>
      <c r="K1250" s="1" t="n">
        <v>0</v>
      </c>
      <c r="L1250" s="4" t="n">
        <v>3.182</v>
      </c>
      <c r="M1250" s="48" t="n">
        <v>46065</v>
      </c>
      <c r="N1250" s="33" t="n">
        <f aca="false">DAY(M1250)</f>
        <v>12</v>
      </c>
      <c r="O1250" s="33" t="str">
        <f aca="false">TEXT(M1250,"DDDD")</f>
        <v>jueves</v>
      </c>
      <c r="P1250" s="6" t="n">
        <f aca="false">MONTH(M1250)</f>
        <v>2</v>
      </c>
      <c r="Q1250" s="26" t="str">
        <f aca="false">TEXT(M1250,"MMMM")</f>
        <v>febrero</v>
      </c>
    </row>
    <row r="1251" customFormat="false" ht="14.25" hidden="false" customHeight="false" outlineLevel="0" collapsed="false">
      <c r="A1251" s="1" t="n">
        <v>11</v>
      </c>
      <c r="B1251" s="1" t="s">
        <v>951</v>
      </c>
      <c r="C1251" s="1" t="s">
        <v>20</v>
      </c>
      <c r="D1251" s="1" t="s">
        <v>526</v>
      </c>
      <c r="E1251" s="2" t="n">
        <v>454672006</v>
      </c>
      <c r="F1251" s="21" t="s">
        <v>1483</v>
      </c>
      <c r="G1251" s="1" t="n">
        <v>454674684</v>
      </c>
      <c r="H1251" s="3" t="n">
        <f aca="false">SUM(I1251+J1251+K1251)</f>
        <v>5460</v>
      </c>
      <c r="I1251" s="1" t="n">
        <v>2900</v>
      </c>
      <c r="J1251" s="1" t="n">
        <v>200</v>
      </c>
      <c r="K1251" s="1" t="n">
        <v>2360</v>
      </c>
      <c r="L1251" s="4" t="n">
        <v>2.489</v>
      </c>
      <c r="M1251" s="48" t="n">
        <v>46065</v>
      </c>
      <c r="N1251" s="33" t="n">
        <f aca="false">DAY(M1251)</f>
        <v>12</v>
      </c>
      <c r="O1251" s="33" t="str">
        <f aca="false">TEXT(M1251,"DDDD")</f>
        <v>jueves</v>
      </c>
      <c r="P1251" s="6" t="n">
        <f aca="false">MONTH(M1251)</f>
        <v>2</v>
      </c>
      <c r="Q1251" s="26" t="str">
        <f aca="false">TEXT(M1251,"MMMM")</f>
        <v>febrero</v>
      </c>
    </row>
    <row r="1252" customFormat="false" ht="14.25" hidden="false" customHeight="false" outlineLevel="0" collapsed="false">
      <c r="A1252" s="1" t="n">
        <v>10</v>
      </c>
      <c r="B1252" s="1" t="s">
        <v>1898</v>
      </c>
      <c r="C1252" s="1" t="s">
        <v>20</v>
      </c>
      <c r="D1252" s="1" t="s">
        <v>784</v>
      </c>
      <c r="E1252" s="2" t="n">
        <v>454667829</v>
      </c>
      <c r="H1252" s="3" t="n">
        <f aca="false">SUM(I1252+J1252+K1252)</f>
        <v>3000</v>
      </c>
      <c r="I1252" s="1" t="n">
        <v>1700</v>
      </c>
      <c r="J1252" s="1" t="n">
        <v>100</v>
      </c>
      <c r="K1252" s="1" t="n">
        <v>1200</v>
      </c>
      <c r="L1252" s="4" t="n">
        <v>2.426</v>
      </c>
      <c r="M1252" s="48" t="n">
        <v>46065</v>
      </c>
      <c r="N1252" s="33" t="n">
        <f aca="false">DAY(M1252)</f>
        <v>12</v>
      </c>
      <c r="O1252" s="33" t="str">
        <f aca="false">TEXT(M1252,"DDDD")</f>
        <v>jueves</v>
      </c>
      <c r="P1252" s="6" t="n">
        <f aca="false">MONTH(M1252)</f>
        <v>2</v>
      </c>
      <c r="Q1252" s="26" t="str">
        <f aca="false">TEXT(M1252,"MMMM")</f>
        <v>febrero</v>
      </c>
    </row>
    <row r="1253" customFormat="false" ht="14.25" hidden="false" customHeight="false" outlineLevel="0" collapsed="false">
      <c r="A1253" s="1" t="n">
        <v>10</v>
      </c>
      <c r="B1253" s="1" t="s">
        <v>1939</v>
      </c>
      <c r="C1253" s="1" t="s">
        <v>20</v>
      </c>
      <c r="D1253" s="1" t="s">
        <v>1968</v>
      </c>
      <c r="E1253" s="2" t="n">
        <v>454659740</v>
      </c>
      <c r="H1253" s="3" t="n">
        <f aca="false">SUM(I1253+J1253+K1253)</f>
        <v>3610</v>
      </c>
      <c r="I1253" s="1" t="n">
        <v>1450</v>
      </c>
      <c r="J1253" s="1" t="n">
        <v>100</v>
      </c>
      <c r="K1253" s="1" t="n">
        <v>2060</v>
      </c>
      <c r="L1253" s="4" t="n">
        <v>3.305</v>
      </c>
      <c r="M1253" s="48" t="n">
        <v>46065</v>
      </c>
      <c r="N1253" s="33" t="n">
        <f aca="false">DAY(M1253)</f>
        <v>12</v>
      </c>
      <c r="O1253" s="33" t="str">
        <f aca="false">TEXT(M1253,"DDDD")</f>
        <v>jueves</v>
      </c>
      <c r="P1253" s="6" t="n">
        <f aca="false">MONTH(M1253)</f>
        <v>2</v>
      </c>
      <c r="Q1253" s="26" t="str">
        <f aca="false">TEXT(M1253,"MMMM")</f>
        <v>febrero</v>
      </c>
    </row>
    <row r="1254" customFormat="false" ht="14.25" hidden="false" customHeight="false" outlineLevel="0" collapsed="false">
      <c r="A1254" s="1" t="n">
        <v>9</v>
      </c>
      <c r="B1254" s="1" t="s">
        <v>1969</v>
      </c>
      <c r="C1254" s="1" t="s">
        <v>38</v>
      </c>
      <c r="D1254" s="1" t="s">
        <v>1970</v>
      </c>
      <c r="E1254" s="2" t="n">
        <v>454652934</v>
      </c>
      <c r="F1254" s="21" t="s">
        <v>1970</v>
      </c>
      <c r="G1254" s="1" t="n">
        <v>454653851</v>
      </c>
      <c r="H1254" s="3" t="n">
        <f aca="false">SUM(I1254+J1254+K1254)</f>
        <v>7900</v>
      </c>
      <c r="I1254" s="1" t="n">
        <v>1800</v>
      </c>
      <c r="J1254" s="1" t="n">
        <v>0</v>
      </c>
      <c r="K1254" s="1" t="n">
        <v>6100</v>
      </c>
      <c r="L1254" s="4" t="n">
        <v>3.498</v>
      </c>
      <c r="M1254" s="48" t="n">
        <v>46065</v>
      </c>
      <c r="N1254" s="33" t="n">
        <f aca="false">DAY(M1254)</f>
        <v>12</v>
      </c>
      <c r="O1254" s="33" t="str">
        <f aca="false">TEXT(M1254,"DDDD")</f>
        <v>jueves</v>
      </c>
      <c r="P1254" s="6" t="n">
        <f aca="false">MONTH(M1254)</f>
        <v>2</v>
      </c>
      <c r="Q1254" s="26" t="str">
        <f aca="false">TEXT(M1254,"MMMM")</f>
        <v>febrero</v>
      </c>
    </row>
    <row r="1255" customFormat="false" ht="14.25" hidden="false" customHeight="false" outlineLevel="0" collapsed="false">
      <c r="A1255" s="1" t="n">
        <v>9</v>
      </c>
      <c r="B1255" s="1" t="s">
        <v>1971</v>
      </c>
      <c r="C1255" s="1" t="s">
        <v>20</v>
      </c>
      <c r="D1255" s="1" t="s">
        <v>1972</v>
      </c>
      <c r="E1255" s="2" t="n">
        <v>454650220</v>
      </c>
      <c r="H1255" s="3" t="n">
        <f aca="false">SUM(I1255+J1255+K1255)</f>
        <v>3200</v>
      </c>
      <c r="I1255" s="1" t="n">
        <v>2800</v>
      </c>
      <c r="J1255" s="1" t="n">
        <v>0</v>
      </c>
      <c r="K1255" s="1" t="n">
        <v>400</v>
      </c>
      <c r="L1255" s="4" t="n">
        <v>2.297</v>
      </c>
      <c r="M1255" s="48" t="n">
        <v>46065</v>
      </c>
      <c r="N1255" s="33" t="n">
        <f aca="false">DAY(M1255)</f>
        <v>12</v>
      </c>
      <c r="O1255" s="33" t="str">
        <f aca="false">TEXT(M1255,"DDDD")</f>
        <v>jueves</v>
      </c>
      <c r="P1255" s="6" t="n">
        <f aca="false">MONTH(M1255)</f>
        <v>2</v>
      </c>
      <c r="Q1255" s="26" t="str">
        <f aca="false">TEXT(M1255,"MMMM")</f>
        <v>febrero</v>
      </c>
    </row>
    <row r="1256" customFormat="false" ht="14.25" hidden="false" customHeight="false" outlineLevel="0" collapsed="false">
      <c r="A1256" s="1" t="n">
        <v>8</v>
      </c>
      <c r="B1256" s="1" t="s">
        <v>1973</v>
      </c>
      <c r="C1256" s="1" t="s">
        <v>20</v>
      </c>
      <c r="D1256" s="1" t="s">
        <v>57</v>
      </c>
      <c r="E1256" s="2" t="n">
        <v>454648790</v>
      </c>
      <c r="F1256" s="21" t="s">
        <v>1808</v>
      </c>
      <c r="G1256" s="1" t="n">
        <v>454648164</v>
      </c>
      <c r="H1256" s="3" t="n">
        <f aca="false">SUM(I1256+J1256+K1256)</f>
        <v>6070</v>
      </c>
      <c r="I1256" s="1" t="n">
        <v>2250</v>
      </c>
      <c r="J1256" s="1" t="n">
        <v>0</v>
      </c>
      <c r="K1256" s="1" t="n">
        <v>3820</v>
      </c>
      <c r="L1256" s="4" t="n">
        <v>2.586</v>
      </c>
      <c r="M1256" s="48" t="n">
        <v>46065</v>
      </c>
      <c r="N1256" s="33" t="n">
        <f aca="false">DAY(M1256)</f>
        <v>12</v>
      </c>
      <c r="O1256" s="33" t="str">
        <f aca="false">TEXT(M1256,"DDDD")</f>
        <v>jueves</v>
      </c>
      <c r="P1256" s="6" t="n">
        <f aca="false">MONTH(M1256)</f>
        <v>2</v>
      </c>
      <c r="Q1256" s="26" t="str">
        <f aca="false">TEXT(M1256,"MMMM")</f>
        <v>febrero</v>
      </c>
    </row>
    <row r="1257" customFormat="false" ht="14.25" hidden="false" customHeight="false" outlineLevel="0" collapsed="false">
      <c r="A1257" s="1" t="n">
        <v>8</v>
      </c>
      <c r="B1257" s="1" t="s">
        <v>1974</v>
      </c>
      <c r="C1257" s="1" t="s">
        <v>38</v>
      </c>
      <c r="D1257" s="1" t="s">
        <v>1975</v>
      </c>
      <c r="E1257" s="2" t="n">
        <v>454644747</v>
      </c>
      <c r="H1257" s="3" t="n">
        <f aca="false">SUM(I1257+J1257+K1257)</f>
        <v>2760</v>
      </c>
      <c r="I1257" s="1" t="n">
        <v>1200</v>
      </c>
      <c r="J1257" s="1" t="n">
        <v>0</v>
      </c>
      <c r="K1257" s="1" t="n">
        <v>1560</v>
      </c>
      <c r="L1257" s="4" t="n">
        <v>2.267</v>
      </c>
      <c r="M1257" s="48" t="n">
        <v>46065</v>
      </c>
      <c r="N1257" s="33" t="n">
        <f aca="false">DAY(M1257)</f>
        <v>12</v>
      </c>
      <c r="O1257" s="33" t="str">
        <f aca="false">TEXT(M1257,"DDDD")</f>
        <v>jueves</v>
      </c>
      <c r="P1257" s="6" t="n">
        <f aca="false">MONTH(M1257)</f>
        <v>2</v>
      </c>
      <c r="Q1257" s="26" t="str">
        <f aca="false">TEXT(M1257,"MMMM")</f>
        <v>febrero</v>
      </c>
    </row>
    <row r="1258" customFormat="false" ht="14.25" hidden="false" customHeight="false" outlineLevel="0" collapsed="false">
      <c r="A1258" s="1" t="n">
        <v>7</v>
      </c>
      <c r="B1258" s="1" t="s">
        <v>1976</v>
      </c>
      <c r="C1258" s="1" t="s">
        <v>20</v>
      </c>
      <c r="D1258" s="1" t="s">
        <v>1817</v>
      </c>
      <c r="E1258" s="2" t="n">
        <v>454630978</v>
      </c>
      <c r="F1258" s="21" t="s">
        <v>1977</v>
      </c>
      <c r="G1258" s="1" t="n">
        <v>454632051</v>
      </c>
      <c r="H1258" s="3" t="n">
        <f aca="false">SUM(I1258+J1258+K1258)</f>
        <v>6600</v>
      </c>
      <c r="I1258" s="1" t="n">
        <v>2600</v>
      </c>
      <c r="J1258" s="1" t="n">
        <v>0</v>
      </c>
      <c r="K1258" s="1" t="n">
        <v>4000</v>
      </c>
      <c r="L1258" s="4" t="n">
        <v>2.047</v>
      </c>
      <c r="M1258" s="48" t="n">
        <v>46065</v>
      </c>
      <c r="N1258" s="33" t="n">
        <f aca="false">DAY(M1258)</f>
        <v>12</v>
      </c>
      <c r="O1258" s="33" t="str">
        <f aca="false">TEXT(M1258,"DDDD")</f>
        <v>jueves</v>
      </c>
      <c r="P1258" s="6" t="n">
        <f aca="false">MONTH(M1258)</f>
        <v>2</v>
      </c>
      <c r="Q1258" s="26" t="str">
        <f aca="false">TEXT(M1258,"MMMM")</f>
        <v>febrero</v>
      </c>
    </row>
    <row r="1259" customFormat="false" ht="14.25" hidden="false" customHeight="false" outlineLevel="0" collapsed="false">
      <c r="A1259" s="1" t="n">
        <v>7</v>
      </c>
      <c r="B1259" s="1" t="s">
        <v>1978</v>
      </c>
      <c r="C1259" s="1" t="s">
        <v>20</v>
      </c>
      <c r="D1259" s="1" t="s">
        <v>1979</v>
      </c>
      <c r="E1259" s="2" t="n">
        <v>454625533</v>
      </c>
      <c r="H1259" s="3" t="n">
        <f aca="false">SUM(I1259+J1259+K1259)</f>
        <v>2300</v>
      </c>
      <c r="I1259" s="1" t="n">
        <v>1400</v>
      </c>
      <c r="J1259" s="1" t="n">
        <v>0</v>
      </c>
      <c r="K1259" s="1" t="n">
        <v>900</v>
      </c>
      <c r="L1259" s="4" t="n">
        <v>3.226</v>
      </c>
      <c r="M1259" s="48" t="n">
        <v>46065</v>
      </c>
      <c r="N1259" s="33" t="n">
        <f aca="false">DAY(M1259)</f>
        <v>12</v>
      </c>
      <c r="O1259" s="33" t="str">
        <f aca="false">TEXT(M1259,"DDDD")</f>
        <v>jueves</v>
      </c>
      <c r="P1259" s="6" t="n">
        <f aca="false">MONTH(M1259)</f>
        <v>2</v>
      </c>
      <c r="Q1259" s="26" t="str">
        <f aca="false">TEXT(M1259,"MMMM")</f>
        <v>febrero</v>
      </c>
    </row>
    <row r="1260" customFormat="false" ht="14.25" hidden="false" customHeight="false" outlineLevel="0" collapsed="false">
      <c r="A1260" s="1" t="n">
        <v>6</v>
      </c>
      <c r="B1260" s="1" t="s">
        <v>1980</v>
      </c>
      <c r="C1260" s="1" t="s">
        <v>20</v>
      </c>
      <c r="D1260" s="1" t="s">
        <v>1981</v>
      </c>
      <c r="E1260" s="2" t="n">
        <v>454623033</v>
      </c>
      <c r="H1260" s="3" t="n">
        <f aca="false">SUM(I1260+J1260+K1260)</f>
        <v>1810</v>
      </c>
      <c r="I1260" s="1" t="n">
        <v>1600</v>
      </c>
      <c r="J1260" s="1" t="n">
        <v>0</v>
      </c>
      <c r="K1260" s="1" t="n">
        <v>210</v>
      </c>
      <c r="L1260" s="4" t="n">
        <v>2.818</v>
      </c>
      <c r="M1260" s="48" t="n">
        <v>46065</v>
      </c>
      <c r="N1260" s="33" t="n">
        <f aca="false">DAY(M1260)</f>
        <v>12</v>
      </c>
      <c r="O1260" s="33" t="str">
        <f aca="false">TEXT(M1260,"DDDD")</f>
        <v>jueves</v>
      </c>
      <c r="P1260" s="6" t="n">
        <f aca="false">MONTH(M1260)</f>
        <v>2</v>
      </c>
      <c r="Q1260" s="26" t="str">
        <f aca="false">TEXT(M1260,"MMMM")</f>
        <v>febrero</v>
      </c>
    </row>
    <row r="1261" customFormat="false" ht="14.25" hidden="false" customHeight="false" outlineLevel="0" collapsed="false">
      <c r="A1261" s="1" t="n">
        <v>12</v>
      </c>
      <c r="B1261" s="1" t="s">
        <v>578</v>
      </c>
      <c r="C1261" s="1" t="s">
        <v>38</v>
      </c>
      <c r="D1261" s="1" t="s">
        <v>1438</v>
      </c>
      <c r="E1261" s="2" t="n">
        <v>454958616</v>
      </c>
      <c r="H1261" s="3" t="n">
        <f aca="false">SUM(I1261+J1261+K1261)</f>
        <v>1301</v>
      </c>
      <c r="I1261" s="1" t="n">
        <v>1200</v>
      </c>
      <c r="J1261" s="1" t="n">
        <v>100</v>
      </c>
      <c r="K1261" s="1" t="n">
        <v>1</v>
      </c>
      <c r="L1261" s="4" t="n">
        <v>0.476</v>
      </c>
      <c r="M1261" s="48" t="n">
        <v>46067</v>
      </c>
      <c r="N1261" s="33" t="n">
        <f aca="false">DAY(M1261)</f>
        <v>14</v>
      </c>
      <c r="O1261" s="33" t="str">
        <f aca="false">TEXT(M1261,"DDDD")</f>
        <v>sábado</v>
      </c>
      <c r="P1261" s="6" t="n">
        <f aca="false">MONTH(M1261)</f>
        <v>2</v>
      </c>
      <c r="Q1261" s="26" t="str">
        <f aca="false">TEXT(M1261,"MMMM")</f>
        <v>febrero</v>
      </c>
    </row>
    <row r="1262" customFormat="false" ht="14.25" hidden="false" customHeight="false" outlineLevel="0" collapsed="false">
      <c r="A1262" s="1" t="n">
        <v>12</v>
      </c>
      <c r="B1262" s="1" t="s">
        <v>1982</v>
      </c>
      <c r="C1262" s="1" t="s">
        <v>20</v>
      </c>
      <c r="D1262" s="1" t="s">
        <v>228</v>
      </c>
      <c r="E1262" s="2" t="n">
        <v>454950393</v>
      </c>
      <c r="H1262" s="3" t="n">
        <f aca="false">SUM(I1262+J1262+K1262)</f>
        <v>1800</v>
      </c>
      <c r="I1262" s="1" t="n">
        <v>1700</v>
      </c>
      <c r="J1262" s="1" t="n">
        <v>100</v>
      </c>
      <c r="K1262" s="1" t="n">
        <v>0</v>
      </c>
      <c r="L1262" s="4" t="n">
        <v>1.195</v>
      </c>
      <c r="M1262" s="48" t="n">
        <v>46067</v>
      </c>
      <c r="N1262" s="33" t="n">
        <f aca="false">DAY(M1262)</f>
        <v>14</v>
      </c>
      <c r="O1262" s="33" t="str">
        <f aca="false">TEXT(M1262,"DDDD")</f>
        <v>sábado</v>
      </c>
      <c r="P1262" s="6" t="n">
        <f aca="false">MONTH(M1262)</f>
        <v>2</v>
      </c>
      <c r="Q1262" s="26" t="str">
        <f aca="false">TEXT(M1262,"MMMM")</f>
        <v>febrero</v>
      </c>
    </row>
    <row r="1263" customFormat="false" ht="14.25" hidden="false" customHeight="false" outlineLevel="0" collapsed="false">
      <c r="A1263" s="1" t="n">
        <v>12</v>
      </c>
      <c r="B1263" s="1" t="s">
        <v>1983</v>
      </c>
      <c r="C1263" s="1" t="s">
        <v>20</v>
      </c>
      <c r="D1263" s="1" t="s">
        <v>1984</v>
      </c>
      <c r="E1263" s="2" t="n">
        <v>454940123</v>
      </c>
      <c r="H1263" s="3" t="n">
        <f aca="false">SUM(I1263+J1263+K1263)</f>
        <v>3150</v>
      </c>
      <c r="I1263" s="1" t="n">
        <v>2850</v>
      </c>
      <c r="J1263" s="1" t="n">
        <v>100</v>
      </c>
      <c r="K1263" s="1" t="n">
        <v>200</v>
      </c>
      <c r="L1263" s="4" t="n">
        <v>2.531</v>
      </c>
      <c r="M1263" s="48" t="n">
        <v>46067</v>
      </c>
      <c r="N1263" s="33" t="n">
        <f aca="false">DAY(M1263)</f>
        <v>14</v>
      </c>
      <c r="O1263" s="33" t="str">
        <f aca="false">TEXT(M1263,"DDDD")</f>
        <v>sábado</v>
      </c>
      <c r="P1263" s="6" t="n">
        <f aca="false">MONTH(M1263)</f>
        <v>2</v>
      </c>
      <c r="Q1263" s="26" t="str">
        <f aca="false">TEXT(M1263,"MMMM")</f>
        <v>febrero</v>
      </c>
    </row>
    <row r="1264" customFormat="false" ht="14.25" hidden="false" customHeight="false" outlineLevel="0" collapsed="false">
      <c r="A1264" s="1" t="n">
        <v>12</v>
      </c>
      <c r="B1264" s="1" t="s">
        <v>241</v>
      </c>
      <c r="C1264" s="1" t="s">
        <v>20</v>
      </c>
      <c r="D1264" s="1" t="s">
        <v>1985</v>
      </c>
      <c r="E1264" s="2" t="n">
        <v>454940818</v>
      </c>
      <c r="H1264" s="3" t="n">
        <f aca="false">SUM(I1264+J1264+K1264)</f>
        <v>2500</v>
      </c>
      <c r="I1264" s="1" t="n">
        <v>2400</v>
      </c>
      <c r="J1264" s="1" t="n">
        <v>100</v>
      </c>
      <c r="K1264" s="1" t="n">
        <v>0</v>
      </c>
      <c r="L1264" s="4" t="n">
        <v>1.279</v>
      </c>
      <c r="M1264" s="48" t="n">
        <v>46067</v>
      </c>
      <c r="N1264" s="33" t="n">
        <f aca="false">DAY(M1264)</f>
        <v>14</v>
      </c>
      <c r="O1264" s="33" t="str">
        <f aca="false">TEXT(M1264,"DDDD")</f>
        <v>sábado</v>
      </c>
      <c r="P1264" s="6" t="n">
        <f aca="false">MONTH(M1264)</f>
        <v>2</v>
      </c>
      <c r="Q1264" s="26" t="str">
        <f aca="false">TEXT(M1264,"MMMM")</f>
        <v>febrero</v>
      </c>
    </row>
    <row r="1265" customFormat="false" ht="14.25" hidden="false" customHeight="false" outlineLevel="0" collapsed="false">
      <c r="A1265" s="1" t="n">
        <v>11</v>
      </c>
      <c r="B1265" s="1" t="s">
        <v>726</v>
      </c>
      <c r="C1265" s="1" t="s">
        <v>20</v>
      </c>
      <c r="D1265" s="1" t="s">
        <v>1986</v>
      </c>
      <c r="E1265" s="2" t="n">
        <v>454932724</v>
      </c>
      <c r="H1265" s="3" t="n">
        <f aca="false">SUM(I1265+J1265+K1265)</f>
        <v>4950</v>
      </c>
      <c r="I1265" s="1" t="n">
        <v>4850</v>
      </c>
      <c r="J1265" s="1" t="n">
        <v>100</v>
      </c>
      <c r="K1265" s="1" t="n">
        <v>0</v>
      </c>
      <c r="L1265" s="4" t="n">
        <v>2.788</v>
      </c>
      <c r="M1265" s="48" t="n">
        <v>46067</v>
      </c>
      <c r="N1265" s="33" t="n">
        <f aca="false">DAY(M1265)</f>
        <v>14</v>
      </c>
      <c r="O1265" s="33" t="str">
        <f aca="false">TEXT(M1265,"DDDD")</f>
        <v>sábado</v>
      </c>
      <c r="P1265" s="6" t="n">
        <f aca="false">MONTH(M1265)</f>
        <v>2</v>
      </c>
      <c r="Q1265" s="26" t="str">
        <f aca="false">TEXT(M1265,"MMMM")</f>
        <v>febrero</v>
      </c>
      <c r="R1265" s="21" t="s">
        <v>1986</v>
      </c>
      <c r="S1265" s="1" t="n">
        <v>13138</v>
      </c>
    </row>
    <row r="1266" customFormat="false" ht="14.25" hidden="false" customHeight="false" outlineLevel="0" collapsed="false">
      <c r="A1266" s="1" t="n">
        <v>11</v>
      </c>
      <c r="B1266" s="1" t="s">
        <v>1963</v>
      </c>
      <c r="C1266" s="1" t="s">
        <v>38</v>
      </c>
      <c r="D1266" s="1" t="s">
        <v>747</v>
      </c>
      <c r="E1266" s="2" t="n">
        <v>454910787</v>
      </c>
      <c r="F1266" s="21" t="s">
        <v>747</v>
      </c>
      <c r="G1266" s="1" t="n">
        <v>454909349</v>
      </c>
      <c r="H1266" s="3" t="n">
        <f aca="false">SUM(I1266+J1266+K1266)</f>
        <v>9470</v>
      </c>
      <c r="I1266" s="1" t="n">
        <v>6950</v>
      </c>
      <c r="J1266" s="1" t="n">
        <v>0</v>
      </c>
      <c r="K1266" s="1" t="n">
        <v>2520</v>
      </c>
      <c r="L1266" s="4" t="n">
        <v>2.134</v>
      </c>
      <c r="M1266" s="48" t="n">
        <v>46067</v>
      </c>
      <c r="N1266" s="33" t="n">
        <f aca="false">DAY(M1266)</f>
        <v>14</v>
      </c>
      <c r="O1266" s="33" t="str">
        <f aca="false">TEXT(M1266,"DDDD")</f>
        <v>sábado</v>
      </c>
      <c r="P1266" s="6" t="n">
        <f aca="false">MONTH(M1266)</f>
        <v>2</v>
      </c>
      <c r="Q1266" s="26" t="str">
        <f aca="false">TEXT(M1266,"MMMM")</f>
        <v>febrero</v>
      </c>
    </row>
    <row r="1267" customFormat="false" ht="14.25" hidden="false" customHeight="false" outlineLevel="0" collapsed="false">
      <c r="A1267" s="1" t="n">
        <v>10</v>
      </c>
      <c r="B1267" s="1" t="s">
        <v>1987</v>
      </c>
      <c r="C1267" s="1" t="s">
        <v>20</v>
      </c>
      <c r="D1267" s="1" t="s">
        <v>478</v>
      </c>
      <c r="E1267" s="2" t="n">
        <v>454907663</v>
      </c>
      <c r="H1267" s="3" t="n">
        <f aca="false">SUM(I1267+J1267+K1267)</f>
        <v>2700</v>
      </c>
      <c r="I1267" s="1" t="n">
        <v>1200</v>
      </c>
      <c r="J1267" s="1" t="n">
        <v>0</v>
      </c>
      <c r="K1267" s="1" t="n">
        <v>1500</v>
      </c>
      <c r="L1267" s="4" t="n">
        <v>0.88</v>
      </c>
      <c r="M1267" s="48" t="n">
        <v>46067</v>
      </c>
      <c r="N1267" s="33" t="n">
        <f aca="false">DAY(M1267)</f>
        <v>14</v>
      </c>
      <c r="O1267" s="33" t="str">
        <f aca="false">TEXT(M1267,"DDDD")</f>
        <v>sábado</v>
      </c>
      <c r="P1267" s="6" t="n">
        <f aca="false">MONTH(M1267)</f>
        <v>2</v>
      </c>
      <c r="Q1267" s="26" t="str">
        <f aca="false">TEXT(M1267,"MMMM")</f>
        <v>febrero</v>
      </c>
      <c r="R1267" s="21" t="s">
        <v>478</v>
      </c>
      <c r="S1267" s="1" t="n">
        <v>10590</v>
      </c>
    </row>
    <row r="1268" customFormat="false" ht="14.25" hidden="false" customHeight="false" outlineLevel="0" collapsed="false">
      <c r="A1268" s="1" t="n">
        <v>10</v>
      </c>
      <c r="B1268" s="1" t="s">
        <v>1964</v>
      </c>
      <c r="C1268" s="1" t="s">
        <v>38</v>
      </c>
      <c r="D1268" s="1" t="s">
        <v>65</v>
      </c>
      <c r="E1268" s="2" t="n">
        <v>454903451</v>
      </c>
      <c r="H1268" s="3" t="n">
        <f aca="false">SUM(I1268+J1268+K1268)</f>
        <v>4200</v>
      </c>
      <c r="I1268" s="1" t="n">
        <v>3700</v>
      </c>
      <c r="J1268" s="1" t="n">
        <v>0</v>
      </c>
      <c r="K1268" s="1" t="n">
        <v>500</v>
      </c>
      <c r="L1268" s="4" t="n">
        <v>0.494</v>
      </c>
      <c r="M1268" s="48" t="n">
        <v>46067</v>
      </c>
      <c r="N1268" s="33" t="n">
        <f aca="false">DAY(M1268)</f>
        <v>14</v>
      </c>
      <c r="O1268" s="33" t="str">
        <f aca="false">TEXT(M1268,"DDDD")</f>
        <v>sábado</v>
      </c>
      <c r="P1268" s="6" t="n">
        <f aca="false">MONTH(M1268)</f>
        <v>2</v>
      </c>
      <c r="Q1268" s="26" t="str">
        <f aca="false">TEXT(M1268,"MMMM")</f>
        <v>febrero</v>
      </c>
    </row>
    <row r="1269" customFormat="false" ht="14.25" hidden="false" customHeight="false" outlineLevel="0" collapsed="false">
      <c r="A1269" s="1" t="n">
        <v>10</v>
      </c>
      <c r="B1269" s="1" t="s">
        <v>1988</v>
      </c>
      <c r="C1269" s="1" t="s">
        <v>38</v>
      </c>
      <c r="D1269" s="1" t="s">
        <v>928</v>
      </c>
      <c r="E1269" s="2" t="n">
        <v>454895836</v>
      </c>
      <c r="F1269" s="21" t="s">
        <v>1989</v>
      </c>
      <c r="G1269" s="1" t="n">
        <v>454894681</v>
      </c>
      <c r="H1269" s="3" t="n">
        <f aca="false">SUM(I1269+J1269+K1269)</f>
        <v>4120</v>
      </c>
      <c r="I1269" s="1" t="n">
        <v>3250</v>
      </c>
      <c r="J1269" s="1" t="n">
        <v>0</v>
      </c>
      <c r="K1269" s="1" t="n">
        <v>870</v>
      </c>
      <c r="L1269" s="4" t="n">
        <v>0.675</v>
      </c>
      <c r="M1269" s="48" t="n">
        <v>46067</v>
      </c>
      <c r="N1269" s="33" t="n">
        <f aca="false">DAY(M1269)</f>
        <v>14</v>
      </c>
      <c r="O1269" s="33" t="str">
        <f aca="false">TEXT(M1269,"DDDD")</f>
        <v>sábado</v>
      </c>
      <c r="P1269" s="6" t="n">
        <f aca="false">MONTH(M1269)</f>
        <v>2</v>
      </c>
      <c r="Q1269" s="26" t="str">
        <f aca="false">TEXT(M1269,"MMMM")</f>
        <v>febrero</v>
      </c>
    </row>
    <row r="1270" customFormat="false" ht="14.25" hidden="false" customHeight="false" outlineLevel="0" collapsed="false">
      <c r="A1270" s="1" t="n">
        <v>9</v>
      </c>
      <c r="B1270" s="1" t="s">
        <v>1990</v>
      </c>
      <c r="C1270" s="1" t="s">
        <v>20</v>
      </c>
      <c r="D1270" s="1" t="s">
        <v>1991</v>
      </c>
      <c r="E1270" s="2" t="n">
        <v>454894391</v>
      </c>
      <c r="H1270" s="3" t="n">
        <f aca="false">SUM(I1270+J1270+K1270)</f>
        <v>1500</v>
      </c>
      <c r="I1270" s="1" t="n">
        <v>1200</v>
      </c>
      <c r="J1270" s="1" t="n">
        <v>0</v>
      </c>
      <c r="K1270" s="1" t="n">
        <v>300</v>
      </c>
      <c r="L1270" s="4" t="n">
        <v>1.473</v>
      </c>
      <c r="M1270" s="48" t="n">
        <v>46067</v>
      </c>
      <c r="N1270" s="33" t="n">
        <f aca="false">DAY(M1270)</f>
        <v>14</v>
      </c>
      <c r="O1270" s="33" t="str">
        <f aca="false">TEXT(M1270,"DDDD")</f>
        <v>sábado</v>
      </c>
      <c r="P1270" s="6" t="n">
        <f aca="false">MONTH(M1270)</f>
        <v>2</v>
      </c>
      <c r="Q1270" s="26" t="str">
        <f aca="false">TEXT(M1270,"MMMM")</f>
        <v>febrero</v>
      </c>
    </row>
    <row r="1271" customFormat="false" ht="14.25" hidden="false" customHeight="false" outlineLevel="0" collapsed="false">
      <c r="A1271" s="1" t="n">
        <v>9</v>
      </c>
      <c r="B1271" s="1" t="s">
        <v>1992</v>
      </c>
      <c r="C1271" s="1" t="s">
        <v>38</v>
      </c>
      <c r="D1271" s="1" t="s">
        <v>1993</v>
      </c>
      <c r="E1271" s="2" t="n">
        <v>454882279</v>
      </c>
      <c r="H1271" s="3" t="n">
        <f aca="false">SUM(I1271+J1271+K1271)</f>
        <v>5300</v>
      </c>
      <c r="I1271" s="1" t="n">
        <v>5300</v>
      </c>
      <c r="J1271" s="1" t="n">
        <v>0</v>
      </c>
      <c r="K1271" s="1" t="n">
        <v>0</v>
      </c>
      <c r="L1271" s="4" t="n">
        <v>1.074</v>
      </c>
      <c r="M1271" s="48" t="n">
        <v>46067</v>
      </c>
      <c r="N1271" s="33" t="n">
        <f aca="false">DAY(M1271)</f>
        <v>14</v>
      </c>
      <c r="O1271" s="33" t="str">
        <f aca="false">TEXT(M1271,"DDDD")</f>
        <v>sábado</v>
      </c>
      <c r="P1271" s="6" t="n">
        <f aca="false">MONTH(M1271)</f>
        <v>2</v>
      </c>
      <c r="Q1271" s="26" t="str">
        <f aca="false">TEXT(M1271,"MMMM")</f>
        <v>febrero</v>
      </c>
    </row>
    <row r="1272" customFormat="false" ht="14.25" hidden="false" customHeight="false" outlineLevel="0" collapsed="false">
      <c r="A1272" s="1" t="n">
        <v>7</v>
      </c>
      <c r="B1272" s="1" t="s">
        <v>1978</v>
      </c>
      <c r="C1272" s="1" t="s">
        <v>20</v>
      </c>
      <c r="D1272" s="1" t="s">
        <v>1994</v>
      </c>
      <c r="E1272" s="2" t="n">
        <v>454856743</v>
      </c>
      <c r="H1272" s="3" t="n">
        <f aca="false">SUM(I1272+J1272+K1272)</f>
        <v>2100</v>
      </c>
      <c r="I1272" s="1" t="n">
        <v>1200</v>
      </c>
      <c r="J1272" s="1" t="n">
        <v>0</v>
      </c>
      <c r="K1272" s="1" t="n">
        <v>900</v>
      </c>
      <c r="L1272" s="4" t="n">
        <v>2.053</v>
      </c>
      <c r="M1272" s="48" t="n">
        <v>46067</v>
      </c>
      <c r="N1272" s="33" t="n">
        <f aca="false">DAY(M1272)</f>
        <v>14</v>
      </c>
      <c r="O1272" s="33" t="str">
        <f aca="false">TEXT(M1272,"DDDD")</f>
        <v>sábado</v>
      </c>
      <c r="P1272" s="6" t="n">
        <f aca="false">MONTH(M1272)</f>
        <v>2</v>
      </c>
      <c r="Q1272" s="26" t="str">
        <f aca="false">TEXT(M1272,"MMMM")</f>
        <v>febrero</v>
      </c>
    </row>
    <row r="1273" customFormat="false" ht="14.25" hidden="false" customHeight="false" outlineLevel="0" collapsed="false">
      <c r="A1273" s="1" t="n">
        <v>7</v>
      </c>
      <c r="B1273" s="1" t="s">
        <v>1995</v>
      </c>
      <c r="C1273" s="1" t="s">
        <v>38</v>
      </c>
      <c r="D1273" s="1" t="s">
        <v>1996</v>
      </c>
      <c r="E1273" s="2" t="n">
        <v>454847879</v>
      </c>
      <c r="F1273" s="21" t="s">
        <v>1996</v>
      </c>
      <c r="G1273" s="1" t="n">
        <v>454847955</v>
      </c>
      <c r="H1273" s="3" t="n">
        <f aca="false">SUM(I1273+J1273+K1273)</f>
        <v>3620</v>
      </c>
      <c r="I1273" s="1" t="n">
        <v>1800</v>
      </c>
      <c r="J1273" s="1" t="n">
        <v>0</v>
      </c>
      <c r="K1273" s="1" t="n">
        <v>1820</v>
      </c>
      <c r="L1273" s="4" t="n">
        <v>3.321</v>
      </c>
      <c r="M1273" s="48" t="n">
        <v>46067</v>
      </c>
      <c r="N1273" s="33" t="n">
        <f aca="false">DAY(M1273)</f>
        <v>14</v>
      </c>
      <c r="O1273" s="33" t="str">
        <f aca="false">TEXT(M1273,"DDDD")</f>
        <v>sábado</v>
      </c>
      <c r="P1273" s="6" t="n">
        <f aca="false">MONTH(M1273)</f>
        <v>2</v>
      </c>
      <c r="Q1273" s="26" t="str">
        <f aca="false">TEXT(M1273,"MMMM")</f>
        <v>febrero</v>
      </c>
    </row>
    <row r="1274" customFormat="false" ht="14.25" hidden="false" customHeight="false" outlineLevel="0" collapsed="false">
      <c r="A1274" s="1" t="n">
        <v>6</v>
      </c>
      <c r="B1274" s="1" t="s">
        <v>1997</v>
      </c>
      <c r="C1274" s="1" t="s">
        <v>20</v>
      </c>
      <c r="D1274" s="1" t="s">
        <v>1998</v>
      </c>
      <c r="E1274" s="2" t="n">
        <v>454848597</v>
      </c>
      <c r="H1274" s="3" t="n">
        <f aca="false">SUM(I1274+J1274+K1274)</f>
        <v>3640</v>
      </c>
      <c r="I1274" s="1" t="n">
        <v>1200</v>
      </c>
      <c r="J1274" s="1" t="n">
        <v>0</v>
      </c>
      <c r="K1274" s="1" t="n">
        <v>2440</v>
      </c>
      <c r="L1274" s="4" t="n">
        <v>1.15</v>
      </c>
      <c r="M1274" s="48" t="n">
        <v>46067</v>
      </c>
      <c r="N1274" s="33" t="n">
        <f aca="false">DAY(M1274)</f>
        <v>14</v>
      </c>
      <c r="O1274" s="33" t="str">
        <f aca="false">TEXT(M1274,"DDDD")</f>
        <v>sábado</v>
      </c>
      <c r="P1274" s="6" t="n">
        <f aca="false">MONTH(M1274)</f>
        <v>2</v>
      </c>
      <c r="Q1274" s="26" t="str">
        <f aca="false">TEXT(M1274,"MMMM")</f>
        <v>febrero</v>
      </c>
    </row>
    <row r="1275" customFormat="false" ht="14.25" hidden="false" customHeight="false" outlineLevel="0" collapsed="false">
      <c r="A1275" s="1" t="n">
        <v>6</v>
      </c>
      <c r="B1275" s="1" t="s">
        <v>644</v>
      </c>
      <c r="C1275" s="1" t="s">
        <v>38</v>
      </c>
      <c r="D1275" s="1" t="s">
        <v>1996</v>
      </c>
      <c r="E1275" s="2" t="n">
        <v>454845071</v>
      </c>
      <c r="F1275" s="21" t="s">
        <v>1996</v>
      </c>
      <c r="G1275" s="1" t="n">
        <v>454845430</v>
      </c>
      <c r="H1275" s="3" t="n">
        <f aca="false">SUM(I1275+J1275+K1275)</f>
        <v>4140</v>
      </c>
      <c r="I1275" s="1" t="n">
        <v>1800</v>
      </c>
      <c r="J1275" s="1" t="n">
        <v>0</v>
      </c>
      <c r="K1275" s="1" t="n">
        <v>2340</v>
      </c>
      <c r="L1275" s="4" t="n">
        <v>2.356</v>
      </c>
      <c r="M1275" s="48" t="n">
        <v>46067</v>
      </c>
      <c r="N1275" s="33" t="n">
        <f aca="false">DAY(M1275)</f>
        <v>14</v>
      </c>
      <c r="O1275" s="33" t="str">
        <f aca="false">TEXT(M1275,"DDDD")</f>
        <v>sábado</v>
      </c>
      <c r="P1275" s="6" t="n">
        <f aca="false">MONTH(M1275)</f>
        <v>2</v>
      </c>
      <c r="Q1275" s="26" t="str">
        <f aca="false">TEXT(M1275,"MMMM")</f>
        <v>febrero</v>
      </c>
    </row>
    <row r="1276" customFormat="false" ht="14.25" hidden="false" customHeight="false" outlineLevel="0" collapsed="false">
      <c r="A1276" s="1" t="n">
        <v>5</v>
      </c>
      <c r="B1276" s="1" t="s">
        <v>1999</v>
      </c>
      <c r="C1276" s="1" t="s">
        <v>20</v>
      </c>
      <c r="D1276" s="1" t="s">
        <v>1084</v>
      </c>
      <c r="E1276" s="2" t="n">
        <v>454844591</v>
      </c>
      <c r="H1276" s="3" t="n">
        <f aca="false">SUM(I1276+J1276+K1276)</f>
        <v>2900</v>
      </c>
      <c r="I1276" s="1" t="n">
        <v>2000</v>
      </c>
      <c r="J1276" s="1" t="n">
        <v>0</v>
      </c>
      <c r="K1276" s="1" t="n">
        <v>900</v>
      </c>
      <c r="L1276" s="4" t="n">
        <v>3.023</v>
      </c>
      <c r="M1276" s="48" t="n">
        <v>46067</v>
      </c>
      <c r="N1276" s="33" t="n">
        <f aca="false">DAY(M1276)</f>
        <v>14</v>
      </c>
      <c r="O1276" s="33" t="str">
        <f aca="false">TEXT(M1276,"DDDD")</f>
        <v>sábado</v>
      </c>
      <c r="P1276" s="6" t="n">
        <f aca="false">MONTH(M1276)</f>
        <v>2</v>
      </c>
      <c r="Q1276" s="26" t="str">
        <f aca="false">TEXT(M1276,"MMMM")</f>
        <v>febrero</v>
      </c>
    </row>
    <row r="1277" customFormat="false" ht="14.25" hidden="false" customHeight="false" outlineLevel="0" collapsed="false">
      <c r="A1277" s="1" t="n">
        <v>5</v>
      </c>
      <c r="B1277" s="1" t="s">
        <v>2000</v>
      </c>
      <c r="C1277" s="1" t="s">
        <v>20</v>
      </c>
      <c r="D1277" s="1" t="s">
        <v>1573</v>
      </c>
      <c r="E1277" s="2" t="n">
        <v>454843311</v>
      </c>
      <c r="H1277" s="3" t="n">
        <f aca="false">SUM(I1277+J1277+K1277)</f>
        <v>3500</v>
      </c>
      <c r="I1277" s="1" t="n">
        <v>2200</v>
      </c>
      <c r="J1277" s="1" t="n">
        <v>0</v>
      </c>
      <c r="K1277" s="1" t="n">
        <v>1300</v>
      </c>
      <c r="L1277" s="4" t="n">
        <v>3.443</v>
      </c>
      <c r="M1277" s="48" t="n">
        <v>46067</v>
      </c>
      <c r="N1277" s="33" t="n">
        <f aca="false">DAY(M1277)</f>
        <v>14</v>
      </c>
      <c r="O1277" s="33" t="str">
        <f aca="false">TEXT(M1277,"DDDD")</f>
        <v>sábado</v>
      </c>
      <c r="P1277" s="6" t="n">
        <f aca="false">MONTH(M1277)</f>
        <v>2</v>
      </c>
      <c r="Q1277" s="26" t="str">
        <f aca="false">TEXT(M1277,"MMMM")</f>
        <v>febrero</v>
      </c>
    </row>
    <row r="1278" customFormat="false" ht="14.25" hidden="false" customHeight="false" outlineLevel="0" collapsed="false">
      <c r="A1278" s="1" t="n">
        <v>1</v>
      </c>
      <c r="B1278" s="1" t="s">
        <v>1804</v>
      </c>
      <c r="C1278" s="1" t="s">
        <v>20</v>
      </c>
      <c r="D1278" s="1" t="s">
        <v>2001</v>
      </c>
      <c r="E1278" s="2" t="n">
        <v>454831174</v>
      </c>
      <c r="F1278" s="21" t="s">
        <v>1607</v>
      </c>
      <c r="G1278" s="1" t="n">
        <v>454830919</v>
      </c>
      <c r="H1278" s="3" t="n">
        <f aca="false">SUM(I1278+J1278+K1278)</f>
        <v>3160</v>
      </c>
      <c r="I1278" s="1" t="n">
        <v>1800</v>
      </c>
      <c r="J1278" s="1" t="n">
        <v>200</v>
      </c>
      <c r="K1278" s="1" t="n">
        <v>1160</v>
      </c>
      <c r="L1278" s="4" t="n">
        <v>1.209</v>
      </c>
      <c r="M1278" s="48" t="n">
        <v>46067</v>
      </c>
      <c r="N1278" s="33" t="n">
        <f aca="false">DAY(M1278)</f>
        <v>14</v>
      </c>
      <c r="O1278" s="33" t="str">
        <f aca="false">TEXT(M1278,"DDDD")</f>
        <v>sábado</v>
      </c>
      <c r="P1278" s="6" t="n">
        <f aca="false">MONTH(M1278)</f>
        <v>2</v>
      </c>
      <c r="Q1278" s="26" t="str">
        <f aca="false">TEXT(M1278,"MMMM")</f>
        <v>febrero</v>
      </c>
      <c r="R1278" s="21" t="s">
        <v>2001</v>
      </c>
      <c r="S1278" s="1" t="n">
        <v>10541</v>
      </c>
    </row>
    <row r="1279" customFormat="false" ht="14.25" hidden="false" customHeight="false" outlineLevel="0" collapsed="false">
      <c r="A1279" s="1" t="n">
        <v>12</v>
      </c>
      <c r="B1279" s="1" t="s">
        <v>2002</v>
      </c>
      <c r="C1279" s="1" t="s">
        <v>20</v>
      </c>
      <c r="D1279" s="1" t="s">
        <v>2003</v>
      </c>
      <c r="E1279" s="2" t="n">
        <v>455084284</v>
      </c>
      <c r="H1279" s="3" t="n">
        <f aca="false">SUM(I1279+J1279+K1279)</f>
        <v>3830</v>
      </c>
      <c r="I1279" s="1" t="n">
        <v>2750</v>
      </c>
      <c r="J1279" s="1" t="n">
        <v>0</v>
      </c>
      <c r="K1279" s="1" t="n">
        <v>1080</v>
      </c>
      <c r="L1279" s="4" t="n">
        <v>1.263</v>
      </c>
      <c r="M1279" s="48" t="n">
        <v>46068</v>
      </c>
      <c r="N1279" s="33" t="n">
        <f aca="false">DAY(M1279)</f>
        <v>15</v>
      </c>
      <c r="O1279" s="33" t="str">
        <f aca="false">TEXT(M1279,"DDDD")</f>
        <v>domingo</v>
      </c>
      <c r="P1279" s="6" t="n">
        <f aca="false">MONTH(M1279)</f>
        <v>2</v>
      </c>
      <c r="Q1279" s="26" t="str">
        <f aca="false">TEXT(M1279,"MMMM")</f>
        <v>febrero</v>
      </c>
    </row>
    <row r="1280" customFormat="false" ht="14.25" hidden="false" customHeight="false" outlineLevel="0" collapsed="false">
      <c r="A1280" s="1" t="n">
        <v>12</v>
      </c>
      <c r="B1280" s="1" t="s">
        <v>2004</v>
      </c>
      <c r="C1280" s="1" t="s">
        <v>20</v>
      </c>
      <c r="D1280" s="1" t="s">
        <v>2005</v>
      </c>
      <c r="E1280" s="2" t="n">
        <v>455075901</v>
      </c>
      <c r="H1280" s="3" t="n">
        <f aca="false">SUM(I1280+J1280+K1280)</f>
        <v>5940</v>
      </c>
      <c r="I1280" s="1" t="n">
        <v>2200</v>
      </c>
      <c r="J1280" s="1" t="n">
        <v>0</v>
      </c>
      <c r="K1280" s="1" t="n">
        <v>3740</v>
      </c>
      <c r="L1280" s="4" t="n">
        <v>2.387</v>
      </c>
      <c r="M1280" s="48" t="n">
        <v>46068</v>
      </c>
      <c r="N1280" s="33" t="n">
        <f aca="false">DAY(M1280)</f>
        <v>15</v>
      </c>
      <c r="O1280" s="33" t="str">
        <f aca="false">TEXT(M1280,"DDDD")</f>
        <v>domingo</v>
      </c>
      <c r="P1280" s="6" t="n">
        <f aca="false">MONTH(M1280)</f>
        <v>2</v>
      </c>
      <c r="Q1280" s="26" t="str">
        <f aca="false">TEXT(M1280,"MMMM")</f>
        <v>febrero</v>
      </c>
    </row>
    <row r="1281" customFormat="false" ht="14.25" hidden="false" customHeight="false" outlineLevel="0" collapsed="false">
      <c r="A1281" s="1" t="n">
        <v>12</v>
      </c>
      <c r="B1281" s="1" t="s">
        <v>2006</v>
      </c>
      <c r="C1281" s="1" t="s">
        <v>20</v>
      </c>
      <c r="D1281" s="1" t="s">
        <v>2007</v>
      </c>
      <c r="E1281" s="2" t="n">
        <v>455068433</v>
      </c>
      <c r="H1281" s="3" t="n">
        <f aca="false">SUM(I1281+J1281+K1281)</f>
        <v>5050</v>
      </c>
      <c r="I1281" s="1" t="n">
        <v>2450</v>
      </c>
      <c r="J1281" s="1" t="n">
        <v>0</v>
      </c>
      <c r="K1281" s="1" t="n">
        <v>2600</v>
      </c>
      <c r="L1281" s="4" t="n">
        <v>1.662</v>
      </c>
      <c r="M1281" s="48" t="n">
        <v>46068</v>
      </c>
      <c r="N1281" s="33" t="n">
        <f aca="false">DAY(M1281)</f>
        <v>15</v>
      </c>
      <c r="O1281" s="33" t="str">
        <f aca="false">TEXT(M1281,"DDDD")</f>
        <v>domingo</v>
      </c>
      <c r="P1281" s="6" t="n">
        <f aca="false">MONTH(M1281)</f>
        <v>2</v>
      </c>
      <c r="Q1281" s="26" t="str">
        <f aca="false">TEXT(M1281,"MMMM")</f>
        <v>febrero</v>
      </c>
    </row>
    <row r="1282" customFormat="false" ht="14.25" hidden="false" customHeight="false" outlineLevel="0" collapsed="false">
      <c r="A1282" s="1" t="n">
        <v>11</v>
      </c>
      <c r="B1282" s="1" t="s">
        <v>2008</v>
      </c>
      <c r="C1282" s="1" t="s">
        <v>20</v>
      </c>
      <c r="D1282" s="1" t="s">
        <v>2009</v>
      </c>
      <c r="E1282" s="2" t="n">
        <v>455061862</v>
      </c>
      <c r="H1282" s="3" t="n">
        <f aca="false">SUM(I1282+J1282+K1282)</f>
        <v>2220</v>
      </c>
      <c r="I1282" s="1" t="n">
        <v>1400</v>
      </c>
      <c r="J1282" s="1" t="n">
        <v>0</v>
      </c>
      <c r="K1282" s="1" t="n">
        <v>820</v>
      </c>
      <c r="L1282" s="4" t="n">
        <v>1.368</v>
      </c>
      <c r="M1282" s="48" t="n">
        <v>46068</v>
      </c>
      <c r="N1282" s="33" t="n">
        <f aca="false">DAY(M1282)</f>
        <v>15</v>
      </c>
      <c r="O1282" s="33" t="str">
        <f aca="false">TEXT(M1282,"DDDD")</f>
        <v>domingo</v>
      </c>
      <c r="P1282" s="6" t="n">
        <f aca="false">MONTH(M1282)</f>
        <v>2</v>
      </c>
      <c r="Q1282" s="26" t="str">
        <f aca="false">TEXT(M1282,"MMMM")</f>
        <v>febrero</v>
      </c>
    </row>
    <row r="1283" customFormat="false" ht="14.25" hidden="false" customHeight="false" outlineLevel="0" collapsed="false">
      <c r="A1283" s="1" t="n">
        <v>11</v>
      </c>
      <c r="B1283" s="1" t="s">
        <v>2010</v>
      </c>
      <c r="C1283" s="1" t="s">
        <v>38</v>
      </c>
      <c r="D1283" s="1" t="s">
        <v>500</v>
      </c>
      <c r="E1283" s="2" t="n">
        <v>455044291</v>
      </c>
      <c r="F1283" s="21" t="s">
        <v>500</v>
      </c>
      <c r="G1283" s="1" t="n">
        <v>455044045</v>
      </c>
      <c r="H1283" s="3" t="n">
        <f aca="false">SUM(I1283+J1283+K1283)</f>
        <v>8470</v>
      </c>
      <c r="I1283" s="1" t="n">
        <v>6550</v>
      </c>
      <c r="J1283" s="1" t="n">
        <v>0</v>
      </c>
      <c r="K1283" s="1" t="n">
        <v>1920</v>
      </c>
      <c r="L1283" s="4" t="n">
        <v>1.196</v>
      </c>
      <c r="M1283" s="48" t="n">
        <v>46068</v>
      </c>
      <c r="N1283" s="33" t="n">
        <f aca="false">DAY(M1283)</f>
        <v>15</v>
      </c>
      <c r="O1283" s="33" t="str">
        <f aca="false">TEXT(M1283,"DDDD")</f>
        <v>domingo</v>
      </c>
      <c r="P1283" s="6" t="n">
        <f aca="false">MONTH(M1283)</f>
        <v>2</v>
      </c>
      <c r="Q1283" s="26" t="str">
        <f aca="false">TEXT(M1283,"MMMM")</f>
        <v>febrero</v>
      </c>
    </row>
    <row r="1284" customFormat="false" ht="14.25" hidden="false" customHeight="false" outlineLevel="0" collapsed="false">
      <c r="A1284" s="1" t="n">
        <v>11</v>
      </c>
      <c r="B1284" s="1" t="s">
        <v>2011</v>
      </c>
      <c r="C1284" s="1" t="s">
        <v>38</v>
      </c>
      <c r="D1284" s="1" t="s">
        <v>1637</v>
      </c>
      <c r="E1284" s="2" t="n">
        <v>455040667</v>
      </c>
      <c r="H1284" s="3" t="n">
        <f aca="false">SUM(I1284+J1284+K1284)</f>
        <v>2400</v>
      </c>
      <c r="I1284" s="1" t="n">
        <v>1200</v>
      </c>
      <c r="J1284" s="1" t="n">
        <v>0</v>
      </c>
      <c r="K1284" s="1" t="n">
        <v>1200</v>
      </c>
      <c r="L1284" s="4" t="n">
        <v>1.636</v>
      </c>
      <c r="M1284" s="48" t="n">
        <v>46068</v>
      </c>
      <c r="N1284" s="33" t="n">
        <f aca="false">DAY(M1284)</f>
        <v>15</v>
      </c>
      <c r="O1284" s="33" t="str">
        <f aca="false">TEXT(M1284,"DDDD")</f>
        <v>domingo</v>
      </c>
      <c r="P1284" s="6" t="n">
        <f aca="false">MONTH(M1284)</f>
        <v>2</v>
      </c>
      <c r="Q1284" s="26" t="str">
        <f aca="false">TEXT(M1284,"MMMM")</f>
        <v>febrero</v>
      </c>
    </row>
    <row r="1285" customFormat="false" ht="14.25" hidden="false" customHeight="false" outlineLevel="0" collapsed="false">
      <c r="A1285" s="1" t="n">
        <v>10</v>
      </c>
      <c r="B1285" s="1" t="s">
        <v>954</v>
      </c>
      <c r="C1285" s="1" t="s">
        <v>20</v>
      </c>
      <c r="D1285" s="1" t="s">
        <v>2012</v>
      </c>
      <c r="E1285" s="2" t="n">
        <v>455035644</v>
      </c>
      <c r="H1285" s="3" t="n">
        <f aca="false">SUM(I1285+J1285+K1285)</f>
        <v>4060</v>
      </c>
      <c r="I1285" s="1" t="n">
        <v>1600</v>
      </c>
      <c r="J1285" s="1" t="n">
        <v>0</v>
      </c>
      <c r="K1285" s="1" t="n">
        <v>2460</v>
      </c>
      <c r="L1285" s="4" t="n">
        <v>1.704</v>
      </c>
      <c r="M1285" s="48" t="n">
        <v>46068</v>
      </c>
      <c r="N1285" s="33" t="n">
        <f aca="false">DAY(M1285)</f>
        <v>15</v>
      </c>
      <c r="O1285" s="33" t="str">
        <f aca="false">TEXT(M1285,"DDDD")</f>
        <v>domingo</v>
      </c>
      <c r="P1285" s="6" t="n">
        <f aca="false">MONTH(M1285)</f>
        <v>2</v>
      </c>
      <c r="Q1285" s="26" t="str">
        <f aca="false">TEXT(M1285,"MMMM")</f>
        <v>febrero</v>
      </c>
    </row>
    <row r="1286" customFormat="false" ht="14.25" hidden="false" customHeight="false" outlineLevel="0" collapsed="false">
      <c r="A1286" s="1" t="n">
        <v>10</v>
      </c>
      <c r="B1286" s="1" t="s">
        <v>2013</v>
      </c>
      <c r="C1286" s="1" t="s">
        <v>38</v>
      </c>
      <c r="D1286" s="1" t="s">
        <v>2014</v>
      </c>
      <c r="E1286" s="2" t="n">
        <v>455032851</v>
      </c>
      <c r="H1286" s="3" t="n">
        <f aca="false">SUM(I1286+J1286+K1286)</f>
        <v>1840</v>
      </c>
      <c r="I1286" s="1" t="n">
        <v>1200</v>
      </c>
      <c r="J1286" s="1" t="n">
        <v>0</v>
      </c>
      <c r="K1286" s="1" t="n">
        <v>640</v>
      </c>
      <c r="L1286" s="4" t="n">
        <v>0.927</v>
      </c>
      <c r="M1286" s="48" t="n">
        <v>46068</v>
      </c>
      <c r="N1286" s="33" t="n">
        <f aca="false">DAY(M1286)</f>
        <v>15</v>
      </c>
      <c r="O1286" s="33" t="str">
        <f aca="false">TEXT(M1286,"DDDD")</f>
        <v>domingo</v>
      </c>
      <c r="P1286" s="6" t="n">
        <f aca="false">MONTH(M1286)</f>
        <v>2</v>
      </c>
      <c r="Q1286" s="26" t="str">
        <f aca="false">TEXT(M1286,"MMMM")</f>
        <v>febrero</v>
      </c>
    </row>
    <row r="1287" customFormat="false" ht="14.25" hidden="false" customHeight="false" outlineLevel="0" collapsed="false">
      <c r="A1287" s="1" t="n">
        <v>10</v>
      </c>
      <c r="B1287" s="1" t="s">
        <v>2015</v>
      </c>
      <c r="C1287" s="1" t="s">
        <v>20</v>
      </c>
      <c r="D1287" s="1" t="s">
        <v>47</v>
      </c>
      <c r="E1287" s="2" t="n">
        <v>455032559</v>
      </c>
      <c r="H1287" s="3" t="n">
        <f aca="false">SUM(I1287+J1287+K1287)</f>
        <v>2560</v>
      </c>
      <c r="I1287" s="1" t="n">
        <v>1200</v>
      </c>
      <c r="J1287" s="1" t="n">
        <v>0</v>
      </c>
      <c r="K1287" s="1" t="n">
        <v>1360</v>
      </c>
      <c r="L1287" s="4" t="n">
        <v>0.695</v>
      </c>
      <c r="M1287" s="48" t="n">
        <v>46068</v>
      </c>
      <c r="N1287" s="33" t="n">
        <f aca="false">DAY(M1287)</f>
        <v>15</v>
      </c>
      <c r="O1287" s="33" t="str">
        <f aca="false">TEXT(M1287,"DDDD")</f>
        <v>domingo</v>
      </c>
      <c r="P1287" s="6" t="n">
        <f aca="false">MONTH(M1287)</f>
        <v>2</v>
      </c>
      <c r="Q1287" s="26" t="str">
        <f aca="false">TEXT(M1287,"MMMM")</f>
        <v>febrero</v>
      </c>
    </row>
    <row r="1288" customFormat="false" ht="14.25" hidden="false" customHeight="false" outlineLevel="0" collapsed="false">
      <c r="A1288" s="1" t="n">
        <v>10</v>
      </c>
      <c r="B1288" s="1" t="s">
        <v>2016</v>
      </c>
      <c r="C1288" s="1" t="s">
        <v>20</v>
      </c>
      <c r="D1288" s="1" t="s">
        <v>103</v>
      </c>
      <c r="E1288" s="2" t="n">
        <v>455031731</v>
      </c>
      <c r="H1288" s="3" t="n">
        <f aca="false">SUM(I1288+J1288+K1288)</f>
        <v>2160</v>
      </c>
      <c r="I1288" s="1" t="n">
        <v>1200</v>
      </c>
      <c r="J1288" s="1" t="n">
        <v>0</v>
      </c>
      <c r="K1288" s="1" t="n">
        <v>960</v>
      </c>
      <c r="L1288" s="4" t="n">
        <v>0.757</v>
      </c>
      <c r="M1288" s="48" t="n">
        <v>46068</v>
      </c>
      <c r="N1288" s="33" t="n">
        <f aca="false">DAY(M1288)</f>
        <v>15</v>
      </c>
      <c r="O1288" s="33" t="str">
        <f aca="false">TEXT(M1288,"DDDD")</f>
        <v>domingo</v>
      </c>
      <c r="P1288" s="6" t="n">
        <f aca="false">MONTH(M1288)</f>
        <v>2</v>
      </c>
      <c r="Q1288" s="26" t="str">
        <f aca="false">TEXT(M1288,"MMMM")</f>
        <v>febrero</v>
      </c>
    </row>
    <row r="1289" customFormat="false" ht="14.25" hidden="false" customHeight="false" outlineLevel="0" collapsed="false">
      <c r="A1289" s="1" t="n">
        <v>10</v>
      </c>
      <c r="B1289" s="1" t="s">
        <v>2017</v>
      </c>
      <c r="C1289" s="1" t="s">
        <v>20</v>
      </c>
      <c r="D1289" s="1" t="s">
        <v>652</v>
      </c>
      <c r="E1289" s="2" t="n">
        <v>455025841</v>
      </c>
      <c r="H1289" s="3" t="n">
        <f aca="false">SUM(I1289+J1289+K1289)</f>
        <v>2460</v>
      </c>
      <c r="I1289" s="1" t="n">
        <v>1200</v>
      </c>
      <c r="J1289" s="1" t="n">
        <v>0</v>
      </c>
      <c r="K1289" s="1" t="n">
        <v>1260</v>
      </c>
      <c r="L1289" s="4" t="n">
        <v>0.713</v>
      </c>
      <c r="M1289" s="48" t="n">
        <v>46068</v>
      </c>
      <c r="N1289" s="33" t="n">
        <f aca="false">DAY(M1289)</f>
        <v>15</v>
      </c>
      <c r="O1289" s="33" t="str">
        <f aca="false">TEXT(M1289,"DDDD")</f>
        <v>domingo</v>
      </c>
      <c r="P1289" s="6" t="n">
        <f aca="false">MONTH(M1289)</f>
        <v>2</v>
      </c>
      <c r="Q1289" s="26" t="str">
        <f aca="false">TEXT(M1289,"MMMM")</f>
        <v>febrero</v>
      </c>
    </row>
    <row r="1290" customFormat="false" ht="14.25" hidden="false" customHeight="false" outlineLevel="0" collapsed="false">
      <c r="A1290" s="1" t="n">
        <v>9</v>
      </c>
      <c r="B1290" s="1" t="s">
        <v>2018</v>
      </c>
      <c r="C1290" s="1" t="s">
        <v>20</v>
      </c>
      <c r="D1290" s="1" t="s">
        <v>652</v>
      </c>
      <c r="E1290" s="2" t="n">
        <v>455026191</v>
      </c>
      <c r="H1290" s="3" t="n">
        <f aca="false">SUM(I1290+J1290+K1290)</f>
        <v>4140</v>
      </c>
      <c r="I1290" s="1" t="n">
        <v>1200</v>
      </c>
      <c r="J1290" s="1" t="n">
        <v>0</v>
      </c>
      <c r="K1290" s="1" t="n">
        <v>2940</v>
      </c>
      <c r="L1290" s="4" t="n">
        <v>1.007</v>
      </c>
      <c r="M1290" s="48" t="n">
        <v>46068</v>
      </c>
      <c r="N1290" s="33" t="n">
        <f aca="false">DAY(M1290)</f>
        <v>15</v>
      </c>
      <c r="O1290" s="33" t="str">
        <f aca="false">TEXT(M1290,"DDDD")</f>
        <v>domingo</v>
      </c>
      <c r="P1290" s="6" t="n">
        <f aca="false">MONTH(M1290)</f>
        <v>2</v>
      </c>
      <c r="Q1290" s="26" t="str">
        <f aca="false">TEXT(M1290,"MMMM")</f>
        <v>febrero</v>
      </c>
    </row>
    <row r="1291" customFormat="false" ht="14.25" hidden="false" customHeight="false" outlineLevel="0" collapsed="false">
      <c r="A1291" s="1" t="n">
        <v>9</v>
      </c>
      <c r="B1291" s="1" t="s">
        <v>2019</v>
      </c>
      <c r="C1291" s="1" t="s">
        <v>20</v>
      </c>
      <c r="D1291" s="1" t="s">
        <v>526</v>
      </c>
      <c r="E1291" s="2" t="n">
        <v>455022393</v>
      </c>
      <c r="H1291" s="3" t="n">
        <f aca="false">SUM(I1291+J1291+K1291)</f>
        <v>5220</v>
      </c>
      <c r="I1291" s="1" t="n">
        <v>1400</v>
      </c>
      <c r="J1291" s="1" t="n">
        <v>0</v>
      </c>
      <c r="K1291" s="1" t="n">
        <v>3820</v>
      </c>
      <c r="L1291" s="4" t="n">
        <v>2.49</v>
      </c>
      <c r="M1291" s="48" t="n">
        <v>46068</v>
      </c>
      <c r="N1291" s="33" t="n">
        <f aca="false">DAY(M1291)</f>
        <v>15</v>
      </c>
      <c r="O1291" s="33" t="str">
        <f aca="false">TEXT(M1291,"DDDD")</f>
        <v>domingo</v>
      </c>
      <c r="P1291" s="6" t="n">
        <f aca="false">MONTH(M1291)</f>
        <v>2</v>
      </c>
      <c r="Q1291" s="26" t="str">
        <f aca="false">TEXT(M1291,"MMMM")</f>
        <v>febrero</v>
      </c>
    </row>
    <row r="1292" customFormat="false" ht="14.25" hidden="false" customHeight="false" outlineLevel="0" collapsed="false">
      <c r="A1292" s="1" t="n">
        <v>9</v>
      </c>
      <c r="B1292" s="1" t="s">
        <v>2020</v>
      </c>
      <c r="C1292" s="1" t="s">
        <v>20</v>
      </c>
      <c r="D1292" s="1" t="s">
        <v>1991</v>
      </c>
      <c r="E1292" s="2" t="n">
        <v>455020997</v>
      </c>
      <c r="H1292" s="3" t="n">
        <f aca="false">SUM(I1292+J1292+K1292)</f>
        <v>2620</v>
      </c>
      <c r="I1292" s="1" t="n">
        <v>1500</v>
      </c>
      <c r="J1292" s="1" t="n">
        <v>0</v>
      </c>
      <c r="K1292" s="1" t="n">
        <v>1120</v>
      </c>
      <c r="L1292" s="4" t="n">
        <v>2.452</v>
      </c>
      <c r="M1292" s="48" t="n">
        <v>46068</v>
      </c>
      <c r="N1292" s="33" t="n">
        <f aca="false">DAY(M1292)</f>
        <v>15</v>
      </c>
      <c r="O1292" s="33" t="str">
        <f aca="false">TEXT(M1292,"DDDD")</f>
        <v>domingo</v>
      </c>
      <c r="P1292" s="6" t="n">
        <f aca="false">MONTH(M1292)</f>
        <v>2</v>
      </c>
      <c r="Q1292" s="26" t="str">
        <f aca="false">TEXT(M1292,"MMMM")</f>
        <v>febrero</v>
      </c>
    </row>
    <row r="1293" customFormat="false" ht="14.25" hidden="false" customHeight="false" outlineLevel="0" collapsed="false">
      <c r="A1293" s="1" t="n">
        <v>9</v>
      </c>
      <c r="B1293" s="1" t="s">
        <v>2021</v>
      </c>
      <c r="C1293" s="1" t="s">
        <v>38</v>
      </c>
      <c r="D1293" s="1" t="s">
        <v>65</v>
      </c>
      <c r="E1293" s="2" t="n">
        <v>455019540</v>
      </c>
      <c r="H1293" s="3" t="n">
        <f aca="false">SUM(I1293+J1293+K1293)</f>
        <v>2450</v>
      </c>
      <c r="I1293" s="1" t="n">
        <v>2100</v>
      </c>
      <c r="J1293" s="1" t="n">
        <v>0</v>
      </c>
      <c r="K1293" s="1" t="n">
        <v>350</v>
      </c>
      <c r="L1293" s="4" t="n">
        <v>1.232</v>
      </c>
      <c r="M1293" s="48" t="n">
        <v>46068</v>
      </c>
      <c r="N1293" s="33" t="n">
        <f aca="false">DAY(M1293)</f>
        <v>15</v>
      </c>
      <c r="O1293" s="33" t="str">
        <f aca="false">TEXT(M1293,"DDDD")</f>
        <v>domingo</v>
      </c>
      <c r="P1293" s="6" t="n">
        <f aca="false">MONTH(M1293)</f>
        <v>2</v>
      </c>
      <c r="Q1293" s="26" t="str">
        <f aca="false">TEXT(M1293,"MMMM")</f>
        <v>febrero</v>
      </c>
    </row>
    <row r="1294" customFormat="false" ht="14.25" hidden="false" customHeight="false" outlineLevel="0" collapsed="false">
      <c r="A1294" s="1" t="n">
        <v>9</v>
      </c>
      <c r="B1294" s="1" t="s">
        <v>763</v>
      </c>
      <c r="C1294" s="1" t="s">
        <v>20</v>
      </c>
      <c r="D1294" s="1" t="s">
        <v>478</v>
      </c>
      <c r="E1294" s="2" t="n">
        <v>455017435</v>
      </c>
      <c r="F1294" s="21" t="s">
        <v>478</v>
      </c>
      <c r="G1294" s="1" t="n">
        <v>455017102</v>
      </c>
      <c r="H1294" s="3" t="n">
        <f aca="false">SUM(I1294+J1294+K1294)</f>
        <v>3660</v>
      </c>
      <c r="I1294" s="1" t="n">
        <v>1800</v>
      </c>
      <c r="J1294" s="1" t="n">
        <v>0</v>
      </c>
      <c r="K1294" s="1" t="n">
        <v>1860</v>
      </c>
      <c r="L1294" s="4" t="n">
        <v>1.749</v>
      </c>
      <c r="M1294" s="48" t="n">
        <v>46068</v>
      </c>
      <c r="N1294" s="33" t="n">
        <f aca="false">DAY(M1294)</f>
        <v>15</v>
      </c>
      <c r="O1294" s="33" t="str">
        <f aca="false">TEXT(M1294,"DDDD")</f>
        <v>domingo</v>
      </c>
      <c r="P1294" s="6" t="n">
        <f aca="false">MONTH(M1294)</f>
        <v>2</v>
      </c>
      <c r="Q1294" s="26" t="str">
        <f aca="false">TEXT(M1294,"MMMM")</f>
        <v>febrero</v>
      </c>
      <c r="R1294" s="21" t="s">
        <v>478</v>
      </c>
      <c r="S1294" s="1" t="n">
        <v>8698</v>
      </c>
    </row>
    <row r="1295" customFormat="false" ht="14.25" hidden="false" customHeight="false" outlineLevel="0" collapsed="false">
      <c r="A1295" s="1" t="n">
        <v>7</v>
      </c>
      <c r="B1295" s="1" t="s">
        <v>2022</v>
      </c>
      <c r="C1295" s="1" t="s">
        <v>20</v>
      </c>
      <c r="D1295" s="1" t="s">
        <v>2023</v>
      </c>
      <c r="E1295" s="2" t="n">
        <v>454984182</v>
      </c>
      <c r="F1295" s="21" t="s">
        <v>2024</v>
      </c>
      <c r="G1295" s="1" t="n">
        <v>454983187</v>
      </c>
      <c r="H1295" s="3" t="n">
        <f aca="false">SUM(I1295+J1295+K1295)</f>
        <v>4430</v>
      </c>
      <c r="I1295" s="1" t="n">
        <v>2150</v>
      </c>
      <c r="J1295" s="1" t="n">
        <v>0</v>
      </c>
      <c r="K1295" s="1" t="n">
        <v>2280</v>
      </c>
      <c r="L1295" s="4" t="n">
        <v>2.549</v>
      </c>
      <c r="M1295" s="48" t="n">
        <v>46068</v>
      </c>
      <c r="N1295" s="33" t="n">
        <f aca="false">DAY(M1295)</f>
        <v>15</v>
      </c>
      <c r="O1295" s="33" t="str">
        <f aca="false">TEXT(M1295,"DDDD")</f>
        <v>domingo</v>
      </c>
      <c r="P1295" s="6" t="n">
        <f aca="false">MONTH(M1295)</f>
        <v>2</v>
      </c>
      <c r="Q1295" s="26" t="str">
        <f aca="false">TEXT(M1295,"MMMM")</f>
        <v>febrero</v>
      </c>
    </row>
    <row r="1296" customFormat="false" ht="14.25" hidden="false" customHeight="false" outlineLevel="0" collapsed="false">
      <c r="A1296" s="1" t="n">
        <v>6</v>
      </c>
      <c r="B1296" s="1" t="s">
        <v>2025</v>
      </c>
      <c r="C1296" s="1" t="s">
        <v>20</v>
      </c>
      <c r="D1296" s="1" t="s">
        <v>2026</v>
      </c>
      <c r="E1296" s="2" t="n">
        <v>454981813</v>
      </c>
      <c r="H1296" s="3" t="n">
        <f aca="false">SUM(I1296+J1296+K1296)</f>
        <v>2990</v>
      </c>
      <c r="I1296" s="1" t="n">
        <v>1850</v>
      </c>
      <c r="J1296" s="1" t="n">
        <v>0</v>
      </c>
      <c r="K1296" s="1" t="n">
        <v>1140</v>
      </c>
      <c r="L1296" s="4" t="n">
        <v>1.538</v>
      </c>
      <c r="M1296" s="48" t="n">
        <v>46068</v>
      </c>
      <c r="N1296" s="33" t="n">
        <f aca="false">DAY(M1296)</f>
        <v>15</v>
      </c>
      <c r="O1296" s="33" t="str">
        <f aca="false">TEXT(M1296,"DDDD")</f>
        <v>domingo</v>
      </c>
      <c r="P1296" s="6" t="n">
        <f aca="false">MONTH(M1296)</f>
        <v>2</v>
      </c>
      <c r="Q1296" s="26" t="str">
        <f aca="false">TEXT(M1296,"MMMM")</f>
        <v>febrero</v>
      </c>
    </row>
    <row r="1297" customFormat="false" ht="14.25" hidden="false" customHeight="false" outlineLevel="0" collapsed="false">
      <c r="A1297" s="1" t="n">
        <v>6</v>
      </c>
      <c r="B1297" s="1" t="s">
        <v>2027</v>
      </c>
      <c r="C1297" s="1" t="s">
        <v>38</v>
      </c>
      <c r="D1297" s="1" t="s">
        <v>2028</v>
      </c>
      <c r="E1297" s="2" t="n">
        <v>454930511</v>
      </c>
      <c r="F1297" s="21" t="s">
        <v>2028</v>
      </c>
      <c r="G1297" s="1" t="n">
        <v>454977962</v>
      </c>
      <c r="H1297" s="3" t="n">
        <f aca="false">SUM(I1297+J1297+K1297)</f>
        <v>9390</v>
      </c>
      <c r="I1297" s="1" t="n">
        <v>6550</v>
      </c>
      <c r="J1297" s="1" t="n">
        <v>0</v>
      </c>
      <c r="K1297" s="1" t="n">
        <v>2840</v>
      </c>
      <c r="L1297" s="4" t="n">
        <v>3.235</v>
      </c>
      <c r="M1297" s="48" t="n">
        <v>46068</v>
      </c>
      <c r="N1297" s="33" t="n">
        <f aca="false">DAY(M1297)</f>
        <v>15</v>
      </c>
      <c r="O1297" s="33" t="str">
        <f aca="false">TEXT(M1297,"DDDD")</f>
        <v>domingo</v>
      </c>
      <c r="P1297" s="6" t="n">
        <f aca="false">MONTH(M1297)</f>
        <v>2</v>
      </c>
      <c r="Q1297" s="26" t="str">
        <f aca="false">TEXT(M1297,"MMMM")</f>
        <v>febrero</v>
      </c>
    </row>
    <row r="1298" customFormat="false" ht="14.25" hidden="false" customHeight="false" outlineLevel="0" collapsed="false">
      <c r="A1298" s="1" t="n">
        <v>6</v>
      </c>
      <c r="B1298" s="1" t="s">
        <v>2029</v>
      </c>
      <c r="C1298" s="1" t="s">
        <v>38</v>
      </c>
      <c r="D1298" s="1" t="s">
        <v>2030</v>
      </c>
      <c r="E1298" s="2" t="n">
        <v>454978994</v>
      </c>
      <c r="H1298" s="3" t="n">
        <f aca="false">SUM(I1298+J1298+K1298)</f>
        <v>3520</v>
      </c>
      <c r="I1298" s="1" t="n">
        <v>2850</v>
      </c>
      <c r="J1298" s="1" t="n">
        <v>0</v>
      </c>
      <c r="K1298" s="1" t="n">
        <v>670</v>
      </c>
      <c r="L1298" s="4" t="n">
        <v>3.343</v>
      </c>
      <c r="M1298" s="48" t="n">
        <v>46068</v>
      </c>
      <c r="N1298" s="33" t="n">
        <f aca="false">DAY(M1298)</f>
        <v>15</v>
      </c>
      <c r="O1298" s="33" t="str">
        <f aca="false">TEXT(M1298,"DDDD")</f>
        <v>domingo</v>
      </c>
      <c r="P1298" s="6" t="n">
        <f aca="false">MONTH(M1298)</f>
        <v>2</v>
      </c>
      <c r="Q1298" s="26" t="str">
        <f aca="false">TEXT(M1298,"MMMM")</f>
        <v>febrero</v>
      </c>
    </row>
    <row r="1299" customFormat="false" ht="14.25" hidden="false" customHeight="false" outlineLevel="0" collapsed="false">
      <c r="A1299" s="1" t="n">
        <v>5</v>
      </c>
      <c r="B1299" s="1" t="s">
        <v>2031</v>
      </c>
      <c r="C1299" s="1" t="s">
        <v>20</v>
      </c>
      <c r="D1299" s="1" t="s">
        <v>2032</v>
      </c>
      <c r="E1299" s="2" t="n">
        <v>454978051</v>
      </c>
      <c r="H1299" s="3" t="n">
        <f aca="false">SUM(I1299+J1299+K1299)</f>
        <v>3840</v>
      </c>
      <c r="I1299" s="1" t="n">
        <v>3500</v>
      </c>
      <c r="J1299" s="1" t="n">
        <v>0</v>
      </c>
      <c r="K1299" s="1" t="n">
        <v>340</v>
      </c>
      <c r="L1299" s="4" t="n">
        <v>3.254</v>
      </c>
      <c r="M1299" s="48" t="n">
        <v>46068</v>
      </c>
      <c r="N1299" s="33" t="n">
        <f aca="false">DAY(M1299)</f>
        <v>15</v>
      </c>
      <c r="O1299" s="33" t="str">
        <f aca="false">TEXT(M1299,"DDDD")</f>
        <v>domingo</v>
      </c>
      <c r="P1299" s="6" t="n">
        <f aca="false">MONTH(M1299)</f>
        <v>2</v>
      </c>
      <c r="Q1299" s="26" t="str">
        <f aca="false">TEXT(M1299,"MMMM")</f>
        <v>febrero</v>
      </c>
      <c r="R1299" s="21" t="s">
        <v>2032</v>
      </c>
      <c r="S1299" s="1" t="n">
        <v>9120</v>
      </c>
    </row>
    <row r="1300" customFormat="false" ht="14.25" hidden="false" customHeight="false" outlineLevel="0" collapsed="false">
      <c r="A1300" s="1" t="n">
        <v>5</v>
      </c>
      <c r="B1300" s="1" t="s">
        <v>2033</v>
      </c>
      <c r="C1300" s="1" t="s">
        <v>20</v>
      </c>
      <c r="D1300" s="1" t="s">
        <v>2034</v>
      </c>
      <c r="E1300" s="2" t="n">
        <v>454978110</v>
      </c>
      <c r="H1300" s="3" t="n">
        <f aca="false">SUM(I1300+J1300+K1300)</f>
        <v>2060</v>
      </c>
      <c r="I1300" s="1" t="n">
        <v>1200</v>
      </c>
      <c r="J1300" s="1" t="n">
        <v>0</v>
      </c>
      <c r="K1300" s="1" t="n">
        <v>860</v>
      </c>
      <c r="L1300" s="4" t="n">
        <v>0.855</v>
      </c>
      <c r="M1300" s="48" t="n">
        <v>46068</v>
      </c>
      <c r="N1300" s="33" t="n">
        <f aca="false">DAY(M1300)</f>
        <v>15</v>
      </c>
      <c r="O1300" s="33" t="str">
        <f aca="false">TEXT(M1300,"DDDD")</f>
        <v>domingo</v>
      </c>
      <c r="P1300" s="6" t="n">
        <f aca="false">MONTH(M1300)</f>
        <v>2</v>
      </c>
      <c r="Q1300" s="26" t="str">
        <f aca="false">TEXT(M1300,"MMMM")</f>
        <v>febrero</v>
      </c>
      <c r="R1300" s="21" t="s">
        <v>2034</v>
      </c>
      <c r="S1300" s="1" t="n">
        <v>3750</v>
      </c>
    </row>
    <row r="1301" customFormat="false" ht="14.25" hidden="false" customHeight="false" outlineLevel="0" collapsed="false">
      <c r="A1301" s="1" t="n">
        <v>5</v>
      </c>
      <c r="B1301" s="1" t="s">
        <v>2035</v>
      </c>
      <c r="C1301" s="1" t="s">
        <v>20</v>
      </c>
      <c r="D1301" s="1" t="s">
        <v>1541</v>
      </c>
      <c r="E1301" s="2" t="n">
        <v>454977941</v>
      </c>
      <c r="H1301" s="3" t="n">
        <f aca="false">SUM(I1301+J1301+K1301)</f>
        <v>1500</v>
      </c>
      <c r="I1301" s="1" t="n">
        <v>1500</v>
      </c>
      <c r="J1301" s="1" t="n">
        <v>0</v>
      </c>
      <c r="K1301" s="1" t="n">
        <v>0</v>
      </c>
      <c r="L1301" s="4" t="n">
        <v>2.367</v>
      </c>
      <c r="M1301" s="48" t="n">
        <v>46068</v>
      </c>
      <c r="N1301" s="33" t="n">
        <f aca="false">DAY(M1301)</f>
        <v>15</v>
      </c>
      <c r="O1301" s="33" t="str">
        <f aca="false">TEXT(M1301,"DDDD")</f>
        <v>domingo</v>
      </c>
      <c r="P1301" s="6" t="n">
        <f aca="false">MONTH(M1301)</f>
        <v>2</v>
      </c>
      <c r="Q1301" s="26" t="str">
        <f aca="false">TEXT(M1301,"MMMM")</f>
        <v>febrero</v>
      </c>
    </row>
    <row r="1302" customFormat="false" ht="14.25" hidden="false" customHeight="false" outlineLevel="0" collapsed="false">
      <c r="A1302" s="1" t="n">
        <v>12</v>
      </c>
      <c r="B1302" s="1" t="s">
        <v>333</v>
      </c>
      <c r="C1302" s="1" t="s">
        <v>20</v>
      </c>
      <c r="D1302" s="1" t="s">
        <v>1019</v>
      </c>
      <c r="E1302" s="2" t="n">
        <v>455319463</v>
      </c>
      <c r="F1302" s="21" t="s">
        <v>2036</v>
      </c>
      <c r="G1302" s="21" t="s">
        <v>2037</v>
      </c>
      <c r="H1302" s="3" t="n">
        <f aca="false">SUM(I1302+J1302+K1302)</f>
        <v>5430</v>
      </c>
      <c r="I1302" s="1" t="n">
        <v>2050</v>
      </c>
      <c r="J1302" s="1" t="n">
        <v>0</v>
      </c>
      <c r="K1302" s="1" t="n">
        <v>3380</v>
      </c>
      <c r="L1302" s="4" t="n">
        <v>1.958</v>
      </c>
      <c r="M1302" s="48" t="n">
        <v>46070</v>
      </c>
      <c r="N1302" s="33" t="n">
        <f aca="false">DAY(M1302)</f>
        <v>17</v>
      </c>
      <c r="O1302" s="33" t="str">
        <f aca="false">TEXT(M1302,"DDDD")</f>
        <v>martes</v>
      </c>
      <c r="P1302" s="6" t="n">
        <f aca="false">MONTH(M1302)</f>
        <v>2</v>
      </c>
      <c r="Q1302" s="26" t="str">
        <f aca="false">TEXT(M1302,"MMMM")</f>
        <v>febrero</v>
      </c>
    </row>
    <row r="1303" customFormat="false" ht="14.25" hidden="false" customHeight="false" outlineLevel="0" collapsed="false">
      <c r="A1303" s="1" t="n">
        <v>12</v>
      </c>
      <c r="B1303" s="1" t="s">
        <v>2038</v>
      </c>
      <c r="C1303" s="1" t="s">
        <v>20</v>
      </c>
      <c r="D1303" s="1" t="s">
        <v>119</v>
      </c>
      <c r="E1303" s="2" t="n">
        <v>455309928</v>
      </c>
      <c r="H1303" s="3" t="n">
        <f aca="false">SUM(I1303+J1303+K1303)</f>
        <v>1200</v>
      </c>
      <c r="I1303" s="1" t="n">
        <v>1200</v>
      </c>
      <c r="J1303" s="1" t="n">
        <v>0</v>
      </c>
      <c r="K1303" s="1" t="n">
        <v>0</v>
      </c>
      <c r="L1303" s="4" t="n">
        <v>0.642</v>
      </c>
      <c r="M1303" s="48" t="n">
        <v>46070</v>
      </c>
      <c r="N1303" s="33" t="n">
        <f aca="false">DAY(M1303)</f>
        <v>17</v>
      </c>
      <c r="O1303" s="33" t="str">
        <f aca="false">TEXT(M1303,"DDDD")</f>
        <v>martes</v>
      </c>
      <c r="P1303" s="6" t="n">
        <f aca="false">MONTH(M1303)</f>
        <v>2</v>
      </c>
      <c r="Q1303" s="26" t="str">
        <f aca="false">TEXT(M1303,"MMMM")</f>
        <v>febrero</v>
      </c>
    </row>
    <row r="1304" customFormat="false" ht="14.25" hidden="false" customHeight="false" outlineLevel="0" collapsed="false">
      <c r="A1304" s="1" t="n">
        <v>11</v>
      </c>
      <c r="B1304" s="1" t="s">
        <v>2039</v>
      </c>
      <c r="C1304" s="1" t="s">
        <v>20</v>
      </c>
      <c r="D1304" s="1" t="s">
        <v>2040</v>
      </c>
      <c r="E1304" s="2" t="n">
        <v>455294836</v>
      </c>
      <c r="F1304" s="21" t="s">
        <v>2041</v>
      </c>
      <c r="G1304" s="21" t="s">
        <v>2042</v>
      </c>
      <c r="H1304" s="3" t="n">
        <f aca="false">SUM(I1304+J1304+K1304)</f>
        <v>2960</v>
      </c>
      <c r="I1304" s="1" t="n">
        <v>1800</v>
      </c>
      <c r="J1304" s="1" t="n">
        <v>0</v>
      </c>
      <c r="K1304" s="1" t="n">
        <v>1160</v>
      </c>
      <c r="L1304" s="4" t="n">
        <v>1.283</v>
      </c>
      <c r="M1304" s="48" t="n">
        <v>46070</v>
      </c>
      <c r="N1304" s="33" t="n">
        <f aca="false">DAY(M1304)</f>
        <v>17</v>
      </c>
      <c r="O1304" s="33" t="str">
        <f aca="false">TEXT(M1304,"DDDD")</f>
        <v>martes</v>
      </c>
      <c r="P1304" s="6" t="n">
        <f aca="false">MONTH(M1304)</f>
        <v>2</v>
      </c>
      <c r="Q1304" s="26" t="str">
        <f aca="false">TEXT(M1304,"MMMM")</f>
        <v>febrero</v>
      </c>
    </row>
    <row r="1305" customFormat="false" ht="14.25" hidden="false" customHeight="false" outlineLevel="0" collapsed="false">
      <c r="A1305" s="1" t="n">
        <v>11</v>
      </c>
      <c r="B1305" s="1" t="s">
        <v>375</v>
      </c>
      <c r="C1305" s="1" t="s">
        <v>20</v>
      </c>
      <c r="D1305" s="1" t="s">
        <v>677</v>
      </c>
      <c r="E1305" s="2" t="n">
        <v>455288087</v>
      </c>
      <c r="H1305" s="3" t="n">
        <f aca="false">SUM(I1305+J1305+K1305)</f>
        <v>2860</v>
      </c>
      <c r="I1305" s="1" t="n">
        <v>2300</v>
      </c>
      <c r="J1305" s="1" t="n">
        <v>0</v>
      </c>
      <c r="K1305" s="1" t="n">
        <v>560</v>
      </c>
      <c r="L1305" s="4" t="n">
        <v>2.044</v>
      </c>
      <c r="M1305" s="48" t="n">
        <v>46070</v>
      </c>
      <c r="N1305" s="33" t="n">
        <f aca="false">DAY(M1305)</f>
        <v>17</v>
      </c>
      <c r="O1305" s="33" t="str">
        <f aca="false">TEXT(M1305,"DDDD")</f>
        <v>martes</v>
      </c>
      <c r="P1305" s="6" t="n">
        <f aca="false">MONTH(M1305)</f>
        <v>2</v>
      </c>
      <c r="Q1305" s="26" t="str">
        <f aca="false">TEXT(M1305,"MMMM")</f>
        <v>febrero</v>
      </c>
    </row>
    <row r="1306" customFormat="false" ht="14.25" hidden="false" customHeight="false" outlineLevel="0" collapsed="false">
      <c r="A1306" s="1" t="n">
        <v>11</v>
      </c>
      <c r="B1306" s="1" t="s">
        <v>586</v>
      </c>
      <c r="C1306" s="1" t="s">
        <v>20</v>
      </c>
      <c r="D1306" s="1" t="s">
        <v>2043</v>
      </c>
      <c r="E1306" s="2" t="n">
        <v>455282843</v>
      </c>
      <c r="F1306" s="21" t="s">
        <v>2044</v>
      </c>
      <c r="G1306" s="21" t="s">
        <v>2045</v>
      </c>
      <c r="H1306" s="3" t="n">
        <f aca="false">SUM(I1306+J1306+K1306)</f>
        <v>5200</v>
      </c>
      <c r="I1306" s="1" t="n">
        <v>2100</v>
      </c>
      <c r="J1306" s="1" t="n">
        <v>0</v>
      </c>
      <c r="K1306" s="1" t="n">
        <v>3100</v>
      </c>
      <c r="L1306" s="4" t="n">
        <v>1.108</v>
      </c>
      <c r="M1306" s="48" t="n">
        <v>46070</v>
      </c>
      <c r="N1306" s="33" t="n">
        <f aca="false">DAY(M1306)</f>
        <v>17</v>
      </c>
      <c r="O1306" s="33" t="str">
        <f aca="false">TEXT(M1306,"DDDD")</f>
        <v>martes</v>
      </c>
      <c r="P1306" s="6" t="n">
        <f aca="false">MONTH(M1306)</f>
        <v>2</v>
      </c>
      <c r="Q1306" s="26" t="str">
        <f aca="false">TEXT(M1306,"MMMM")</f>
        <v>febrero</v>
      </c>
    </row>
    <row r="1307" customFormat="false" ht="14.25" hidden="false" customHeight="false" outlineLevel="0" collapsed="false">
      <c r="A1307" s="1" t="n">
        <v>11</v>
      </c>
      <c r="B1307" s="1" t="s">
        <v>676</v>
      </c>
      <c r="C1307" s="1" t="s">
        <v>38</v>
      </c>
      <c r="D1307" s="1" t="s">
        <v>1438</v>
      </c>
      <c r="E1307" s="2" t="n">
        <v>455278369</v>
      </c>
      <c r="F1307" s="21" t="s">
        <v>1438</v>
      </c>
      <c r="G1307" s="21" t="s">
        <v>2046</v>
      </c>
      <c r="H1307" s="3" t="n">
        <f aca="false">SUM(I1307+J1307+K1307)</f>
        <v>3202</v>
      </c>
      <c r="I1307" s="1" t="n">
        <v>2001</v>
      </c>
      <c r="J1307" s="1" t="n">
        <v>0</v>
      </c>
      <c r="K1307" s="1" t="n">
        <v>1201</v>
      </c>
      <c r="L1307" s="4" t="n">
        <v>2.163</v>
      </c>
      <c r="M1307" s="48" t="n">
        <v>46070</v>
      </c>
      <c r="N1307" s="33" t="n">
        <f aca="false">DAY(M1307)</f>
        <v>17</v>
      </c>
      <c r="O1307" s="33" t="str">
        <f aca="false">TEXT(M1307,"DDDD")</f>
        <v>martes</v>
      </c>
      <c r="P1307" s="6" t="n">
        <f aca="false">MONTH(M1307)</f>
        <v>2</v>
      </c>
      <c r="Q1307" s="26" t="str">
        <f aca="false">TEXT(M1307,"MMMM")</f>
        <v>febrero</v>
      </c>
    </row>
    <row r="1308" customFormat="false" ht="14.25" hidden="false" customHeight="false" outlineLevel="0" collapsed="false">
      <c r="A1308" s="1" t="n">
        <v>10</v>
      </c>
      <c r="B1308" s="1" t="s">
        <v>2047</v>
      </c>
      <c r="C1308" s="1" t="s">
        <v>20</v>
      </c>
      <c r="D1308" s="1" t="s">
        <v>1641</v>
      </c>
      <c r="E1308" s="2" t="n">
        <v>455275144</v>
      </c>
      <c r="H1308" s="3" t="n">
        <f aca="false">SUM(I1308+J1308+K1308)</f>
        <v>4920</v>
      </c>
      <c r="I1308" s="1" t="n">
        <v>1200</v>
      </c>
      <c r="J1308" s="1" t="n">
        <v>0</v>
      </c>
      <c r="K1308" s="1" t="n">
        <v>3720</v>
      </c>
      <c r="L1308" s="4" t="n">
        <v>1.86</v>
      </c>
      <c r="M1308" s="48" t="n">
        <v>46070</v>
      </c>
      <c r="N1308" s="33" t="n">
        <f aca="false">DAY(M1308)</f>
        <v>17</v>
      </c>
      <c r="O1308" s="33" t="str">
        <f aca="false">TEXT(M1308,"DDDD")</f>
        <v>martes</v>
      </c>
      <c r="P1308" s="6" t="n">
        <f aca="false">MONTH(M1308)</f>
        <v>2</v>
      </c>
      <c r="Q1308" s="26" t="str">
        <f aca="false">TEXT(M1308,"MMMM")</f>
        <v>febrero</v>
      </c>
    </row>
    <row r="1309" customFormat="false" ht="14.25" hidden="false" customHeight="false" outlineLevel="0" collapsed="false">
      <c r="A1309" s="1" t="n">
        <v>9</v>
      </c>
      <c r="B1309" s="1" t="s">
        <v>2048</v>
      </c>
      <c r="C1309" s="1" t="s">
        <v>20</v>
      </c>
      <c r="D1309" s="1" t="s">
        <v>1154</v>
      </c>
      <c r="E1309" s="2" t="n">
        <v>455255077</v>
      </c>
      <c r="H1309" s="3" t="n">
        <f aca="false">SUM(I1309+J1309+K1309)</f>
        <v>1320</v>
      </c>
      <c r="I1309" s="1" t="n">
        <v>1200</v>
      </c>
      <c r="J1309" s="1" t="n">
        <v>0</v>
      </c>
      <c r="K1309" s="1" t="n">
        <v>120</v>
      </c>
      <c r="L1309" s="4" t="n">
        <v>1.465</v>
      </c>
      <c r="M1309" s="48" t="n">
        <v>46070</v>
      </c>
      <c r="N1309" s="33" t="n">
        <f aca="false">DAY(M1309)</f>
        <v>17</v>
      </c>
      <c r="O1309" s="33" t="str">
        <f aca="false">TEXT(M1309,"DDDD")</f>
        <v>martes</v>
      </c>
      <c r="P1309" s="6" t="n">
        <f aca="false">MONTH(M1309)</f>
        <v>2</v>
      </c>
      <c r="Q1309" s="26" t="str">
        <f aca="false">TEXT(M1309,"MMMM")</f>
        <v>febrero</v>
      </c>
    </row>
    <row r="1310" customFormat="false" ht="14.25" hidden="false" customHeight="false" outlineLevel="0" collapsed="false">
      <c r="A1310" s="1" t="n">
        <v>8</v>
      </c>
      <c r="B1310" s="1" t="s">
        <v>1862</v>
      </c>
      <c r="C1310" s="1" t="s">
        <v>20</v>
      </c>
      <c r="D1310" s="1" t="s">
        <v>1524</v>
      </c>
      <c r="E1310" s="2" t="n">
        <v>455251240</v>
      </c>
      <c r="H1310" s="3" t="n">
        <f aca="false">SUM(I1310+J1310+K1310)</f>
        <v>1200</v>
      </c>
      <c r="I1310" s="1" t="n">
        <v>1200</v>
      </c>
      <c r="J1310" s="1" t="n">
        <v>0</v>
      </c>
      <c r="K1310" s="1" t="n">
        <v>0</v>
      </c>
      <c r="L1310" s="4" t="n">
        <v>0.723</v>
      </c>
      <c r="M1310" s="48" t="n">
        <v>46070</v>
      </c>
      <c r="N1310" s="33" t="n">
        <f aca="false">DAY(M1310)</f>
        <v>17</v>
      </c>
      <c r="O1310" s="33" t="str">
        <f aca="false">TEXT(M1310,"DDDD")</f>
        <v>martes</v>
      </c>
      <c r="P1310" s="6" t="n">
        <f aca="false">MONTH(M1310)</f>
        <v>2</v>
      </c>
      <c r="Q1310" s="26" t="str">
        <f aca="false">TEXT(M1310,"MMMM")</f>
        <v>febrero</v>
      </c>
    </row>
    <row r="1311" customFormat="false" ht="14.25" hidden="false" customHeight="false" outlineLevel="0" collapsed="false">
      <c r="A1311" s="1" t="n">
        <v>8</v>
      </c>
      <c r="B1311" s="1" t="s">
        <v>2049</v>
      </c>
      <c r="C1311" s="1" t="s">
        <v>38</v>
      </c>
      <c r="D1311" s="1" t="s">
        <v>878</v>
      </c>
      <c r="E1311" s="2" t="n">
        <v>455247840</v>
      </c>
      <c r="H1311" s="3" t="n">
        <f aca="false">SUM(I1311+J1311+K1311)</f>
        <v>3050</v>
      </c>
      <c r="I1311" s="1" t="n">
        <v>2550</v>
      </c>
      <c r="J1311" s="1" t="n">
        <v>0</v>
      </c>
      <c r="K1311" s="1" t="n">
        <v>500</v>
      </c>
      <c r="L1311" s="4" t="n">
        <v>0.977</v>
      </c>
      <c r="M1311" s="48" t="n">
        <v>46070</v>
      </c>
      <c r="N1311" s="33" t="n">
        <f aca="false">DAY(M1311)</f>
        <v>17</v>
      </c>
      <c r="O1311" s="33" t="str">
        <f aca="false">TEXT(M1311,"DDDD")</f>
        <v>martes</v>
      </c>
      <c r="P1311" s="6" t="n">
        <f aca="false">MONTH(M1311)</f>
        <v>2</v>
      </c>
      <c r="Q1311" s="26" t="str">
        <f aca="false">TEXT(M1311,"MMMM")</f>
        <v>febrero</v>
      </c>
    </row>
    <row r="1312" customFormat="false" ht="14.25" hidden="false" customHeight="false" outlineLevel="0" collapsed="false">
      <c r="A1312" s="1" t="n">
        <v>8</v>
      </c>
      <c r="B1312" s="1" t="s">
        <v>2050</v>
      </c>
      <c r="C1312" s="1" t="s">
        <v>20</v>
      </c>
      <c r="D1312" s="1" t="s">
        <v>1123</v>
      </c>
      <c r="E1312" s="2" t="n">
        <v>455241192</v>
      </c>
      <c r="H1312" s="3" t="n">
        <f aca="false">SUM(I1312+J1312+K1312)</f>
        <v>4700</v>
      </c>
      <c r="I1312" s="1" t="n">
        <v>1200</v>
      </c>
      <c r="J1312" s="1" t="n">
        <v>0</v>
      </c>
      <c r="K1312" s="1" t="n">
        <v>3500</v>
      </c>
      <c r="L1312" s="4" t="n">
        <v>2.808</v>
      </c>
      <c r="M1312" s="48" t="n">
        <v>46070</v>
      </c>
      <c r="N1312" s="33" t="n">
        <f aca="false">DAY(M1312)</f>
        <v>17</v>
      </c>
      <c r="O1312" s="33" t="str">
        <f aca="false">TEXT(M1312,"DDDD")</f>
        <v>martes</v>
      </c>
      <c r="P1312" s="6" t="n">
        <f aca="false">MONTH(M1312)</f>
        <v>2</v>
      </c>
      <c r="Q1312" s="26" t="str">
        <f aca="false">TEXT(M1312,"MMMM")</f>
        <v>febrero</v>
      </c>
    </row>
    <row r="1313" customFormat="false" ht="14.25" hidden="false" customHeight="false" outlineLevel="0" collapsed="false">
      <c r="A1313" s="1" t="n">
        <v>8</v>
      </c>
      <c r="B1313" s="1" t="s">
        <v>2051</v>
      </c>
      <c r="C1313" s="1" t="s">
        <v>20</v>
      </c>
      <c r="D1313" s="1" t="s">
        <v>242</v>
      </c>
      <c r="E1313" s="2" t="n">
        <v>455235585</v>
      </c>
      <c r="F1313" s="21" t="s">
        <v>2052</v>
      </c>
      <c r="G1313" s="21" t="s">
        <v>2053</v>
      </c>
      <c r="H1313" s="3" t="n">
        <f aca="false">SUM(I1313+J1313+K1313)</f>
        <v>6808</v>
      </c>
      <c r="I1313" s="1" t="n">
        <v>1950</v>
      </c>
      <c r="J1313" s="1" t="n">
        <v>0</v>
      </c>
      <c r="K1313" s="1" t="n">
        <v>4858</v>
      </c>
      <c r="L1313" s="4" t="n">
        <v>3.451</v>
      </c>
      <c r="M1313" s="48" t="n">
        <v>46070</v>
      </c>
      <c r="N1313" s="33" t="n">
        <f aca="false">DAY(M1313)</f>
        <v>17</v>
      </c>
      <c r="O1313" s="33" t="str">
        <f aca="false">TEXT(M1313,"DDDD")</f>
        <v>martes</v>
      </c>
      <c r="P1313" s="6" t="n">
        <f aca="false">MONTH(M1313)</f>
        <v>2</v>
      </c>
      <c r="Q1313" s="26" t="str">
        <f aca="false">TEXT(M1313,"MMMM")</f>
        <v>febrero</v>
      </c>
    </row>
    <row r="1314" customFormat="false" ht="14.25" hidden="false" customHeight="false" outlineLevel="0" collapsed="false">
      <c r="A1314" s="1" t="n">
        <v>7</v>
      </c>
      <c r="B1314" s="1" t="s">
        <v>634</v>
      </c>
      <c r="C1314" s="1" t="s">
        <v>20</v>
      </c>
      <c r="D1314" s="1" t="s">
        <v>2054</v>
      </c>
      <c r="E1314" s="2" t="n">
        <v>455235813</v>
      </c>
      <c r="H1314" s="3" t="n">
        <f aca="false">SUM(I1314+J1314+K1314)</f>
        <v>2200</v>
      </c>
      <c r="I1314" s="1" t="n">
        <v>1200</v>
      </c>
      <c r="J1314" s="1" t="n">
        <v>0</v>
      </c>
      <c r="K1314" s="1" t="n">
        <v>1000</v>
      </c>
      <c r="L1314" s="4" t="n">
        <v>2.067</v>
      </c>
      <c r="M1314" s="48" t="n">
        <v>46070</v>
      </c>
      <c r="N1314" s="33" t="n">
        <f aca="false">DAY(M1314)</f>
        <v>17</v>
      </c>
      <c r="O1314" s="33" t="str">
        <f aca="false">TEXT(M1314,"DDDD")</f>
        <v>martes</v>
      </c>
      <c r="P1314" s="6" t="n">
        <f aca="false">MONTH(M1314)</f>
        <v>2</v>
      </c>
      <c r="Q1314" s="26" t="str">
        <f aca="false">TEXT(M1314,"MMMM")</f>
        <v>febrero</v>
      </c>
    </row>
    <row r="1315" customFormat="false" ht="14.25" hidden="false" customHeight="false" outlineLevel="0" collapsed="false">
      <c r="A1315" s="1" t="n">
        <v>7</v>
      </c>
      <c r="B1315" s="1" t="s">
        <v>2055</v>
      </c>
      <c r="D1315" s="1" t="s">
        <v>49</v>
      </c>
      <c r="E1315" s="2" t="n">
        <v>45532190</v>
      </c>
      <c r="H1315" s="3" t="n">
        <f aca="false">SUM(I1315+J1315+K1315)</f>
        <v>2620</v>
      </c>
      <c r="I1315" s="1" t="n">
        <v>2200</v>
      </c>
      <c r="J1315" s="1" t="n">
        <v>0</v>
      </c>
      <c r="K1315" s="1" t="n">
        <v>420</v>
      </c>
      <c r="L1315" s="4" t="n">
        <v>3.043</v>
      </c>
      <c r="M1315" s="48" t="n">
        <v>46070</v>
      </c>
      <c r="N1315" s="33" t="n">
        <f aca="false">DAY(M1315)</f>
        <v>17</v>
      </c>
      <c r="O1315" s="33" t="str">
        <f aca="false">TEXT(M1315,"DDDD")</f>
        <v>martes</v>
      </c>
      <c r="P1315" s="6" t="n">
        <f aca="false">MONTH(M1315)</f>
        <v>2</v>
      </c>
      <c r="Q1315" s="26" t="str">
        <f aca="false">TEXT(M1315,"MMMM")</f>
        <v>febrero</v>
      </c>
    </row>
    <row r="1316" customFormat="false" ht="14.25" hidden="false" customHeight="false" outlineLevel="0" collapsed="false">
      <c r="A1316" s="1" t="n">
        <v>7</v>
      </c>
      <c r="B1316" s="1" t="s">
        <v>2056</v>
      </c>
      <c r="C1316" s="1" t="s">
        <v>20</v>
      </c>
      <c r="D1316" s="1" t="s">
        <v>926</v>
      </c>
      <c r="E1316" s="2" t="n">
        <v>455228248</v>
      </c>
      <c r="H1316" s="3" t="n">
        <f aca="false">SUM(I1316+J1316+K1316)</f>
        <v>3200</v>
      </c>
      <c r="I1316" s="1" t="n">
        <v>1200</v>
      </c>
      <c r="J1316" s="1" t="n">
        <v>0</v>
      </c>
      <c r="K1316" s="1" t="n">
        <v>2000</v>
      </c>
      <c r="L1316" s="4" t="n">
        <v>2.281</v>
      </c>
      <c r="M1316" s="48" t="n">
        <v>46070</v>
      </c>
      <c r="N1316" s="33" t="n">
        <f aca="false">DAY(M1316)</f>
        <v>17</v>
      </c>
      <c r="O1316" s="33" t="str">
        <f aca="false">TEXT(M1316,"DDDD")</f>
        <v>martes</v>
      </c>
      <c r="P1316" s="6" t="n">
        <f aca="false">MONTH(M1316)</f>
        <v>2</v>
      </c>
      <c r="Q1316" s="26" t="str">
        <f aca="false">TEXT(M1316,"MMMM")</f>
        <v>febrero</v>
      </c>
    </row>
    <row r="1317" customFormat="false" ht="14.25" hidden="false" customHeight="false" outlineLevel="0" collapsed="false">
      <c r="A1317" s="1" t="n">
        <v>12</v>
      </c>
      <c r="B1317" s="1" t="s">
        <v>413</v>
      </c>
      <c r="C1317" s="1" t="s">
        <v>20</v>
      </c>
      <c r="D1317" s="1" t="s">
        <v>478</v>
      </c>
      <c r="E1317" s="2" t="n">
        <v>455418400</v>
      </c>
      <c r="F1317" s="21" t="s">
        <v>478</v>
      </c>
      <c r="G1317" s="1" t="n">
        <v>455417521</v>
      </c>
      <c r="H1317" s="3" t="n">
        <f aca="false">SUM(I1317+J1317+K1317)</f>
        <v>1800</v>
      </c>
      <c r="I1317" s="1" t="n">
        <v>1800</v>
      </c>
      <c r="J1317" s="1" t="n">
        <v>0</v>
      </c>
      <c r="K1317" s="1" t="n">
        <v>0</v>
      </c>
      <c r="L1317" s="4" t="n">
        <v>1.928</v>
      </c>
      <c r="M1317" s="48" t="n">
        <v>46071</v>
      </c>
      <c r="N1317" s="33" t="n">
        <f aca="false">DAY(M1317)</f>
        <v>18</v>
      </c>
      <c r="O1317" s="33" t="str">
        <f aca="false">TEXT(M1317,"DDDD")</f>
        <v>miércoles</v>
      </c>
      <c r="P1317" s="6" t="n">
        <f aca="false">MONTH(M1317)</f>
        <v>2</v>
      </c>
      <c r="Q1317" s="26" t="str">
        <f aca="false">TEXT(M1317,"MMMM")</f>
        <v>febrero</v>
      </c>
    </row>
    <row r="1318" customFormat="false" ht="14.25" hidden="false" customHeight="false" outlineLevel="0" collapsed="false">
      <c r="A1318" s="1" t="n">
        <v>12</v>
      </c>
      <c r="B1318" s="1" t="s">
        <v>370</v>
      </c>
      <c r="C1318" s="1" t="s">
        <v>20</v>
      </c>
      <c r="D1318" s="1" t="s">
        <v>2057</v>
      </c>
      <c r="E1318" s="2" t="n">
        <v>455410935</v>
      </c>
      <c r="H1318" s="3" t="n">
        <f aca="false">SUM(I1318+J1318+K1318)</f>
        <v>3200</v>
      </c>
      <c r="I1318" s="1" t="n">
        <v>1500</v>
      </c>
      <c r="J1318" s="1" t="n">
        <v>100</v>
      </c>
      <c r="K1318" s="1" t="n">
        <v>1600</v>
      </c>
      <c r="L1318" s="4" t="n">
        <v>2.261</v>
      </c>
      <c r="M1318" s="48" t="n">
        <v>46071</v>
      </c>
      <c r="N1318" s="33" t="n">
        <f aca="false">DAY(M1318)</f>
        <v>18</v>
      </c>
      <c r="O1318" s="33" t="str">
        <f aca="false">TEXT(M1318,"DDDD")</f>
        <v>miércoles</v>
      </c>
      <c r="P1318" s="6" t="n">
        <f aca="false">MONTH(M1318)</f>
        <v>2</v>
      </c>
      <c r="Q1318" s="26" t="str">
        <f aca="false">TEXT(M1318,"MMMM")</f>
        <v>febrero</v>
      </c>
    </row>
    <row r="1319" customFormat="false" ht="14.25" hidden="false" customHeight="false" outlineLevel="0" collapsed="false">
      <c r="A1319" s="1" t="n">
        <v>11</v>
      </c>
      <c r="B1319" s="1" t="s">
        <v>341</v>
      </c>
      <c r="C1319" s="1" t="s">
        <v>20</v>
      </c>
      <c r="D1319" s="1" t="s">
        <v>2036</v>
      </c>
      <c r="E1319" s="2" t="n">
        <v>455404922</v>
      </c>
      <c r="F1319" s="21" t="s">
        <v>1559</v>
      </c>
      <c r="G1319" s="1" t="n">
        <v>455406387</v>
      </c>
      <c r="H1319" s="3" t="n">
        <f aca="false">SUM(I1319+J1319+K1319)</f>
        <v>5000</v>
      </c>
      <c r="I1319" s="1" t="n">
        <v>2300</v>
      </c>
      <c r="J1319" s="1" t="n">
        <v>200</v>
      </c>
      <c r="K1319" s="1" t="n">
        <v>2500</v>
      </c>
      <c r="L1319" s="4" t="n">
        <v>1.753</v>
      </c>
      <c r="M1319" s="48" t="n">
        <v>46071</v>
      </c>
      <c r="N1319" s="33" t="n">
        <f aca="false">DAY(M1319)</f>
        <v>18</v>
      </c>
      <c r="O1319" s="33" t="str">
        <f aca="false">TEXT(M1319,"DDDD")</f>
        <v>miércoles</v>
      </c>
      <c r="P1319" s="6" t="n">
        <f aca="false">MONTH(M1319)</f>
        <v>2</v>
      </c>
      <c r="Q1319" s="26" t="str">
        <f aca="false">TEXT(M1319,"MMMM")</f>
        <v>febrero</v>
      </c>
      <c r="R1319" s="21" t="s">
        <v>1559</v>
      </c>
      <c r="S1319" s="1" t="n">
        <v>37040</v>
      </c>
    </row>
    <row r="1320" customFormat="false" ht="14.25" hidden="false" customHeight="false" outlineLevel="0" collapsed="false">
      <c r="A1320" s="1" t="n">
        <v>11</v>
      </c>
      <c r="B1320" s="1" t="s">
        <v>871</v>
      </c>
      <c r="C1320" s="1" t="s">
        <v>20</v>
      </c>
      <c r="D1320" s="1" t="s">
        <v>1673</v>
      </c>
      <c r="E1320" s="2" t="n">
        <v>455394873</v>
      </c>
      <c r="F1320" s="21" t="s">
        <v>2058</v>
      </c>
      <c r="G1320" s="1" t="n">
        <v>455395397</v>
      </c>
      <c r="H1320" s="3" t="n">
        <f aca="false">SUM(I1320+J1320+K1320)</f>
        <v>3400</v>
      </c>
      <c r="I1320" s="1" t="n">
        <v>3200</v>
      </c>
      <c r="J1320" s="1" t="n">
        <v>200</v>
      </c>
      <c r="K1320" s="1" t="n">
        <v>0</v>
      </c>
      <c r="L1320" s="4" t="n">
        <v>1.974</v>
      </c>
      <c r="M1320" s="48" t="n">
        <v>46071</v>
      </c>
      <c r="N1320" s="33" t="n">
        <f aca="false">DAY(M1320)</f>
        <v>18</v>
      </c>
      <c r="O1320" s="33" t="str">
        <f aca="false">TEXT(M1320,"DDDD")</f>
        <v>miércoles</v>
      </c>
      <c r="P1320" s="6" t="n">
        <f aca="false">MONTH(M1320)</f>
        <v>2</v>
      </c>
      <c r="Q1320" s="26" t="str">
        <f aca="false">TEXT(M1320,"MMMM")</f>
        <v>febrero</v>
      </c>
      <c r="R1320" s="21" t="s">
        <v>2058</v>
      </c>
      <c r="S1320" s="1" t="n">
        <v>14938</v>
      </c>
    </row>
    <row r="1321" customFormat="false" ht="14.25" hidden="false" customHeight="false" outlineLevel="0" collapsed="false">
      <c r="A1321" s="1" t="n">
        <v>11</v>
      </c>
      <c r="B1321" s="1" t="s">
        <v>2059</v>
      </c>
      <c r="C1321" s="1" t="s">
        <v>38</v>
      </c>
      <c r="D1321" s="1" t="s">
        <v>1637</v>
      </c>
      <c r="E1321" s="2" t="n">
        <v>455390909</v>
      </c>
      <c r="H1321" s="3" t="n">
        <f aca="false">SUM(I1321+J1321+K1321)</f>
        <v>1300</v>
      </c>
      <c r="I1321" s="1" t="n">
        <v>1200</v>
      </c>
      <c r="J1321" s="1" t="n">
        <v>100</v>
      </c>
      <c r="K1321" s="1" t="n">
        <v>0</v>
      </c>
      <c r="L1321" s="4" t="n">
        <v>0.696</v>
      </c>
      <c r="M1321" s="48" t="n">
        <v>46071</v>
      </c>
      <c r="N1321" s="33" t="n">
        <f aca="false">DAY(M1321)</f>
        <v>18</v>
      </c>
      <c r="O1321" s="33" t="str">
        <f aca="false">TEXT(M1321,"DDDD")</f>
        <v>miércoles</v>
      </c>
      <c r="P1321" s="6" t="n">
        <f aca="false">MONTH(M1321)</f>
        <v>2</v>
      </c>
      <c r="Q1321" s="26" t="str">
        <f aca="false">TEXT(M1321,"MMMM")</f>
        <v>febrero</v>
      </c>
    </row>
    <row r="1322" customFormat="false" ht="14.25" hidden="false" customHeight="false" outlineLevel="0" collapsed="false">
      <c r="A1322" s="1" t="n">
        <v>10</v>
      </c>
      <c r="B1322" s="1" t="s">
        <v>957</v>
      </c>
      <c r="C1322" s="1" t="s">
        <v>20</v>
      </c>
      <c r="D1322" s="1" t="s">
        <v>2060</v>
      </c>
      <c r="E1322" s="2" t="n">
        <v>455380913</v>
      </c>
      <c r="F1322" s="21" t="s">
        <v>2061</v>
      </c>
      <c r="G1322" s="1" t="n">
        <v>455380612</v>
      </c>
      <c r="H1322" s="3" t="n">
        <f aca="false">SUM(I1322+J1322+K1322)</f>
        <v>3900</v>
      </c>
      <c r="I1322" s="1" t="n">
        <v>1800</v>
      </c>
      <c r="J1322" s="1" t="n">
        <v>0</v>
      </c>
      <c r="K1322" s="1" t="n">
        <v>2100</v>
      </c>
      <c r="L1322" s="4" t="n">
        <v>2.185</v>
      </c>
      <c r="M1322" s="48" t="n">
        <v>46071</v>
      </c>
      <c r="N1322" s="33" t="n">
        <f aca="false">DAY(M1322)</f>
        <v>18</v>
      </c>
      <c r="O1322" s="33" t="str">
        <f aca="false">TEXT(M1322,"DDDD")</f>
        <v>miércoles</v>
      </c>
      <c r="P1322" s="6" t="n">
        <f aca="false">MONTH(M1322)</f>
        <v>2</v>
      </c>
      <c r="Q1322" s="26" t="str">
        <f aca="false">TEXT(M1322,"MMMM")</f>
        <v>febrero</v>
      </c>
      <c r="R1322" s="21" t="s">
        <v>2061</v>
      </c>
      <c r="S1322" s="1" t="n">
        <v>15280</v>
      </c>
    </row>
    <row r="1323" customFormat="false" ht="14.25" hidden="false" customHeight="false" outlineLevel="0" collapsed="false">
      <c r="A1323" s="1" t="n">
        <v>10</v>
      </c>
      <c r="B1323" s="1" t="s">
        <v>2062</v>
      </c>
      <c r="C1323" s="1" t="s">
        <v>20</v>
      </c>
      <c r="D1323" s="1" t="s">
        <v>2063</v>
      </c>
      <c r="E1323" s="2" t="n">
        <v>455373648</v>
      </c>
      <c r="H1323" s="3" t="n">
        <f aca="false">SUM(I1323+J1323+K1323)</f>
        <v>1700</v>
      </c>
      <c r="I1323" s="1" t="n">
        <v>1200</v>
      </c>
      <c r="J1323" s="1" t="n">
        <v>0</v>
      </c>
      <c r="K1323" s="1" t="n">
        <v>500</v>
      </c>
      <c r="L1323" s="4" t="n">
        <v>0.913</v>
      </c>
      <c r="M1323" s="48" t="n">
        <v>46071</v>
      </c>
      <c r="N1323" s="33" t="n">
        <f aca="false">DAY(M1323)</f>
        <v>18</v>
      </c>
      <c r="O1323" s="33" t="str">
        <f aca="false">TEXT(M1323,"DDDD")</f>
        <v>miércoles</v>
      </c>
      <c r="P1323" s="6" t="n">
        <f aca="false">MONTH(M1323)</f>
        <v>2</v>
      </c>
      <c r="Q1323" s="26" t="str">
        <f aca="false">TEXT(M1323,"MMMM")</f>
        <v>febrero</v>
      </c>
    </row>
    <row r="1324" customFormat="false" ht="14.25" hidden="false" customHeight="false" outlineLevel="0" collapsed="false">
      <c r="A1324" s="1" t="n">
        <v>9</v>
      </c>
      <c r="B1324" s="1" t="s">
        <v>2064</v>
      </c>
      <c r="C1324" s="1" t="s">
        <v>20</v>
      </c>
      <c r="D1324" s="1" t="s">
        <v>1409</v>
      </c>
      <c r="E1324" s="2" t="n">
        <v>455376501</v>
      </c>
      <c r="H1324" s="3" t="n">
        <f aca="false">SUM(I1324+J1324+K1324)</f>
        <v>1530</v>
      </c>
      <c r="I1324" s="1" t="n">
        <v>1250</v>
      </c>
      <c r="J1324" s="1" t="n">
        <v>0</v>
      </c>
      <c r="K1324" s="1" t="n">
        <v>280</v>
      </c>
      <c r="L1324" s="4" t="n">
        <v>2.101</v>
      </c>
      <c r="M1324" s="48" t="n">
        <v>46071</v>
      </c>
      <c r="N1324" s="33" t="n">
        <f aca="false">DAY(M1324)</f>
        <v>18</v>
      </c>
      <c r="O1324" s="33" t="str">
        <f aca="false">TEXT(M1324,"DDDD")</f>
        <v>miércoles</v>
      </c>
      <c r="P1324" s="6" t="n">
        <f aca="false">MONTH(M1324)</f>
        <v>2</v>
      </c>
      <c r="Q1324" s="26" t="str">
        <f aca="false">TEXT(M1324,"MMMM")</f>
        <v>febrero</v>
      </c>
    </row>
    <row r="1325" customFormat="false" ht="14.25" hidden="false" customHeight="false" outlineLevel="0" collapsed="false">
      <c r="A1325" s="1" t="n">
        <v>8</v>
      </c>
      <c r="B1325" s="1" t="s">
        <v>2065</v>
      </c>
      <c r="C1325" s="1" t="s">
        <v>20</v>
      </c>
      <c r="D1325" s="1" t="s">
        <v>2066</v>
      </c>
      <c r="E1325" s="2" t="n">
        <v>455375434</v>
      </c>
      <c r="H1325" s="3" t="n">
        <f aca="false">SUM(I1325+J1325+K1325)</f>
        <v>2480</v>
      </c>
      <c r="I1325" s="1" t="n">
        <v>1200</v>
      </c>
      <c r="J1325" s="1" t="n">
        <v>0</v>
      </c>
      <c r="K1325" s="1" t="n">
        <v>1280</v>
      </c>
      <c r="L1325" s="4" t="n">
        <v>2.176</v>
      </c>
      <c r="M1325" s="48" t="n">
        <v>46071</v>
      </c>
      <c r="N1325" s="33" t="n">
        <f aca="false">DAY(M1325)</f>
        <v>18</v>
      </c>
      <c r="O1325" s="33" t="str">
        <f aca="false">TEXT(M1325,"DDDD")</f>
        <v>miércoles</v>
      </c>
      <c r="P1325" s="6" t="n">
        <f aca="false">MONTH(M1325)</f>
        <v>2</v>
      </c>
      <c r="Q1325" s="26" t="str">
        <f aca="false">TEXT(M1325,"MMMM")</f>
        <v>febrero</v>
      </c>
    </row>
    <row r="1326" customFormat="false" ht="14.25" hidden="false" customHeight="false" outlineLevel="0" collapsed="false">
      <c r="A1326" s="1" t="n">
        <v>8</v>
      </c>
      <c r="B1326" s="1" t="s">
        <v>1974</v>
      </c>
      <c r="C1326" s="1" t="s">
        <v>20</v>
      </c>
      <c r="D1326" s="1" t="s">
        <v>2067</v>
      </c>
      <c r="E1326" s="2" t="n">
        <v>455355839</v>
      </c>
      <c r="H1326" s="3" t="n">
        <f aca="false">SUM(I1326+J1326+K1326)</f>
        <v>4940</v>
      </c>
      <c r="I1326" s="1" t="n">
        <v>1200</v>
      </c>
      <c r="J1326" s="1" t="n">
        <v>0</v>
      </c>
      <c r="K1326" s="1" t="n">
        <v>3740</v>
      </c>
      <c r="L1326" s="4" t="n">
        <v>1.007</v>
      </c>
      <c r="M1326" s="48" t="n">
        <v>46071</v>
      </c>
      <c r="N1326" s="33" t="n">
        <f aca="false">DAY(M1326)</f>
        <v>18</v>
      </c>
      <c r="O1326" s="33" t="str">
        <f aca="false">TEXT(M1326,"DDDD")</f>
        <v>miércoles</v>
      </c>
      <c r="P1326" s="6" t="n">
        <f aca="false">MONTH(M1326)</f>
        <v>2</v>
      </c>
      <c r="Q1326" s="26" t="str">
        <f aca="false">TEXT(M1326,"MMMM")</f>
        <v>febrero</v>
      </c>
    </row>
    <row r="1327" customFormat="false" ht="14.25" hidden="false" customHeight="false" outlineLevel="0" collapsed="false">
      <c r="A1327" s="1" t="n">
        <v>7</v>
      </c>
      <c r="B1327" s="1" t="s">
        <v>2068</v>
      </c>
      <c r="C1327" s="1" t="s">
        <v>20</v>
      </c>
      <c r="D1327" s="1" t="s">
        <v>2069</v>
      </c>
      <c r="E1327" s="2" t="n">
        <v>455352303</v>
      </c>
      <c r="H1327" s="3" t="n">
        <f aca="false">SUM(I1327+J1327+K1327)</f>
        <v>1700</v>
      </c>
      <c r="I1327" s="1" t="n">
        <v>1200</v>
      </c>
      <c r="J1327" s="1" t="n">
        <v>0</v>
      </c>
      <c r="K1327" s="1" t="n">
        <v>500</v>
      </c>
      <c r="L1327" s="4" t="n">
        <v>0.719</v>
      </c>
      <c r="M1327" s="48" t="n">
        <v>46071</v>
      </c>
      <c r="N1327" s="33" t="n">
        <f aca="false">DAY(M1327)</f>
        <v>18</v>
      </c>
      <c r="O1327" s="33" t="str">
        <f aca="false">TEXT(M1327,"DDDD")</f>
        <v>miércoles</v>
      </c>
      <c r="P1327" s="6" t="n">
        <f aca="false">MONTH(M1327)</f>
        <v>2</v>
      </c>
      <c r="Q1327" s="26" t="str">
        <f aca="false">TEXT(M1327,"MMMM")</f>
        <v>febrero</v>
      </c>
      <c r="R1327" s="21" t="s">
        <v>2069</v>
      </c>
      <c r="S1327" s="1" t="n">
        <v>9703</v>
      </c>
    </row>
    <row r="1328" customFormat="false" ht="14.25" hidden="false" customHeight="false" outlineLevel="0" collapsed="false">
      <c r="A1328" s="1" t="n">
        <v>7</v>
      </c>
      <c r="B1328" s="1" t="s">
        <v>2070</v>
      </c>
      <c r="C1328" s="1" t="s">
        <v>20</v>
      </c>
      <c r="D1328" s="1" t="s">
        <v>2071</v>
      </c>
      <c r="E1328" s="2" t="n">
        <v>455347402</v>
      </c>
      <c r="F1328" s="21" t="s">
        <v>2071</v>
      </c>
      <c r="G1328" s="1" t="n">
        <v>455350013</v>
      </c>
      <c r="H1328" s="3" t="n">
        <f aca="false">SUM(I1328+J1328+K1328)</f>
        <v>3260</v>
      </c>
      <c r="I1328" s="1" t="n">
        <v>1800</v>
      </c>
      <c r="J1328" s="1" t="n">
        <v>0</v>
      </c>
      <c r="K1328" s="1" t="n">
        <v>1460</v>
      </c>
      <c r="L1328" s="4" t="n">
        <v>2.366</v>
      </c>
      <c r="M1328" s="48" t="n">
        <v>46071</v>
      </c>
      <c r="N1328" s="33" t="n">
        <f aca="false">DAY(M1328)</f>
        <v>18</v>
      </c>
      <c r="O1328" s="33" t="str">
        <f aca="false">TEXT(M1328,"DDDD")</f>
        <v>miércoles</v>
      </c>
      <c r="P1328" s="6" t="n">
        <f aca="false">MONTH(M1328)</f>
        <v>2</v>
      </c>
      <c r="Q1328" s="26" t="str">
        <f aca="false">TEXT(M1328,"MMMM")</f>
        <v>febrero</v>
      </c>
    </row>
    <row r="1329" customFormat="false" ht="14.25" hidden="false" customHeight="false" outlineLevel="0" collapsed="false">
      <c r="A1329" s="1" t="n">
        <v>7</v>
      </c>
      <c r="B1329" s="1" t="s">
        <v>2072</v>
      </c>
      <c r="C1329" s="1" t="s">
        <v>20</v>
      </c>
      <c r="D1329" s="1" t="s">
        <v>2073</v>
      </c>
      <c r="E1329" s="2" t="n">
        <v>455345533</v>
      </c>
      <c r="H1329" s="3" t="n">
        <f aca="false">SUM(I1329+J1329+K1329)</f>
        <v>4080</v>
      </c>
      <c r="I1329" s="1" t="n">
        <v>1200</v>
      </c>
      <c r="J1329" s="1" t="n">
        <v>0</v>
      </c>
      <c r="K1329" s="1" t="n">
        <v>2880</v>
      </c>
      <c r="L1329" s="4" t="n">
        <v>2.918</v>
      </c>
      <c r="M1329" s="48" t="n">
        <v>46071</v>
      </c>
      <c r="N1329" s="33" t="n">
        <f aca="false">DAY(M1329)</f>
        <v>18</v>
      </c>
      <c r="O1329" s="33" t="str">
        <f aca="false">TEXT(M1329,"DDDD")</f>
        <v>miércoles</v>
      </c>
      <c r="P1329" s="6" t="n">
        <f aca="false">MONTH(M1329)</f>
        <v>2</v>
      </c>
      <c r="Q1329" s="26" t="str">
        <f aca="false">TEXT(M1329,"MMMM")</f>
        <v>febrero</v>
      </c>
    </row>
    <row r="1330" customFormat="false" ht="14.25" hidden="false" customHeight="false" outlineLevel="0" collapsed="false">
      <c r="A1330" s="1" t="n">
        <v>7</v>
      </c>
      <c r="B1330" s="1" t="s">
        <v>2074</v>
      </c>
      <c r="C1330" s="1" t="s">
        <v>20</v>
      </c>
      <c r="D1330" s="1" t="s">
        <v>2075</v>
      </c>
      <c r="E1330" s="2" t="n">
        <v>455343385</v>
      </c>
      <c r="H1330" s="3" t="n">
        <f aca="false">SUM(I1330+J1330+K1330)</f>
        <v>1250</v>
      </c>
      <c r="I1330" s="1" t="n">
        <v>1250</v>
      </c>
      <c r="J1330" s="1" t="n">
        <v>0</v>
      </c>
      <c r="K1330" s="1" t="n">
        <v>0</v>
      </c>
      <c r="L1330" s="4" t="n">
        <v>1.766</v>
      </c>
      <c r="M1330" s="48" t="n">
        <v>46071</v>
      </c>
      <c r="N1330" s="33" t="n">
        <f aca="false">DAY(M1330)</f>
        <v>18</v>
      </c>
      <c r="O1330" s="33" t="str">
        <f aca="false">TEXT(M1330,"DDDD")</f>
        <v>miércoles</v>
      </c>
      <c r="P1330" s="6" t="n">
        <f aca="false">MONTH(M1330)</f>
        <v>2</v>
      </c>
      <c r="Q1330" s="26" t="str">
        <f aca="false">TEXT(M1330,"MMMM")</f>
        <v>febrero</v>
      </c>
    </row>
    <row r="1331" customFormat="false" ht="14.25" hidden="false" customHeight="false" outlineLevel="0" collapsed="false">
      <c r="A1331" s="1" t="n">
        <v>6</v>
      </c>
      <c r="B1331" s="1" t="s">
        <v>1927</v>
      </c>
      <c r="C1331" s="1" t="s">
        <v>20</v>
      </c>
      <c r="D1331" s="1" t="s">
        <v>2076</v>
      </c>
      <c r="E1331" s="2" t="n">
        <v>455341237</v>
      </c>
      <c r="H1331" s="3" t="n">
        <f aca="false">SUM(I1331+J1331+K1331)</f>
        <v>2840</v>
      </c>
      <c r="I1331" s="1" t="n">
        <v>1200</v>
      </c>
      <c r="J1331" s="1" t="n">
        <v>0</v>
      </c>
      <c r="K1331" s="1" t="n">
        <v>1640</v>
      </c>
      <c r="L1331" s="4" t="n">
        <v>2.346</v>
      </c>
      <c r="M1331" s="48" t="n">
        <v>46071</v>
      </c>
      <c r="N1331" s="33" t="n">
        <f aca="false">DAY(M1331)</f>
        <v>18</v>
      </c>
      <c r="O1331" s="33" t="str">
        <f aca="false">TEXT(M1331,"DDDD")</f>
        <v>miércoles</v>
      </c>
      <c r="P1331" s="6" t="n">
        <f aca="false">MONTH(M1331)</f>
        <v>2</v>
      </c>
      <c r="Q1331" s="26" t="str">
        <f aca="false">TEXT(M1331,"MMMM")</f>
        <v>febrero</v>
      </c>
    </row>
    <row r="1332" customFormat="false" ht="14.25" hidden="false" customHeight="false" outlineLevel="0" collapsed="false">
      <c r="A1332" s="1" t="n">
        <v>12</v>
      </c>
      <c r="B1332" s="1" t="s">
        <v>575</v>
      </c>
      <c r="C1332" s="1" t="s">
        <v>38</v>
      </c>
      <c r="D1332" s="1" t="s">
        <v>2077</v>
      </c>
      <c r="E1332" s="2" t="n">
        <v>455445089</v>
      </c>
      <c r="H1332" s="3" t="n">
        <f aca="false">SUM(I1332+J1332+K1332)</f>
        <v>2600</v>
      </c>
      <c r="I1332" s="1" t="n">
        <v>1200</v>
      </c>
      <c r="J1332" s="1" t="n">
        <v>0</v>
      </c>
      <c r="K1332" s="1" t="n">
        <v>1400</v>
      </c>
      <c r="L1332" s="4" t="n">
        <v>1.197</v>
      </c>
      <c r="M1332" s="48" t="n">
        <v>46072</v>
      </c>
      <c r="N1332" s="33" t="n">
        <f aca="false">DAY(M1332)</f>
        <v>19</v>
      </c>
      <c r="O1332" s="33" t="str">
        <f aca="false">TEXT(M1332,"DDDD")</f>
        <v>jueves</v>
      </c>
      <c r="P1332" s="6" t="n">
        <f aca="false">MONTH(M1332)</f>
        <v>2</v>
      </c>
      <c r="Q1332" s="26" t="str">
        <f aca="false">TEXT(M1332,"MMMM")</f>
        <v>febrero</v>
      </c>
    </row>
    <row r="1333" customFormat="false" ht="14.25" hidden="false" customHeight="false" outlineLevel="0" collapsed="false">
      <c r="A1333" s="1" t="n">
        <v>12</v>
      </c>
      <c r="B1333" s="1" t="s">
        <v>2078</v>
      </c>
      <c r="C1333" s="1" t="s">
        <v>20</v>
      </c>
      <c r="D1333" s="1" t="s">
        <v>2079</v>
      </c>
      <c r="E1333" s="2" t="n">
        <v>455441658</v>
      </c>
      <c r="H1333" s="3" t="n">
        <f aca="false">SUM(I1333+J1333+K1333)</f>
        <v>1880</v>
      </c>
      <c r="I1333" s="1" t="n">
        <v>1200</v>
      </c>
      <c r="J1333" s="1" t="n">
        <v>0</v>
      </c>
      <c r="K1333" s="1" t="n">
        <v>680</v>
      </c>
      <c r="L1333" s="4" t="n">
        <v>2.048</v>
      </c>
      <c r="M1333" s="48" t="n">
        <v>46072</v>
      </c>
      <c r="N1333" s="33" t="n">
        <f aca="false">DAY(M1333)</f>
        <v>19</v>
      </c>
      <c r="O1333" s="33" t="str">
        <f aca="false">TEXT(M1333,"DDDD")</f>
        <v>jueves</v>
      </c>
      <c r="P1333" s="6" t="n">
        <f aca="false">MONTH(M1333)</f>
        <v>2</v>
      </c>
      <c r="Q1333" s="26" t="str">
        <f aca="false">TEXT(M1333,"MMMM")</f>
        <v>febrero</v>
      </c>
    </row>
    <row r="1334" customFormat="false" ht="14.25" hidden="false" customHeight="false" outlineLevel="0" collapsed="false">
      <c r="A1334" s="1" t="n">
        <v>12</v>
      </c>
      <c r="B1334" s="1" t="s">
        <v>369</v>
      </c>
      <c r="C1334" s="1" t="s">
        <v>38</v>
      </c>
      <c r="D1334" s="1" t="s">
        <v>2080</v>
      </c>
      <c r="E1334" s="2" t="n">
        <v>455520621</v>
      </c>
      <c r="F1334" s="21" t="s">
        <v>2080</v>
      </c>
      <c r="G1334" s="1" t="n">
        <v>455525487</v>
      </c>
      <c r="H1334" s="3" t="n">
        <f aca="false">SUM(I1334+J1334+K1334)</f>
        <v>5101</v>
      </c>
      <c r="I1334" s="1" t="n">
        <v>1801</v>
      </c>
      <c r="J1334" s="1" t="n">
        <v>100</v>
      </c>
      <c r="K1334" s="1" t="n">
        <v>3200</v>
      </c>
      <c r="L1334" s="4" t="n">
        <v>1.973</v>
      </c>
      <c r="M1334" s="48" t="n">
        <v>46072</v>
      </c>
      <c r="N1334" s="33" t="n">
        <f aca="false">DAY(M1334)</f>
        <v>19</v>
      </c>
      <c r="O1334" s="33" t="str">
        <f aca="false">TEXT(M1334,"DDDD")</f>
        <v>jueves</v>
      </c>
      <c r="P1334" s="6" t="n">
        <f aca="false">MONTH(M1334)</f>
        <v>2</v>
      </c>
      <c r="Q1334" s="26" t="str">
        <f aca="false">TEXT(M1334,"MMMM")</f>
        <v>febrero</v>
      </c>
    </row>
    <row r="1335" customFormat="false" ht="14.25" hidden="false" customHeight="false" outlineLevel="0" collapsed="false">
      <c r="A1335" s="1" t="n">
        <v>11</v>
      </c>
      <c r="B1335" s="1" t="s">
        <v>726</v>
      </c>
      <c r="C1335" s="1" t="s">
        <v>20</v>
      </c>
      <c r="D1335" s="1" t="s">
        <v>2081</v>
      </c>
      <c r="E1335" s="2" t="n">
        <v>455514926</v>
      </c>
      <c r="H1335" s="3" t="n">
        <f aca="false">SUM(I1335+J1335+K1335)</f>
        <v>2000</v>
      </c>
      <c r="I1335" s="1" t="n">
        <v>1900</v>
      </c>
      <c r="J1335" s="1" t="n">
        <v>100</v>
      </c>
      <c r="K1335" s="1" t="n">
        <v>0</v>
      </c>
      <c r="L1335" s="4" t="n">
        <v>2.295</v>
      </c>
      <c r="M1335" s="48" t="n">
        <v>46072</v>
      </c>
      <c r="N1335" s="33" t="n">
        <f aca="false">DAY(M1335)</f>
        <v>19</v>
      </c>
      <c r="O1335" s="33" t="str">
        <f aca="false">TEXT(M1335,"DDDD")</f>
        <v>jueves</v>
      </c>
      <c r="P1335" s="6" t="n">
        <f aca="false">MONTH(M1335)</f>
        <v>2</v>
      </c>
      <c r="Q1335" s="26" t="str">
        <f aca="false">TEXT(M1335,"MMMM")</f>
        <v>febrero</v>
      </c>
    </row>
    <row r="1336" customFormat="false" ht="14.25" hidden="false" customHeight="false" outlineLevel="0" collapsed="false">
      <c r="A1336" s="1" t="n">
        <v>11</v>
      </c>
      <c r="B1336" s="1" t="s">
        <v>251</v>
      </c>
      <c r="C1336" s="1" t="s">
        <v>20</v>
      </c>
      <c r="D1336" s="1" t="s">
        <v>411</v>
      </c>
      <c r="E1336" s="2" t="n">
        <v>455509088</v>
      </c>
      <c r="H1336" s="3" t="n">
        <f aca="false">SUM(I1336+J1336+K1336)</f>
        <v>3000</v>
      </c>
      <c r="I1336" s="1" t="n">
        <v>2000</v>
      </c>
      <c r="J1336" s="1" t="n">
        <v>100</v>
      </c>
      <c r="K1336" s="1" t="n">
        <v>900</v>
      </c>
      <c r="L1336" s="4" t="n">
        <v>2.653</v>
      </c>
      <c r="M1336" s="48" t="n">
        <v>46072</v>
      </c>
      <c r="N1336" s="33" t="n">
        <f aca="false">DAY(M1336)</f>
        <v>19</v>
      </c>
      <c r="O1336" s="33" t="str">
        <f aca="false">TEXT(M1336,"DDDD")</f>
        <v>jueves</v>
      </c>
      <c r="P1336" s="6" t="n">
        <f aca="false">MONTH(M1336)</f>
        <v>2</v>
      </c>
      <c r="Q1336" s="26" t="str">
        <f aca="false">TEXT(M1336,"MMMM")</f>
        <v>febrero</v>
      </c>
    </row>
    <row r="1337" customFormat="false" ht="14.25" hidden="false" customHeight="false" outlineLevel="0" collapsed="false">
      <c r="A1337" s="1" t="n">
        <v>11</v>
      </c>
      <c r="B1337" s="1" t="s">
        <v>2082</v>
      </c>
      <c r="C1337" s="1" t="s">
        <v>20</v>
      </c>
      <c r="D1337" s="1" t="s">
        <v>2083</v>
      </c>
      <c r="E1337" s="2" t="n">
        <v>455503831</v>
      </c>
      <c r="H1337" s="3" t="n">
        <f aca="false">SUM(I1337+J1337+K1337)</f>
        <v>2200</v>
      </c>
      <c r="I1337" s="1" t="n">
        <v>1700</v>
      </c>
      <c r="J1337" s="1" t="n">
        <v>100</v>
      </c>
      <c r="K1337" s="1" t="n">
        <v>400</v>
      </c>
      <c r="L1337" s="4" t="n">
        <v>2.206</v>
      </c>
      <c r="M1337" s="48" t="n">
        <v>46072</v>
      </c>
      <c r="N1337" s="33" t="n">
        <f aca="false">DAY(M1337)</f>
        <v>19</v>
      </c>
      <c r="O1337" s="33" t="str">
        <f aca="false">TEXT(M1337,"DDDD")</f>
        <v>jueves</v>
      </c>
      <c r="P1337" s="6" t="n">
        <f aca="false">MONTH(M1337)</f>
        <v>2</v>
      </c>
      <c r="Q1337" s="26" t="str">
        <f aca="false">TEXT(M1337,"MMMM")</f>
        <v>febrero</v>
      </c>
    </row>
    <row r="1338" customFormat="false" ht="14.25" hidden="false" customHeight="false" outlineLevel="0" collapsed="false">
      <c r="A1338" s="1" t="n">
        <v>11</v>
      </c>
      <c r="B1338" s="1" t="s">
        <v>2084</v>
      </c>
      <c r="C1338" s="1" t="s">
        <v>20</v>
      </c>
      <c r="D1338" s="1" t="s">
        <v>2085</v>
      </c>
      <c r="E1338" s="2" t="n">
        <v>455497576</v>
      </c>
      <c r="F1338" s="21" t="s">
        <v>2086</v>
      </c>
      <c r="G1338" s="1" t="n">
        <v>455498370</v>
      </c>
      <c r="H1338" s="3" t="n">
        <f aca="false">SUM(I1338+J1338+K1338)</f>
        <v>2700</v>
      </c>
      <c r="I1338" s="1" t="n">
        <v>2500</v>
      </c>
      <c r="J1338" s="1" t="n">
        <v>200</v>
      </c>
      <c r="K1338" s="1" t="n">
        <v>0</v>
      </c>
      <c r="L1338" s="4" t="n">
        <v>1.547</v>
      </c>
      <c r="M1338" s="48" t="n">
        <v>46072</v>
      </c>
      <c r="N1338" s="33" t="n">
        <f aca="false">DAY(M1338)</f>
        <v>19</v>
      </c>
      <c r="O1338" s="33" t="str">
        <f aca="false">TEXT(M1338,"DDDD")</f>
        <v>jueves</v>
      </c>
      <c r="P1338" s="6" t="n">
        <f aca="false">MONTH(M1338)</f>
        <v>2</v>
      </c>
      <c r="Q1338" s="26" t="str">
        <f aca="false">TEXT(M1338,"MMMM")</f>
        <v>febrero</v>
      </c>
    </row>
    <row r="1339" customFormat="false" ht="14.25" hidden="false" customHeight="false" outlineLevel="0" collapsed="false">
      <c r="A1339" s="1" t="n">
        <v>11</v>
      </c>
      <c r="B1339" s="1" t="s">
        <v>2087</v>
      </c>
      <c r="C1339" s="1" t="s">
        <v>38</v>
      </c>
      <c r="D1339" s="1" t="s">
        <v>274</v>
      </c>
      <c r="E1339" s="2" t="n">
        <v>455494376</v>
      </c>
      <c r="H1339" s="3" t="n">
        <f aca="false">SUM(I1339+J1339+K1339)</f>
        <v>3170</v>
      </c>
      <c r="I1339" s="1" t="n">
        <v>2650</v>
      </c>
      <c r="J1339" s="1" t="n">
        <v>100</v>
      </c>
      <c r="K1339" s="1" t="n">
        <v>420</v>
      </c>
      <c r="L1339" s="4" t="n">
        <v>3.147</v>
      </c>
      <c r="M1339" s="48" t="n">
        <v>46072</v>
      </c>
      <c r="N1339" s="33" t="n">
        <f aca="false">DAY(M1339)</f>
        <v>19</v>
      </c>
      <c r="O1339" s="33" t="str">
        <f aca="false">TEXT(M1339,"DDDD")</f>
        <v>jueves</v>
      </c>
      <c r="P1339" s="6" t="n">
        <f aca="false">MONTH(M1339)</f>
        <v>2</v>
      </c>
      <c r="Q1339" s="26" t="str">
        <f aca="false">TEXT(M1339,"MMMM")</f>
        <v>febrero</v>
      </c>
    </row>
    <row r="1340" customFormat="false" ht="14.25" hidden="false" customHeight="false" outlineLevel="0" collapsed="false">
      <c r="A1340" s="1" t="n">
        <v>10</v>
      </c>
      <c r="B1340" s="1" t="s">
        <v>954</v>
      </c>
      <c r="C1340" s="1" t="s">
        <v>20</v>
      </c>
      <c r="D1340" s="1" t="s">
        <v>1182</v>
      </c>
      <c r="E1340" s="2" t="n">
        <v>455491221</v>
      </c>
      <c r="H1340" s="3" t="n">
        <f aca="false">SUM(I1340+J1340+K1340)</f>
        <v>1900</v>
      </c>
      <c r="I1340" s="1" t="n">
        <v>1800</v>
      </c>
      <c r="J1340" s="1" t="n">
        <v>100</v>
      </c>
      <c r="K1340" s="1" t="n">
        <v>0</v>
      </c>
      <c r="L1340" s="4" t="n">
        <v>3.071</v>
      </c>
      <c r="M1340" s="48" t="n">
        <v>46072</v>
      </c>
      <c r="N1340" s="33" t="n">
        <f aca="false">DAY(M1340)</f>
        <v>19</v>
      </c>
      <c r="O1340" s="33" t="str">
        <f aca="false">TEXT(M1340,"DDDD")</f>
        <v>jueves</v>
      </c>
      <c r="P1340" s="6" t="n">
        <f aca="false">MONTH(M1340)</f>
        <v>2</v>
      </c>
      <c r="Q1340" s="26" t="str">
        <f aca="false">TEXT(M1340,"MMMM")</f>
        <v>febrero</v>
      </c>
      <c r="R1340" s="21" t="s">
        <v>1182</v>
      </c>
      <c r="S1340" s="1" t="n">
        <v>31290</v>
      </c>
    </row>
    <row r="1341" customFormat="false" ht="14.25" hidden="false" customHeight="false" outlineLevel="0" collapsed="false">
      <c r="A1341" s="1" t="n">
        <v>10</v>
      </c>
      <c r="B1341" s="1" t="s">
        <v>2088</v>
      </c>
      <c r="C1341" s="1" t="s">
        <v>20</v>
      </c>
      <c r="D1341" s="1" t="s">
        <v>2066</v>
      </c>
      <c r="E1341" s="2" t="n">
        <v>455489774</v>
      </c>
      <c r="H1341" s="3" t="n">
        <f aca="false">SUM(I1341+J1341+K1341)</f>
        <v>1220</v>
      </c>
      <c r="I1341" s="1" t="n">
        <v>1200</v>
      </c>
      <c r="J1341" s="1" t="n">
        <v>0</v>
      </c>
      <c r="K1341" s="1" t="n">
        <v>20</v>
      </c>
      <c r="L1341" s="4" t="n">
        <v>1.212</v>
      </c>
      <c r="M1341" s="48" t="n">
        <v>46072</v>
      </c>
      <c r="N1341" s="33" t="n">
        <f aca="false">DAY(M1341)</f>
        <v>19</v>
      </c>
      <c r="O1341" s="33" t="str">
        <f aca="false">TEXT(M1341,"DDDD")</f>
        <v>jueves</v>
      </c>
      <c r="P1341" s="6" t="n">
        <f aca="false">MONTH(M1341)</f>
        <v>2</v>
      </c>
      <c r="Q1341" s="26" t="str">
        <f aca="false">TEXT(M1341,"MMMM")</f>
        <v>febrero</v>
      </c>
    </row>
    <row r="1342" customFormat="false" ht="14.25" hidden="false" customHeight="false" outlineLevel="0" collapsed="false">
      <c r="A1342" s="1" t="n">
        <v>10</v>
      </c>
      <c r="B1342" s="1" t="s">
        <v>771</v>
      </c>
      <c r="C1342" s="1" t="s">
        <v>20</v>
      </c>
      <c r="D1342" s="1" t="s">
        <v>1925</v>
      </c>
      <c r="E1342" s="2" t="n">
        <v>455485192</v>
      </c>
      <c r="H1342" s="3" t="n">
        <f aca="false">SUM(I1342+J1342+K1342)</f>
        <v>1700</v>
      </c>
      <c r="I1342" s="1" t="n">
        <v>1700</v>
      </c>
      <c r="J1342" s="1" t="n">
        <v>0</v>
      </c>
      <c r="K1342" s="1" t="n">
        <v>0</v>
      </c>
      <c r="L1342" s="4" t="n">
        <v>1.994</v>
      </c>
      <c r="M1342" s="48" t="n">
        <v>46072</v>
      </c>
      <c r="N1342" s="33" t="n">
        <f aca="false">DAY(M1342)</f>
        <v>19</v>
      </c>
      <c r="O1342" s="33" t="str">
        <f aca="false">TEXT(M1342,"DDDD")</f>
        <v>jueves</v>
      </c>
      <c r="P1342" s="6" t="n">
        <f aca="false">MONTH(M1342)</f>
        <v>2</v>
      </c>
      <c r="Q1342" s="26" t="str">
        <f aca="false">TEXT(M1342,"MMMM")</f>
        <v>febrero</v>
      </c>
    </row>
    <row r="1343" customFormat="false" ht="14.25" hidden="false" customHeight="false" outlineLevel="0" collapsed="false">
      <c r="A1343" s="1" t="n">
        <v>8</v>
      </c>
      <c r="B1343" s="1" t="s">
        <v>144</v>
      </c>
      <c r="C1343" s="1" t="s">
        <v>20</v>
      </c>
      <c r="D1343" s="1" t="s">
        <v>1119</v>
      </c>
      <c r="E1343" s="2" t="n">
        <v>455470224</v>
      </c>
      <c r="H1343" s="3" t="n">
        <f aca="false">SUM(I1343+J1343+K1343)</f>
        <v>1700</v>
      </c>
      <c r="I1343" s="1" t="n">
        <v>1200</v>
      </c>
      <c r="J1343" s="1" t="n">
        <v>0</v>
      </c>
      <c r="K1343" s="1" t="n">
        <v>500</v>
      </c>
      <c r="L1343" s="4" t="n">
        <v>0.885</v>
      </c>
      <c r="M1343" s="48" t="n">
        <v>46072</v>
      </c>
      <c r="N1343" s="33" t="n">
        <f aca="false">DAY(M1343)</f>
        <v>19</v>
      </c>
      <c r="O1343" s="33" t="str">
        <f aca="false">TEXT(M1343,"DDDD")</f>
        <v>jueves</v>
      </c>
      <c r="P1343" s="6" t="n">
        <f aca="false">MONTH(M1343)</f>
        <v>2</v>
      </c>
      <c r="Q1343" s="26" t="str">
        <f aca="false">TEXT(M1343,"MMMM")</f>
        <v>febrero</v>
      </c>
    </row>
    <row r="1344" customFormat="false" ht="14.25" hidden="false" customHeight="false" outlineLevel="0" collapsed="false">
      <c r="A1344" s="1" t="n">
        <v>8</v>
      </c>
      <c r="B1344" s="1" t="s">
        <v>108</v>
      </c>
      <c r="C1344" s="1" t="s">
        <v>20</v>
      </c>
      <c r="D1344" s="1" t="s">
        <v>870</v>
      </c>
      <c r="E1344" s="2" t="n">
        <v>455468505</v>
      </c>
      <c r="H1344" s="3" t="n">
        <f aca="false">SUM(I1344+J1344+K1344)</f>
        <v>1940</v>
      </c>
      <c r="I1344" s="1" t="n">
        <v>1200</v>
      </c>
      <c r="J1344" s="1" t="n">
        <v>0</v>
      </c>
      <c r="K1344" s="1" t="n">
        <v>740</v>
      </c>
      <c r="L1344" s="4" t="n">
        <v>0.627</v>
      </c>
      <c r="M1344" s="48" t="n">
        <v>46072</v>
      </c>
      <c r="N1344" s="33" t="n">
        <f aca="false">DAY(M1344)</f>
        <v>19</v>
      </c>
      <c r="O1344" s="33" t="str">
        <f aca="false">TEXT(M1344,"DDDD")</f>
        <v>jueves</v>
      </c>
      <c r="P1344" s="6" t="n">
        <f aca="false">MONTH(M1344)</f>
        <v>2</v>
      </c>
      <c r="Q1344" s="26" t="str">
        <f aca="false">TEXT(M1344,"MMMM")</f>
        <v>febrero</v>
      </c>
      <c r="R1344" s="21" t="s">
        <v>870</v>
      </c>
      <c r="S1344" s="1" t="n">
        <v>11062</v>
      </c>
    </row>
    <row r="1345" customFormat="false" ht="14.25" hidden="false" customHeight="false" outlineLevel="0" collapsed="false">
      <c r="A1345" s="1" t="n">
        <v>8</v>
      </c>
      <c r="B1345" s="1" t="s">
        <v>2089</v>
      </c>
      <c r="C1345" s="1" t="s">
        <v>20</v>
      </c>
      <c r="D1345" s="1" t="s">
        <v>693</v>
      </c>
      <c r="E1345" s="2" t="n">
        <v>455461188</v>
      </c>
      <c r="F1345" s="21" t="s">
        <v>2090</v>
      </c>
      <c r="G1345" s="1" t="n">
        <v>455462034</v>
      </c>
      <c r="H1345" s="3" t="n">
        <f aca="false">SUM(I1345+J1345+K1345)</f>
        <v>7800</v>
      </c>
      <c r="I1345" s="1" t="n">
        <v>1800</v>
      </c>
      <c r="J1345" s="1" t="n">
        <v>0</v>
      </c>
      <c r="K1345" s="1" t="n">
        <v>6000</v>
      </c>
      <c r="L1345" s="4" t="n">
        <v>1.499</v>
      </c>
      <c r="M1345" s="48" t="n">
        <v>46072</v>
      </c>
      <c r="N1345" s="33" t="n">
        <f aca="false">DAY(M1345)</f>
        <v>19</v>
      </c>
      <c r="O1345" s="33" t="str">
        <f aca="false">TEXT(M1345,"DDDD")</f>
        <v>jueves</v>
      </c>
      <c r="P1345" s="6" t="n">
        <f aca="false">MONTH(M1345)</f>
        <v>2</v>
      </c>
      <c r="Q1345" s="26" t="str">
        <f aca="false">TEXT(M1345,"MMMM")</f>
        <v>febrero</v>
      </c>
    </row>
    <row r="1346" customFormat="false" ht="14.25" hidden="false" customHeight="false" outlineLevel="0" collapsed="false">
      <c r="A1346" s="1" t="n">
        <v>7</v>
      </c>
      <c r="B1346" s="1" t="s">
        <v>172</v>
      </c>
      <c r="C1346" s="1" t="s">
        <v>20</v>
      </c>
      <c r="D1346" s="1" t="s">
        <v>774</v>
      </c>
      <c r="E1346" s="2" t="n">
        <v>455460924</v>
      </c>
      <c r="H1346" s="3" t="n">
        <f aca="false">SUM(I1346+J1346+K1346)</f>
        <v>3320</v>
      </c>
      <c r="I1346" s="1" t="n">
        <v>1200</v>
      </c>
      <c r="J1346" s="1" t="n">
        <v>0</v>
      </c>
      <c r="K1346" s="1" t="n">
        <v>2120</v>
      </c>
      <c r="L1346" s="4" t="n">
        <v>0.278</v>
      </c>
      <c r="M1346" s="48" t="n">
        <v>46072</v>
      </c>
      <c r="N1346" s="33" t="n">
        <f aca="false">DAY(M1346)</f>
        <v>19</v>
      </c>
      <c r="O1346" s="33" t="str">
        <f aca="false">TEXT(M1346,"DDDD")</f>
        <v>jueves</v>
      </c>
      <c r="P1346" s="6" t="n">
        <f aca="false">MONTH(M1346)</f>
        <v>2</v>
      </c>
      <c r="Q1346" s="26" t="str">
        <f aca="false">TEXT(M1346,"MMMM")</f>
        <v>febrero</v>
      </c>
    </row>
    <row r="1347" customFormat="false" ht="14.25" hidden="false" customHeight="false" outlineLevel="0" collapsed="false">
      <c r="A1347" s="1" t="n">
        <v>7</v>
      </c>
      <c r="B1347" s="1" t="s">
        <v>2091</v>
      </c>
      <c r="C1347" s="1" t="s">
        <v>20</v>
      </c>
      <c r="D1347" s="1" t="s">
        <v>2092</v>
      </c>
      <c r="E1347" s="2" t="n">
        <v>455457956</v>
      </c>
      <c r="H1347" s="3" t="n">
        <f aca="false">SUM(I1347+J1347+K1347)</f>
        <v>2460</v>
      </c>
      <c r="I1347" s="1" t="n">
        <v>1200</v>
      </c>
      <c r="J1347" s="1" t="n">
        <v>0</v>
      </c>
      <c r="K1347" s="1" t="n">
        <v>1260</v>
      </c>
      <c r="L1347" s="4" t="n">
        <v>2.28</v>
      </c>
      <c r="M1347" s="48" t="n">
        <v>46072</v>
      </c>
      <c r="N1347" s="33" t="n">
        <f aca="false">DAY(M1347)</f>
        <v>19</v>
      </c>
      <c r="O1347" s="33" t="str">
        <f aca="false">TEXT(M1347,"DDDD")</f>
        <v>jueves</v>
      </c>
      <c r="P1347" s="6" t="n">
        <f aca="false">MONTH(M1347)</f>
        <v>2</v>
      </c>
      <c r="Q1347" s="26" t="str">
        <f aca="false">TEXT(M1347,"MMMM")</f>
        <v>febrero</v>
      </c>
      <c r="R1347" s="21" t="s">
        <v>2092</v>
      </c>
      <c r="S1347" s="1" t="n">
        <v>13840</v>
      </c>
    </row>
    <row r="1348" customFormat="false" ht="14.25" hidden="false" customHeight="false" outlineLevel="0" collapsed="false">
      <c r="A1348" s="1" t="n">
        <v>7</v>
      </c>
      <c r="B1348" s="1" t="s">
        <v>2093</v>
      </c>
      <c r="C1348" s="1" t="s">
        <v>20</v>
      </c>
      <c r="D1348" s="1" t="s">
        <v>813</v>
      </c>
      <c r="E1348" s="2" t="n">
        <v>455455384</v>
      </c>
      <c r="H1348" s="3" t="n">
        <f aca="false">SUM(I1348+J1348+K1348)</f>
        <v>1950</v>
      </c>
      <c r="I1348" s="1" t="n">
        <v>1450</v>
      </c>
      <c r="J1348" s="1" t="n">
        <v>0</v>
      </c>
      <c r="K1348" s="1" t="n">
        <v>500</v>
      </c>
      <c r="L1348" s="4" t="n">
        <v>2.358</v>
      </c>
      <c r="M1348" s="48" t="n">
        <v>46072</v>
      </c>
      <c r="N1348" s="33" t="n">
        <f aca="false">DAY(M1348)</f>
        <v>19</v>
      </c>
      <c r="O1348" s="33" t="str">
        <f aca="false">TEXT(M1348,"DDDD")</f>
        <v>jueves</v>
      </c>
      <c r="P1348" s="6" t="n">
        <f aca="false">MONTH(M1348)</f>
        <v>2</v>
      </c>
      <c r="Q1348" s="26" t="str">
        <f aca="false">TEXT(M1348,"MMMM")</f>
        <v>febrero</v>
      </c>
    </row>
    <row r="1349" customFormat="false" ht="14.25" hidden="false" customHeight="false" outlineLevel="0" collapsed="false">
      <c r="A1349" s="1" t="n">
        <v>7</v>
      </c>
      <c r="B1349" s="1" t="s">
        <v>2094</v>
      </c>
      <c r="C1349" s="1" t="s">
        <v>20</v>
      </c>
      <c r="D1349" s="1" t="s">
        <v>1775</v>
      </c>
      <c r="E1349" s="2" t="n">
        <v>455450152</v>
      </c>
      <c r="F1349" s="21" t="s">
        <v>1775</v>
      </c>
      <c r="G1349" s="1" t="n">
        <v>455448355</v>
      </c>
      <c r="H1349" s="3" t="n">
        <f aca="false">SUM(I1349+J1349+K1349)</f>
        <v>4180</v>
      </c>
      <c r="I1349" s="1" t="n">
        <v>1800</v>
      </c>
      <c r="J1349" s="1" t="n">
        <v>0</v>
      </c>
      <c r="K1349" s="1" t="n">
        <v>2380</v>
      </c>
      <c r="L1349" s="4" t="n">
        <v>1.965</v>
      </c>
      <c r="M1349" s="48" t="n">
        <v>46072</v>
      </c>
      <c r="N1349" s="33" t="n">
        <f aca="false">DAY(M1349)</f>
        <v>19</v>
      </c>
      <c r="O1349" s="33" t="str">
        <f aca="false">TEXT(M1349,"DDDD")</f>
        <v>jueves</v>
      </c>
      <c r="P1349" s="6" t="n">
        <f aca="false">MONTH(M1349)</f>
        <v>2</v>
      </c>
      <c r="Q1349" s="26" t="str">
        <f aca="false">TEXT(M1349,"MMMM")</f>
        <v>febrero</v>
      </c>
    </row>
    <row r="1350" customFormat="false" ht="14.25" hidden="false" customHeight="false" outlineLevel="0" collapsed="false">
      <c r="A1350" s="1" t="n">
        <v>6</v>
      </c>
      <c r="B1350" s="1" t="s">
        <v>704</v>
      </c>
      <c r="C1350" s="1" t="s">
        <v>20</v>
      </c>
      <c r="D1350" s="1" t="s">
        <v>49</v>
      </c>
      <c r="E1350" s="2" t="n">
        <v>455444756</v>
      </c>
      <c r="H1350" s="3" t="n">
        <f aca="false">SUM(I1350+J1350+K1350)</f>
        <v>2280</v>
      </c>
      <c r="I1350" s="1" t="n">
        <v>2000</v>
      </c>
      <c r="J1350" s="1" t="n">
        <v>0</v>
      </c>
      <c r="K1350" s="1" t="n">
        <v>280</v>
      </c>
      <c r="L1350" s="4" t="n">
        <v>3.074</v>
      </c>
      <c r="M1350" s="48" t="n">
        <v>46072</v>
      </c>
      <c r="N1350" s="33" t="n">
        <f aca="false">DAY(M1350)</f>
        <v>19</v>
      </c>
      <c r="O1350" s="33" t="str">
        <f aca="false">TEXT(M1350,"DDDD")</f>
        <v>jueves</v>
      </c>
      <c r="P1350" s="6" t="n">
        <f aca="false">MONTH(M1350)</f>
        <v>2</v>
      </c>
      <c r="Q1350" s="26" t="str">
        <f aca="false">TEXT(M1350,"MMMM")</f>
        <v>febrero</v>
      </c>
    </row>
    <row r="1351" customFormat="false" ht="14.25" hidden="false" customHeight="false" outlineLevel="0" collapsed="false">
      <c r="A1351" s="1" t="n">
        <v>6</v>
      </c>
      <c r="B1351" s="1" t="s">
        <v>2095</v>
      </c>
      <c r="C1351" s="1" t="s">
        <v>20</v>
      </c>
      <c r="D1351" s="1" t="s">
        <v>1084</v>
      </c>
      <c r="E1351" s="2" t="n">
        <v>455445606</v>
      </c>
      <c r="H1351" s="3" t="n">
        <f aca="false">SUM(I1351+J1351+K1351)</f>
        <v>1400</v>
      </c>
      <c r="I1351" s="1" t="n">
        <v>1400</v>
      </c>
      <c r="J1351" s="1" t="n">
        <v>0</v>
      </c>
      <c r="K1351" s="1" t="n">
        <v>0</v>
      </c>
      <c r="L1351" s="4" t="n">
        <v>2.153</v>
      </c>
      <c r="M1351" s="48" t="n">
        <v>46072</v>
      </c>
      <c r="N1351" s="33" t="n">
        <f aca="false">DAY(M1351)</f>
        <v>19</v>
      </c>
      <c r="O1351" s="33" t="str">
        <f aca="false">TEXT(M1351,"DDDD")</f>
        <v>jueves</v>
      </c>
      <c r="P1351" s="6" t="n">
        <f aca="false">MONTH(M1351)</f>
        <v>2</v>
      </c>
      <c r="Q1351" s="26" t="str">
        <f aca="false">TEXT(M1351,"MMMM")</f>
        <v>febrero</v>
      </c>
    </row>
    <row r="1352" customFormat="false" ht="14.25" hidden="false" customHeight="false" outlineLevel="0" collapsed="false">
      <c r="A1352" s="1" t="n">
        <v>6</v>
      </c>
      <c r="B1352" s="1" t="s">
        <v>2096</v>
      </c>
      <c r="C1352" s="1" t="s">
        <v>20</v>
      </c>
      <c r="D1352" s="1" t="s">
        <v>2077</v>
      </c>
      <c r="E1352" s="2" t="n">
        <v>455445089</v>
      </c>
      <c r="H1352" s="3" t="n">
        <f aca="false">SUM(I1352+J1352+K1352)</f>
        <v>2600</v>
      </c>
      <c r="I1352" s="1" t="n">
        <v>1200</v>
      </c>
      <c r="J1352" s="1" t="n">
        <v>0</v>
      </c>
      <c r="K1352" s="1" t="n">
        <v>1400</v>
      </c>
      <c r="L1352" s="4" t="n">
        <v>1.197</v>
      </c>
      <c r="M1352" s="48" t="n">
        <v>46072</v>
      </c>
      <c r="N1352" s="33" t="n">
        <f aca="false">DAY(M1352)</f>
        <v>19</v>
      </c>
      <c r="O1352" s="33" t="str">
        <f aca="false">TEXT(M1352,"DDDD")</f>
        <v>jueves</v>
      </c>
      <c r="P1352" s="6" t="n">
        <f aca="false">MONTH(M1352)</f>
        <v>2</v>
      </c>
      <c r="Q1352" s="26" t="str">
        <f aca="false">TEXT(M1352,"MMMM")</f>
        <v>febrero</v>
      </c>
    </row>
    <row r="1353" customFormat="false" ht="14.25" hidden="false" customHeight="false" outlineLevel="0" collapsed="false">
      <c r="A1353" s="1" t="n">
        <v>12</v>
      </c>
      <c r="B1353" s="1" t="s">
        <v>2097</v>
      </c>
      <c r="C1353" s="1" t="s">
        <v>20</v>
      </c>
      <c r="D1353" s="1" t="s">
        <v>2098</v>
      </c>
      <c r="E1353" s="2" t="n">
        <v>455661702</v>
      </c>
      <c r="F1353" s="21" t="s">
        <v>2098</v>
      </c>
      <c r="G1353" s="1" t="n">
        <v>455662437</v>
      </c>
      <c r="H1353" s="3" t="n">
        <f aca="false">SUM(I1353+J1353+K1353)</f>
        <v>2300</v>
      </c>
      <c r="I1353" s="1" t="n">
        <v>1800</v>
      </c>
      <c r="J1353" s="1" t="n">
        <v>0</v>
      </c>
      <c r="K1353" s="1" t="n">
        <v>500</v>
      </c>
      <c r="L1353" s="4" t="n">
        <v>2.033</v>
      </c>
      <c r="M1353" s="48" t="n">
        <v>46073</v>
      </c>
      <c r="N1353" s="33" t="n">
        <f aca="false">DAY(M1353)</f>
        <v>20</v>
      </c>
      <c r="O1353" s="33" t="str">
        <f aca="false">TEXT(M1353,"DDDD")</f>
        <v>viernes</v>
      </c>
      <c r="P1353" s="6" t="n">
        <f aca="false">MONTH(M1353)</f>
        <v>2</v>
      </c>
      <c r="Q1353" s="26" t="str">
        <f aca="false">TEXT(M1353,"MMMM")</f>
        <v>febrero</v>
      </c>
    </row>
    <row r="1354" customFormat="false" ht="14.25" hidden="false" customHeight="false" outlineLevel="0" collapsed="false">
      <c r="A1354" s="1" t="n">
        <v>12</v>
      </c>
      <c r="B1354" s="1" t="s">
        <v>1431</v>
      </c>
      <c r="C1354" s="1" t="s">
        <v>20</v>
      </c>
      <c r="D1354" s="1" t="s">
        <v>47</v>
      </c>
      <c r="E1354" s="2" t="n">
        <v>455659659</v>
      </c>
      <c r="H1354" s="3" t="n">
        <f aca="false">SUM(I1354+J1354+K1354)</f>
        <v>2200</v>
      </c>
      <c r="I1354" s="1" t="n">
        <v>1200</v>
      </c>
      <c r="J1354" s="1" t="n">
        <v>0</v>
      </c>
      <c r="K1354" s="1" t="n">
        <v>1000</v>
      </c>
      <c r="L1354" s="4" t="n">
        <v>1.133</v>
      </c>
      <c r="M1354" s="48" t="n">
        <v>46073</v>
      </c>
      <c r="N1354" s="33" t="n">
        <f aca="false">DAY(M1354)</f>
        <v>20</v>
      </c>
      <c r="O1354" s="33" t="str">
        <f aca="false">TEXT(M1354,"DDDD")</f>
        <v>viernes</v>
      </c>
      <c r="P1354" s="6" t="n">
        <f aca="false">MONTH(M1354)</f>
        <v>2</v>
      </c>
      <c r="Q1354" s="26" t="str">
        <f aca="false">TEXT(M1354,"MMMM")</f>
        <v>febrero</v>
      </c>
    </row>
    <row r="1355" customFormat="false" ht="14.25" hidden="false" customHeight="false" outlineLevel="0" collapsed="false">
      <c r="A1355" s="1" t="n">
        <v>12</v>
      </c>
      <c r="B1355" s="1" t="s">
        <v>2099</v>
      </c>
      <c r="C1355" s="1" t="s">
        <v>20</v>
      </c>
      <c r="D1355" s="1" t="s">
        <v>166</v>
      </c>
      <c r="E1355" s="2" t="n">
        <v>455562296</v>
      </c>
      <c r="H1355" s="3" t="n">
        <f aca="false">SUM(I1355+J1355+K1355)</f>
        <v>1940</v>
      </c>
      <c r="I1355" s="1" t="n">
        <v>1200</v>
      </c>
      <c r="J1355" s="1" t="n">
        <v>0</v>
      </c>
      <c r="K1355" s="1" t="n">
        <v>740</v>
      </c>
      <c r="L1355" s="4" t="n">
        <v>0.684</v>
      </c>
      <c r="M1355" s="48" t="n">
        <v>46073</v>
      </c>
      <c r="N1355" s="33" t="n">
        <f aca="false">DAY(M1355)</f>
        <v>20</v>
      </c>
      <c r="O1355" s="33" t="str">
        <f aca="false">TEXT(M1355,"DDDD")</f>
        <v>viernes</v>
      </c>
      <c r="P1355" s="6" t="n">
        <f aca="false">MONTH(M1355)</f>
        <v>2</v>
      </c>
      <c r="Q1355" s="26" t="str">
        <f aca="false">TEXT(M1355,"MMMM")</f>
        <v>febrero</v>
      </c>
      <c r="R1355" s="21" t="s">
        <v>166</v>
      </c>
      <c r="S1355" s="1" t="n">
        <v>14120</v>
      </c>
    </row>
    <row r="1356" customFormat="false" ht="14.25" hidden="false" customHeight="false" outlineLevel="0" collapsed="false">
      <c r="A1356" s="1" t="n">
        <v>12</v>
      </c>
      <c r="B1356" s="1" t="s">
        <v>1875</v>
      </c>
      <c r="C1356" s="1" t="s">
        <v>20</v>
      </c>
      <c r="D1356" s="1" t="s">
        <v>2100</v>
      </c>
      <c r="E1356" s="2" t="n">
        <v>455648276</v>
      </c>
      <c r="H1356" s="3" t="n">
        <f aca="false">SUM(I1356+J1356+K1356)</f>
        <v>3200</v>
      </c>
      <c r="I1356" s="1" t="n">
        <v>2200</v>
      </c>
      <c r="J1356" s="1" t="n">
        <v>0</v>
      </c>
      <c r="K1356" s="1" t="n">
        <v>1000</v>
      </c>
      <c r="L1356" s="4" t="n">
        <v>2.435</v>
      </c>
      <c r="M1356" s="48" t="n">
        <v>46073</v>
      </c>
      <c r="N1356" s="33" t="n">
        <f aca="false">DAY(M1356)</f>
        <v>20</v>
      </c>
      <c r="O1356" s="33" t="str">
        <f aca="false">TEXT(M1356,"DDDD")</f>
        <v>viernes</v>
      </c>
      <c r="P1356" s="6" t="n">
        <f aca="false">MONTH(M1356)</f>
        <v>2</v>
      </c>
      <c r="Q1356" s="26" t="str">
        <f aca="false">TEXT(M1356,"MMMM")</f>
        <v>febrero</v>
      </c>
    </row>
    <row r="1357" customFormat="false" ht="14.25" hidden="false" customHeight="false" outlineLevel="0" collapsed="false">
      <c r="A1357" s="1" t="n">
        <v>12</v>
      </c>
      <c r="B1357" s="1" t="s">
        <v>2101</v>
      </c>
      <c r="C1357" s="1" t="s">
        <v>20</v>
      </c>
      <c r="D1357" s="1" t="s">
        <v>166</v>
      </c>
      <c r="E1357" s="2" t="n">
        <v>455643049</v>
      </c>
      <c r="H1357" s="3" t="n">
        <f aca="false">SUM(I1357+J1357+K1357)</f>
        <v>3300</v>
      </c>
      <c r="I1357" s="1" t="n">
        <v>2300</v>
      </c>
      <c r="J1357" s="1" t="n">
        <v>0</v>
      </c>
      <c r="K1357" s="1" t="n">
        <v>1000</v>
      </c>
      <c r="L1357" s="4" t="n">
        <v>2.335</v>
      </c>
      <c r="M1357" s="48" t="n">
        <v>46073</v>
      </c>
      <c r="N1357" s="33" t="n">
        <f aca="false">DAY(M1357)</f>
        <v>20</v>
      </c>
      <c r="O1357" s="33" t="str">
        <f aca="false">TEXT(M1357,"DDDD")</f>
        <v>viernes</v>
      </c>
      <c r="P1357" s="6" t="n">
        <f aca="false">MONTH(M1357)</f>
        <v>2</v>
      </c>
      <c r="Q1357" s="26" t="str">
        <f aca="false">TEXT(M1357,"MMMM")</f>
        <v>febrero</v>
      </c>
    </row>
    <row r="1358" customFormat="false" ht="14.25" hidden="false" customHeight="false" outlineLevel="0" collapsed="false">
      <c r="A1358" s="1" t="n">
        <v>12</v>
      </c>
      <c r="B1358" s="1" t="s">
        <v>1723</v>
      </c>
      <c r="C1358" s="1" t="s">
        <v>20</v>
      </c>
      <c r="D1358" s="1" t="s">
        <v>613</v>
      </c>
      <c r="E1358" s="2" t="n">
        <v>455633234</v>
      </c>
      <c r="H1358" s="3" t="n">
        <f aca="false">SUM(I1358+J1358+K1358)</f>
        <v>4990</v>
      </c>
      <c r="I1358" s="1" t="n">
        <v>1450</v>
      </c>
      <c r="J1358" s="1" t="n">
        <v>0</v>
      </c>
      <c r="K1358" s="1" t="n">
        <v>3540</v>
      </c>
      <c r="L1358" s="4" t="n">
        <v>1.094</v>
      </c>
      <c r="M1358" s="48" t="n">
        <v>46073</v>
      </c>
      <c r="N1358" s="33" t="n">
        <f aca="false">DAY(M1358)</f>
        <v>20</v>
      </c>
      <c r="O1358" s="33" t="str">
        <f aca="false">TEXT(M1358,"DDDD")</f>
        <v>viernes</v>
      </c>
      <c r="P1358" s="6" t="n">
        <f aca="false">MONTH(M1358)</f>
        <v>2</v>
      </c>
      <c r="Q1358" s="26" t="str">
        <f aca="false">TEXT(M1358,"MMMM")</f>
        <v>febrero</v>
      </c>
    </row>
    <row r="1359" customFormat="false" ht="14.25" hidden="false" customHeight="false" outlineLevel="0" collapsed="false">
      <c r="A1359" s="1" t="n">
        <v>11</v>
      </c>
      <c r="B1359" s="1" t="s">
        <v>2008</v>
      </c>
      <c r="C1359" s="1" t="s">
        <v>20</v>
      </c>
      <c r="D1359" s="1" t="s">
        <v>949</v>
      </c>
      <c r="E1359" s="2" t="n">
        <v>455628712</v>
      </c>
      <c r="H1359" s="3" t="n">
        <f aca="false">SUM(I1359+J1359+K1359)</f>
        <v>1740</v>
      </c>
      <c r="I1359" s="1" t="n">
        <v>1200</v>
      </c>
      <c r="J1359" s="1" t="n">
        <v>0</v>
      </c>
      <c r="K1359" s="1" t="n">
        <v>540</v>
      </c>
      <c r="L1359" s="4" t="n">
        <v>0.999</v>
      </c>
      <c r="M1359" s="48" t="n">
        <v>46073</v>
      </c>
      <c r="N1359" s="33" t="n">
        <f aca="false">DAY(M1359)</f>
        <v>20</v>
      </c>
      <c r="O1359" s="33" t="str">
        <f aca="false">TEXT(M1359,"DDDD")</f>
        <v>viernes</v>
      </c>
      <c r="P1359" s="6" t="n">
        <f aca="false">MONTH(M1359)</f>
        <v>2</v>
      </c>
      <c r="Q1359" s="26" t="str">
        <f aca="false">TEXT(M1359,"MMMM")</f>
        <v>febrero</v>
      </c>
    </row>
    <row r="1360" customFormat="false" ht="14.25" hidden="false" customHeight="false" outlineLevel="0" collapsed="false">
      <c r="A1360" s="1" t="n">
        <v>11</v>
      </c>
      <c r="B1360" s="1" t="s">
        <v>2102</v>
      </c>
      <c r="C1360" s="1" t="s">
        <v>20</v>
      </c>
      <c r="D1360" s="1" t="s">
        <v>2103</v>
      </c>
      <c r="E1360" s="2" t="n">
        <v>455624506</v>
      </c>
      <c r="H1360" s="3" t="n">
        <f aca="false">SUM(I1360+J1360+K1360)</f>
        <v>2550</v>
      </c>
      <c r="I1360" s="1" t="n">
        <v>1550</v>
      </c>
      <c r="J1360" s="1" t="n">
        <v>0</v>
      </c>
      <c r="K1360" s="1" t="n">
        <v>1000</v>
      </c>
      <c r="L1360" s="4" t="n">
        <v>2.028</v>
      </c>
      <c r="M1360" s="48" t="n">
        <v>46073</v>
      </c>
      <c r="N1360" s="33" t="n">
        <f aca="false">DAY(M1360)</f>
        <v>20</v>
      </c>
      <c r="O1360" s="33" t="str">
        <f aca="false">TEXT(M1360,"DDDD")</f>
        <v>viernes</v>
      </c>
      <c r="P1360" s="6" t="n">
        <f aca="false">MONTH(M1360)</f>
        <v>2</v>
      </c>
      <c r="Q1360" s="26" t="str">
        <f aca="false">TEXT(M1360,"MMMM")</f>
        <v>febrero</v>
      </c>
    </row>
    <row r="1361" customFormat="false" ht="14.25" hidden="false" customHeight="false" outlineLevel="0" collapsed="false">
      <c r="A1361" s="1" t="n">
        <v>11</v>
      </c>
      <c r="B1361" s="1" t="s">
        <v>2104</v>
      </c>
      <c r="C1361" s="1" t="s">
        <v>20</v>
      </c>
      <c r="D1361" s="1" t="s">
        <v>2105</v>
      </c>
      <c r="E1361" s="2" t="n">
        <v>455618447</v>
      </c>
      <c r="H1361" s="3" t="n">
        <f aca="false">SUM(I1361+J1361+K1361)</f>
        <v>3550</v>
      </c>
      <c r="I1361" s="1" t="n">
        <v>2050</v>
      </c>
      <c r="J1361" s="1" t="n">
        <v>0</v>
      </c>
      <c r="K1361" s="1" t="n">
        <v>1500</v>
      </c>
      <c r="L1361" s="4" t="n">
        <v>1.608</v>
      </c>
      <c r="M1361" s="48" t="n">
        <v>46073</v>
      </c>
      <c r="N1361" s="33" t="n">
        <f aca="false">DAY(M1361)</f>
        <v>20</v>
      </c>
      <c r="O1361" s="33" t="str">
        <f aca="false">TEXT(M1361,"DDDD")</f>
        <v>viernes</v>
      </c>
      <c r="P1361" s="6" t="n">
        <f aca="false">MONTH(M1361)</f>
        <v>2</v>
      </c>
      <c r="Q1361" s="26" t="str">
        <f aca="false">TEXT(M1361,"MMMM")</f>
        <v>febrero</v>
      </c>
    </row>
    <row r="1362" customFormat="false" ht="14.25" hidden="false" customHeight="false" outlineLevel="0" collapsed="false">
      <c r="A1362" s="1" t="n">
        <v>11</v>
      </c>
      <c r="B1362" s="1" t="s">
        <v>2106</v>
      </c>
      <c r="C1362" s="1" t="s">
        <v>38</v>
      </c>
      <c r="D1362" s="1" t="s">
        <v>2107</v>
      </c>
      <c r="E1362" s="2" t="n">
        <v>455606035</v>
      </c>
      <c r="F1362" s="21" t="s">
        <v>2107</v>
      </c>
      <c r="G1362" s="1" t="n">
        <v>455610631</v>
      </c>
      <c r="H1362" s="3" t="n">
        <f aca="false">SUM(I1362+J1362+K1362)</f>
        <v>4600</v>
      </c>
      <c r="I1362" s="1" t="n">
        <v>2700</v>
      </c>
      <c r="J1362" s="1" t="n">
        <v>0</v>
      </c>
      <c r="K1362" s="1" t="n">
        <v>1900</v>
      </c>
      <c r="L1362" s="4" t="n">
        <v>3.36</v>
      </c>
      <c r="M1362" s="48" t="n">
        <v>46073</v>
      </c>
      <c r="N1362" s="33" t="n">
        <f aca="false">DAY(M1362)</f>
        <v>20</v>
      </c>
      <c r="O1362" s="33" t="str">
        <f aca="false">TEXT(M1362,"DDDD")</f>
        <v>viernes</v>
      </c>
      <c r="P1362" s="6" t="n">
        <f aca="false">MONTH(M1362)</f>
        <v>2</v>
      </c>
      <c r="Q1362" s="26" t="str">
        <f aca="false">TEXT(M1362,"MMMM")</f>
        <v>febrero</v>
      </c>
    </row>
    <row r="1363" customFormat="false" ht="14.25" hidden="false" customHeight="false" outlineLevel="0" collapsed="false">
      <c r="A1363" s="1" t="n">
        <v>11</v>
      </c>
      <c r="B1363" s="1" t="s">
        <v>1897</v>
      </c>
      <c r="C1363" s="1" t="s">
        <v>20</v>
      </c>
      <c r="D1363" s="1" t="s">
        <v>2107</v>
      </c>
      <c r="E1363" s="2" t="n">
        <v>455606035</v>
      </c>
      <c r="F1363" s="21" t="s">
        <v>2107</v>
      </c>
      <c r="G1363" s="1" t="n">
        <v>455610631</v>
      </c>
      <c r="H1363" s="3" t="n">
        <f aca="false">SUM(I1363+J1363+K1363)</f>
        <v>4600</v>
      </c>
      <c r="I1363" s="1" t="n">
        <v>2700</v>
      </c>
      <c r="J1363" s="1" t="n">
        <v>0</v>
      </c>
      <c r="K1363" s="1" t="n">
        <v>1900</v>
      </c>
      <c r="L1363" s="4" t="n">
        <v>3.36</v>
      </c>
      <c r="M1363" s="48" t="n">
        <v>46073</v>
      </c>
      <c r="N1363" s="33" t="n">
        <f aca="false">DAY(M1363)</f>
        <v>20</v>
      </c>
      <c r="O1363" s="33" t="str">
        <f aca="false">TEXT(M1363,"DDDD")</f>
        <v>viernes</v>
      </c>
      <c r="P1363" s="6" t="n">
        <f aca="false">MONTH(M1363)</f>
        <v>2</v>
      </c>
      <c r="Q1363" s="26" t="str">
        <f aca="false">TEXT(M1363,"MMMM")</f>
        <v>febrero</v>
      </c>
    </row>
    <row r="1364" customFormat="false" ht="14.25" hidden="false" customHeight="false" outlineLevel="0" collapsed="false">
      <c r="A1364" s="1" t="n">
        <v>10</v>
      </c>
      <c r="B1364" s="1" t="s">
        <v>2108</v>
      </c>
      <c r="C1364" s="1" t="s">
        <v>38</v>
      </c>
      <c r="D1364" s="1" t="s">
        <v>103</v>
      </c>
      <c r="E1364" s="2" t="n">
        <v>455606573</v>
      </c>
      <c r="H1364" s="3" t="n">
        <f aca="false">SUM(I1364+J1364+K1364)</f>
        <v>3680</v>
      </c>
      <c r="I1364" s="1" t="n">
        <v>1600</v>
      </c>
      <c r="J1364" s="1" t="n">
        <v>0</v>
      </c>
      <c r="K1364" s="1" t="n">
        <v>2080</v>
      </c>
      <c r="L1364" s="4" t="n">
        <v>1.649</v>
      </c>
      <c r="M1364" s="48" t="n">
        <v>46073</v>
      </c>
      <c r="N1364" s="33" t="n">
        <f aca="false">DAY(M1364)</f>
        <v>20</v>
      </c>
      <c r="O1364" s="33" t="str">
        <f aca="false">TEXT(M1364,"DDDD")</f>
        <v>viernes</v>
      </c>
      <c r="P1364" s="6" t="n">
        <f aca="false">MONTH(M1364)</f>
        <v>2</v>
      </c>
      <c r="Q1364" s="26" t="str">
        <f aca="false">TEXT(M1364,"MMMM")</f>
        <v>febrero</v>
      </c>
    </row>
    <row r="1365" customFormat="false" ht="14.25" hidden="false" customHeight="false" outlineLevel="0" collapsed="false">
      <c r="A1365" s="1" t="n">
        <v>9</v>
      </c>
      <c r="B1365" s="1" t="s">
        <v>1412</v>
      </c>
      <c r="C1365" s="1" t="s">
        <v>20</v>
      </c>
      <c r="D1365" s="1" t="s">
        <v>2028</v>
      </c>
      <c r="E1365" s="2" t="n">
        <v>455922291</v>
      </c>
      <c r="F1365" s="21" t="s">
        <v>2028</v>
      </c>
      <c r="G1365" s="1" t="n">
        <v>455922286</v>
      </c>
      <c r="H1365" s="3" t="n">
        <f aca="false">SUM(I1365+J1365+K1365)</f>
        <v>4730</v>
      </c>
      <c r="I1365" s="1" t="n">
        <v>2350</v>
      </c>
      <c r="J1365" s="1" t="n">
        <v>0</v>
      </c>
      <c r="K1365" s="1" t="n">
        <v>2380</v>
      </c>
      <c r="L1365" s="4" t="n">
        <v>3.413</v>
      </c>
      <c r="M1365" s="48" t="n">
        <v>46073</v>
      </c>
      <c r="N1365" s="33" t="n">
        <f aca="false">DAY(M1365)</f>
        <v>20</v>
      </c>
      <c r="O1365" s="33" t="str">
        <f aca="false">TEXT(M1365,"DDDD")</f>
        <v>viernes</v>
      </c>
      <c r="P1365" s="6" t="n">
        <f aca="false">MONTH(M1365)</f>
        <v>2</v>
      </c>
      <c r="Q1365" s="26" t="str">
        <f aca="false">TEXT(M1365,"MMMM")</f>
        <v>febrero</v>
      </c>
    </row>
    <row r="1366" customFormat="false" ht="14.25" hidden="false" customHeight="false" outlineLevel="0" collapsed="false">
      <c r="A1366" s="1" t="n">
        <v>12</v>
      </c>
      <c r="B1366" s="1" t="s">
        <v>2109</v>
      </c>
      <c r="C1366" s="1" t="s">
        <v>20</v>
      </c>
      <c r="D1366" s="1" t="s">
        <v>2110</v>
      </c>
      <c r="E1366" s="2" t="n">
        <v>455777462</v>
      </c>
      <c r="H1366" s="3" t="n">
        <f aca="false">SUM(I1366+J1366+K1366)</f>
        <v>4720</v>
      </c>
      <c r="I1366" s="1" t="n">
        <v>1200</v>
      </c>
      <c r="J1366" s="1" t="n">
        <v>0</v>
      </c>
      <c r="K1366" s="1" t="n">
        <v>3520</v>
      </c>
      <c r="L1366" s="4" t="n">
        <v>0.631</v>
      </c>
      <c r="M1366" s="48" t="n">
        <v>46074</v>
      </c>
      <c r="N1366" s="33" t="n">
        <f aca="false">DAY(M1366)</f>
        <v>21</v>
      </c>
      <c r="O1366" s="33" t="str">
        <f aca="false">TEXT(M1366,"DDDD")</f>
        <v>sábado</v>
      </c>
      <c r="P1366" s="6" t="n">
        <f aca="false">MONTH(M1366)</f>
        <v>2</v>
      </c>
      <c r="Q1366" s="26" t="str">
        <f aca="false">TEXT(M1366,"MMMM")</f>
        <v>febrero</v>
      </c>
    </row>
    <row r="1367" customFormat="false" ht="14.25" hidden="false" customHeight="false" outlineLevel="0" collapsed="false">
      <c r="A1367" s="1" t="n">
        <v>12</v>
      </c>
      <c r="B1367" s="1" t="s">
        <v>2111</v>
      </c>
      <c r="C1367" s="1" t="s">
        <v>20</v>
      </c>
      <c r="D1367" s="1" t="s">
        <v>1221</v>
      </c>
      <c r="E1367" s="2" t="n">
        <v>455761766</v>
      </c>
      <c r="H1367" s="3" t="n">
        <f aca="false">SUM(I1367+J1367+K1367)</f>
        <v>5490</v>
      </c>
      <c r="I1367" s="1" t="n">
        <v>1750</v>
      </c>
      <c r="J1367" s="1" t="n">
        <v>0</v>
      </c>
      <c r="K1367" s="1" t="n">
        <v>3740</v>
      </c>
      <c r="L1367" s="4" t="n">
        <v>1.957</v>
      </c>
      <c r="M1367" s="48" t="n">
        <v>46074</v>
      </c>
      <c r="N1367" s="21" t="n">
        <f aca="false">DAY(M1367)</f>
        <v>21</v>
      </c>
      <c r="O1367" s="21" t="str">
        <f aca="false">TEXT(M1367,"DDDD")</f>
        <v>sábado</v>
      </c>
      <c r="P1367" s="6" t="n">
        <f aca="false">MONTH(M1367)</f>
        <v>2</v>
      </c>
      <c r="Q1367" s="21" t="str">
        <f aca="false">TEXT(M1367,"MMMM")</f>
        <v>febrero</v>
      </c>
    </row>
    <row r="1368" customFormat="false" ht="14.25" hidden="false" customHeight="false" outlineLevel="0" collapsed="false">
      <c r="A1368" s="1" t="n">
        <v>11</v>
      </c>
      <c r="B1368" s="1" t="s">
        <v>2112</v>
      </c>
      <c r="C1368" s="1" t="s">
        <v>38</v>
      </c>
      <c r="D1368" s="1" t="s">
        <v>1637</v>
      </c>
      <c r="E1368" s="2" t="n">
        <v>455751871</v>
      </c>
      <c r="F1368" s="21" t="s">
        <v>1637</v>
      </c>
      <c r="G1368" s="1" t="n">
        <v>455753676</v>
      </c>
      <c r="H1368" s="3" t="n">
        <f aca="false">SUM(I1368+J1368+K1368)</f>
        <v>2050</v>
      </c>
      <c r="I1368" s="1" t="n">
        <v>2050</v>
      </c>
      <c r="J1368" s="1" t="n">
        <v>0</v>
      </c>
      <c r="K1368" s="1" t="n">
        <v>0</v>
      </c>
      <c r="L1368" s="4" t="n">
        <v>1.497</v>
      </c>
      <c r="M1368" s="48" t="n">
        <v>46074</v>
      </c>
      <c r="N1368" s="21" t="n">
        <f aca="false">DAY(M1368)</f>
        <v>21</v>
      </c>
      <c r="O1368" s="21" t="str">
        <f aca="false">TEXT(M1368,"DDDD")</f>
        <v>sábado</v>
      </c>
      <c r="P1368" s="6" t="n">
        <f aca="false">MONTH(M1368)</f>
        <v>2</v>
      </c>
      <c r="Q1368" s="21" t="str">
        <f aca="false">TEXT(M1368,"MMMM")</f>
        <v>febrero</v>
      </c>
    </row>
    <row r="1369" customFormat="false" ht="14.25" hidden="false" customHeight="false" outlineLevel="0" collapsed="false">
      <c r="A1369" s="1" t="n">
        <v>11</v>
      </c>
      <c r="B1369" s="1" t="s">
        <v>1403</v>
      </c>
      <c r="C1369" s="1" t="s">
        <v>20</v>
      </c>
      <c r="D1369" s="1" t="s">
        <v>478</v>
      </c>
      <c r="E1369" s="2" t="n">
        <v>455739974</v>
      </c>
      <c r="F1369" s="21" t="s">
        <v>2113</v>
      </c>
      <c r="G1369" s="1" t="n">
        <v>455740697</v>
      </c>
      <c r="H1369" s="3" t="n">
        <f aca="false">SUM(I1369+J1369+K1369)</f>
        <v>7320</v>
      </c>
      <c r="I1369" s="1" t="n">
        <v>3400</v>
      </c>
      <c r="J1369" s="1" t="n">
        <v>0</v>
      </c>
      <c r="K1369" s="1" t="n">
        <v>3920</v>
      </c>
      <c r="L1369" s="4" t="n">
        <v>2.985</v>
      </c>
      <c r="M1369" s="48" t="n">
        <v>46074</v>
      </c>
      <c r="N1369" s="21" t="n">
        <f aca="false">DAY(M1369)</f>
        <v>21</v>
      </c>
      <c r="O1369" s="21" t="str">
        <f aca="false">TEXT(M1369,"DDDD")</f>
        <v>sábado</v>
      </c>
      <c r="P1369" s="6" t="n">
        <f aca="false">MONTH(M1369)</f>
        <v>2</v>
      </c>
      <c r="Q1369" s="21" t="str">
        <f aca="false">TEXT(M1369,"MMMM")</f>
        <v>febrero</v>
      </c>
    </row>
    <row r="1370" customFormat="false" ht="14.25" hidden="false" customHeight="false" outlineLevel="0" collapsed="false">
      <c r="A1370" s="1" t="n">
        <v>10</v>
      </c>
      <c r="B1370" s="1" t="s">
        <v>1954</v>
      </c>
      <c r="C1370" s="1" t="s">
        <v>38</v>
      </c>
      <c r="D1370" s="1" t="s">
        <v>684</v>
      </c>
      <c r="E1370" s="2" t="n">
        <v>455729964</v>
      </c>
      <c r="H1370" s="3" t="n">
        <f aca="false">SUM(I1370+J1370+K1370)</f>
        <v>7150</v>
      </c>
      <c r="I1370" s="1" t="n">
        <v>6150</v>
      </c>
      <c r="J1370" s="1" t="n">
        <v>0</v>
      </c>
      <c r="K1370" s="1" t="n">
        <v>1000</v>
      </c>
      <c r="L1370" s="4" t="n">
        <v>2.973</v>
      </c>
      <c r="M1370" s="48" t="n">
        <v>46074</v>
      </c>
      <c r="N1370" s="21" t="n">
        <f aca="false">DAY(M1370)</f>
        <v>21</v>
      </c>
      <c r="O1370" s="21" t="str">
        <f aca="false">TEXT(M1370,"DDDD")</f>
        <v>sábado</v>
      </c>
      <c r="P1370" s="6" t="n">
        <f aca="false">MONTH(M1370)</f>
        <v>2</v>
      </c>
      <c r="Q1370" s="21" t="str">
        <f aca="false">TEXT(M1370,"MMMM")</f>
        <v>febrero</v>
      </c>
    </row>
    <row r="1371" customFormat="false" ht="14.25" hidden="false" customHeight="false" outlineLevel="0" collapsed="false">
      <c r="A1371" s="1" t="n">
        <v>10</v>
      </c>
      <c r="B1371" s="1" t="s">
        <v>771</v>
      </c>
      <c r="C1371" s="1" t="s">
        <v>38</v>
      </c>
      <c r="D1371" s="1" t="s">
        <v>684</v>
      </c>
      <c r="E1371" s="2" t="n">
        <v>455726062</v>
      </c>
      <c r="H1371" s="3" t="n">
        <f aca="false">SUM(I1371+J1371+K1371)</f>
        <v>2100</v>
      </c>
      <c r="I1371" s="1" t="n">
        <v>1850</v>
      </c>
      <c r="J1371" s="1" t="n">
        <v>0</v>
      </c>
      <c r="K1371" s="1" t="n">
        <v>250</v>
      </c>
      <c r="L1371" s="4" t="n">
        <v>0.731</v>
      </c>
      <c r="M1371" s="48" t="n">
        <v>46074</v>
      </c>
      <c r="N1371" s="21" t="n">
        <f aca="false">DAY(M1371)</f>
        <v>21</v>
      </c>
      <c r="O1371" s="21" t="str">
        <f aca="false">TEXT(M1371,"DDDD")</f>
        <v>sábado</v>
      </c>
      <c r="P1371" s="6" t="n">
        <f aca="false">MONTH(M1371)</f>
        <v>2</v>
      </c>
      <c r="Q1371" s="21" t="str">
        <f aca="false">TEXT(M1371,"MMMM")</f>
        <v>febrero</v>
      </c>
    </row>
    <row r="1372" customFormat="false" ht="14.25" hidden="false" customHeight="false" outlineLevel="0" collapsed="false">
      <c r="A1372" s="1" t="n">
        <v>9</v>
      </c>
      <c r="B1372" s="1" t="s">
        <v>1956</v>
      </c>
      <c r="C1372" s="1" t="s">
        <v>20</v>
      </c>
      <c r="D1372" s="1" t="s">
        <v>2114</v>
      </c>
      <c r="E1372" s="2" t="n">
        <v>455723691</v>
      </c>
      <c r="H1372" s="3" t="n">
        <f aca="false">SUM(I1372+J1372+K1372)</f>
        <v>4110</v>
      </c>
      <c r="I1372" s="1" t="n">
        <v>1350</v>
      </c>
      <c r="J1372" s="1" t="n">
        <v>0</v>
      </c>
      <c r="K1372" s="1" t="n">
        <v>2760</v>
      </c>
      <c r="L1372" s="4" t="n">
        <v>2.865</v>
      </c>
      <c r="M1372" s="48" t="n">
        <v>46074</v>
      </c>
      <c r="N1372" s="21" t="n">
        <f aca="false">DAY(M1372)</f>
        <v>21</v>
      </c>
      <c r="O1372" s="21" t="str">
        <f aca="false">TEXT(M1372,"DDDD")</f>
        <v>sábado</v>
      </c>
      <c r="P1372" s="6" t="n">
        <f aca="false">MONTH(M1372)</f>
        <v>2</v>
      </c>
      <c r="Q1372" s="21" t="str">
        <f aca="false">TEXT(M1372,"MMMM")</f>
        <v>febrero</v>
      </c>
    </row>
    <row r="1373" customFormat="false" ht="14.25" hidden="false" customHeight="false" outlineLevel="0" collapsed="false">
      <c r="A1373" s="1" t="n">
        <v>9</v>
      </c>
      <c r="B1373" s="1" t="s">
        <v>2019</v>
      </c>
      <c r="C1373" s="1" t="s">
        <v>20</v>
      </c>
      <c r="D1373" s="1" t="s">
        <v>2115</v>
      </c>
      <c r="E1373" s="2" t="n">
        <v>455721389</v>
      </c>
      <c r="H1373" s="3" t="n">
        <f aca="false">SUM(I1373+J1373+K1373)</f>
        <v>4609</v>
      </c>
      <c r="I1373" s="1" t="n">
        <v>1650</v>
      </c>
      <c r="J1373" s="1" t="n">
        <v>0</v>
      </c>
      <c r="K1373" s="1" t="n">
        <v>2959</v>
      </c>
      <c r="L1373" s="4" t="n">
        <v>3.54</v>
      </c>
      <c r="M1373" s="48" t="n">
        <v>46074</v>
      </c>
      <c r="N1373" s="21" t="n">
        <f aca="false">DAY(M1373)</f>
        <v>21</v>
      </c>
      <c r="O1373" s="21" t="str">
        <f aca="false">TEXT(M1373,"DDDD")</f>
        <v>sábado</v>
      </c>
      <c r="P1373" s="6" t="n">
        <f aca="false">MONTH(M1373)</f>
        <v>2</v>
      </c>
      <c r="Q1373" s="21" t="str">
        <f aca="false">TEXT(M1373,"MMMM")</f>
        <v>febrero</v>
      </c>
    </row>
    <row r="1374" customFormat="false" ht="14.25" hidden="false" customHeight="false" outlineLevel="0" collapsed="false">
      <c r="A1374" s="1" t="n">
        <v>9</v>
      </c>
      <c r="B1374" s="1" t="s">
        <v>2116</v>
      </c>
      <c r="C1374" s="1" t="s">
        <v>20</v>
      </c>
      <c r="D1374" s="1" t="s">
        <v>2117</v>
      </c>
      <c r="E1374" s="2" t="n">
        <v>455718726</v>
      </c>
      <c r="H1374" s="3" t="n">
        <f aca="false">SUM(I1374+J1374+K1374)</f>
        <v>1780</v>
      </c>
      <c r="I1374" s="1" t="n">
        <v>1200</v>
      </c>
      <c r="J1374" s="1" t="n">
        <v>0</v>
      </c>
      <c r="K1374" s="1" t="n">
        <v>580</v>
      </c>
      <c r="L1374" s="4" t="n">
        <v>0.889</v>
      </c>
      <c r="M1374" s="48" t="n">
        <v>46074</v>
      </c>
      <c r="N1374" s="21" t="n">
        <f aca="false">DAY(M1374)</f>
        <v>21</v>
      </c>
      <c r="O1374" s="21" t="str">
        <f aca="false">TEXT(M1374,"DDDD")</f>
        <v>sábado</v>
      </c>
      <c r="P1374" s="6" t="n">
        <f aca="false">MONTH(M1374)</f>
        <v>2</v>
      </c>
      <c r="Q1374" s="21" t="str">
        <f aca="false">TEXT(M1374,"MMMM")</f>
        <v>febrero</v>
      </c>
    </row>
    <row r="1375" customFormat="false" ht="14.25" hidden="false" customHeight="false" outlineLevel="0" collapsed="false">
      <c r="A1375" s="1" t="n">
        <v>9</v>
      </c>
      <c r="B1375" s="1" t="s">
        <v>2118</v>
      </c>
      <c r="C1375" s="1" t="s">
        <v>38</v>
      </c>
      <c r="D1375" s="1" t="s">
        <v>847</v>
      </c>
      <c r="E1375" s="2" t="n">
        <v>455715291</v>
      </c>
      <c r="H1375" s="3" t="n">
        <f aca="false">SUM(I1375+J1375+K1375)</f>
        <v>3050</v>
      </c>
      <c r="I1375" s="1" t="n">
        <v>3050</v>
      </c>
      <c r="J1375" s="1" t="n">
        <v>0</v>
      </c>
      <c r="K1375" s="1" t="n">
        <v>0</v>
      </c>
      <c r="L1375" s="4" t="n">
        <v>1.579</v>
      </c>
      <c r="M1375" s="48" t="n">
        <v>46074</v>
      </c>
      <c r="N1375" s="21" t="n">
        <f aca="false">DAY(M1375)</f>
        <v>21</v>
      </c>
      <c r="O1375" s="21" t="str">
        <f aca="false">TEXT(M1375,"DDDD")</f>
        <v>sábado</v>
      </c>
      <c r="P1375" s="6" t="n">
        <f aca="false">MONTH(M1375)</f>
        <v>2</v>
      </c>
      <c r="Q1375" s="21" t="str">
        <f aca="false">TEXT(M1375,"MMMM")</f>
        <v>febrero</v>
      </c>
    </row>
    <row r="1376" customFormat="false" ht="14.25" hidden="false" customHeight="false" outlineLevel="0" collapsed="false">
      <c r="A1376" s="1" t="n">
        <v>8</v>
      </c>
      <c r="B1376" s="1" t="s">
        <v>2119</v>
      </c>
      <c r="C1376" s="1" t="s">
        <v>38</v>
      </c>
      <c r="D1376" s="1" t="s">
        <v>152</v>
      </c>
      <c r="E1376" s="2" t="n">
        <v>455708475</v>
      </c>
      <c r="F1376" s="21" t="s">
        <v>152</v>
      </c>
      <c r="G1376" s="1" t="n">
        <v>455708548</v>
      </c>
      <c r="H1376" s="3" t="n">
        <f aca="false">SUM(I1376+J1376+K1376)</f>
        <v>1800</v>
      </c>
      <c r="I1376" s="1" t="n">
        <v>1800</v>
      </c>
      <c r="J1376" s="1" t="n">
        <v>0</v>
      </c>
      <c r="K1376" s="1" t="n">
        <v>0</v>
      </c>
      <c r="L1376" s="4" t="n">
        <v>1.249</v>
      </c>
      <c r="M1376" s="48" t="n">
        <v>46074</v>
      </c>
      <c r="N1376" s="21" t="n">
        <f aca="false">DAY(M1376)</f>
        <v>21</v>
      </c>
      <c r="O1376" s="21" t="str">
        <f aca="false">TEXT(M1376,"DDDD")</f>
        <v>sábado</v>
      </c>
      <c r="P1376" s="6" t="n">
        <f aca="false">MONTH(M1376)</f>
        <v>2</v>
      </c>
      <c r="Q1376" s="21" t="str">
        <f aca="false">TEXT(M1376,"MMMM")</f>
        <v>febrero</v>
      </c>
    </row>
    <row r="1377" customFormat="false" ht="14.25" hidden="false" customHeight="false" outlineLevel="0" collapsed="false">
      <c r="A1377" s="1" t="n">
        <v>8</v>
      </c>
      <c r="B1377" s="1" t="s">
        <v>2120</v>
      </c>
      <c r="C1377" s="1" t="s">
        <v>20</v>
      </c>
      <c r="D1377" s="1" t="s">
        <v>847</v>
      </c>
      <c r="E1377" s="2" t="n">
        <v>455699198</v>
      </c>
      <c r="F1377" s="21" t="s">
        <v>847</v>
      </c>
      <c r="G1377" s="1" t="n">
        <v>455698785</v>
      </c>
      <c r="H1377" s="3" t="n">
        <f aca="false">SUM(I1377+J1377+K1377)</f>
        <v>5950</v>
      </c>
      <c r="I1377" s="1" t="n">
        <v>4850</v>
      </c>
      <c r="J1377" s="1" t="n">
        <v>0</v>
      </c>
      <c r="K1377" s="1" t="n">
        <v>1100</v>
      </c>
      <c r="L1377" s="4" t="n">
        <v>2.481</v>
      </c>
      <c r="M1377" s="48" t="n">
        <v>46074</v>
      </c>
      <c r="N1377" s="21" t="n">
        <f aca="false">DAY(M1377)</f>
        <v>21</v>
      </c>
      <c r="O1377" s="21" t="str">
        <f aca="false">TEXT(M1377,"DDDD")</f>
        <v>sábado</v>
      </c>
      <c r="P1377" s="6" t="n">
        <f aca="false">MONTH(M1377)</f>
        <v>2</v>
      </c>
      <c r="Q1377" s="21" t="str">
        <f aca="false">TEXT(M1377,"MMMM")</f>
        <v>febrero</v>
      </c>
    </row>
    <row r="1378" customFormat="false" ht="14.25" hidden="false" customHeight="false" outlineLevel="0" collapsed="false">
      <c r="A1378" s="1" t="n">
        <v>8</v>
      </c>
      <c r="B1378" s="1" t="s">
        <v>2121</v>
      </c>
      <c r="C1378" s="1" t="s">
        <v>38</v>
      </c>
      <c r="D1378" s="1" t="s">
        <v>1819</v>
      </c>
      <c r="E1378" s="2" t="n">
        <v>455705874</v>
      </c>
      <c r="H1378" s="3" t="n">
        <f aca="false">SUM(I1378+J1378+K1378)</f>
        <v>1200</v>
      </c>
      <c r="I1378" s="1" t="n">
        <v>1200</v>
      </c>
      <c r="J1378" s="1" t="n">
        <v>0</v>
      </c>
      <c r="K1378" s="1" t="n">
        <v>0</v>
      </c>
      <c r="L1378" s="4" t="n">
        <v>0.568</v>
      </c>
      <c r="M1378" s="48" t="n">
        <v>46074</v>
      </c>
      <c r="N1378" s="21" t="n">
        <f aca="false">DAY(M1378)</f>
        <v>21</v>
      </c>
      <c r="O1378" s="21" t="str">
        <f aca="false">TEXT(M1378,"DDDD")</f>
        <v>sábado</v>
      </c>
      <c r="P1378" s="6" t="n">
        <f aca="false">MONTH(M1378)</f>
        <v>2</v>
      </c>
      <c r="Q1378" s="21" t="str">
        <f aca="false">TEXT(M1378,"MMMM")</f>
        <v>febrero</v>
      </c>
    </row>
    <row r="1379" customFormat="false" ht="14.25" hidden="false" customHeight="false" outlineLevel="0" collapsed="false">
      <c r="A1379" s="1" t="n">
        <v>7</v>
      </c>
      <c r="B1379" s="1" t="s">
        <v>1784</v>
      </c>
      <c r="C1379" s="1" t="s">
        <v>20</v>
      </c>
      <c r="D1379" s="1" t="s">
        <v>2122</v>
      </c>
      <c r="E1379" s="2" t="n">
        <v>455695462</v>
      </c>
      <c r="H1379" s="3" t="n">
        <f aca="false">SUM(I1379+J1379+K1379)</f>
        <v>1450</v>
      </c>
      <c r="I1379" s="1" t="n">
        <v>1450</v>
      </c>
      <c r="J1379" s="1" t="n">
        <v>0</v>
      </c>
      <c r="K1379" s="1" t="n">
        <v>0</v>
      </c>
      <c r="L1379" s="4" t="n">
        <v>1.124</v>
      </c>
      <c r="M1379" s="48" t="n">
        <v>46074</v>
      </c>
      <c r="N1379" s="21" t="n">
        <f aca="false">DAY(M1379)</f>
        <v>21</v>
      </c>
      <c r="O1379" s="21" t="str">
        <f aca="false">TEXT(M1379,"DDDD")</f>
        <v>sábado</v>
      </c>
      <c r="P1379" s="6" t="n">
        <f aca="false">MONTH(M1379)</f>
        <v>2</v>
      </c>
      <c r="Q1379" s="21" t="str">
        <f aca="false">TEXT(M1379,"MMMM")</f>
        <v>febrero</v>
      </c>
    </row>
    <row r="1380" customFormat="false" ht="14.25" hidden="false" customHeight="false" outlineLevel="0" collapsed="false">
      <c r="A1380" s="1" t="n">
        <v>3</v>
      </c>
      <c r="B1380" s="1" t="s">
        <v>481</v>
      </c>
      <c r="C1380" s="1" t="s">
        <v>20</v>
      </c>
      <c r="D1380" s="1" t="s">
        <v>2123</v>
      </c>
      <c r="E1380" s="2" t="s">
        <v>2124</v>
      </c>
      <c r="H1380" s="1" t="n">
        <v>2050</v>
      </c>
      <c r="I1380" s="1" t="n">
        <v>2050</v>
      </c>
      <c r="J1380" s="1" t="n">
        <v>0</v>
      </c>
      <c r="K1380" s="1" t="n">
        <v>0</v>
      </c>
      <c r="L1380" s="1" t="n">
        <v>0</v>
      </c>
      <c r="M1380" s="48" t="n">
        <v>46252</v>
      </c>
      <c r="N1380" s="21" t="n">
        <f aca="false">DAY(M1380)</f>
        <v>18</v>
      </c>
      <c r="O1380" s="21" t="str">
        <f aca="false">TEXT(M1380,"DDDD")</f>
        <v>martes</v>
      </c>
      <c r="P1380" s="6" t="n">
        <f aca="false">MONTH(M1380)</f>
        <v>8</v>
      </c>
      <c r="Q1380" s="21" t="str">
        <f aca="false">TEXT(M1380,"MMMM")</f>
        <v>agosto</v>
      </c>
      <c r="R1380" s="21" t="s">
        <v>2123</v>
      </c>
      <c r="S1380" s="1" t="n">
        <v>41052</v>
      </c>
    </row>
    <row r="1381" customFormat="false" ht="14.25" hidden="false" customHeight="false" outlineLevel="0" collapsed="false">
      <c r="A1381" s="1" t="n">
        <v>3</v>
      </c>
      <c r="B1381" s="1" t="s">
        <v>2125</v>
      </c>
      <c r="C1381" s="1" t="s">
        <v>38</v>
      </c>
      <c r="D1381" s="1" t="s">
        <v>2126</v>
      </c>
      <c r="E1381" s="2" t="s">
        <v>2127</v>
      </c>
      <c r="H1381" s="1" t="n">
        <v>2650</v>
      </c>
      <c r="I1381" s="1" t="n">
        <v>1950</v>
      </c>
      <c r="J1381" s="1" t="n">
        <v>0</v>
      </c>
      <c r="K1381" s="1" t="n">
        <v>700</v>
      </c>
      <c r="L1381" s="1" t="n">
        <v>0</v>
      </c>
      <c r="M1381" s="48" t="n">
        <v>46252</v>
      </c>
      <c r="N1381" s="21" t="n">
        <f aca="false">DAY(M1381)</f>
        <v>18</v>
      </c>
      <c r="O1381" s="21" t="str">
        <f aca="false">TEXT(M1381,"DDDD")</f>
        <v>martes</v>
      </c>
      <c r="P1381" s="6" t="n">
        <f aca="false">MONTH(M1381)</f>
        <v>8</v>
      </c>
      <c r="Q1381" s="21" t="str">
        <f aca="false">TEXT(M1381,"MMMM")</f>
        <v>agosto</v>
      </c>
      <c r="R1381" s="21" t="s">
        <v>2126</v>
      </c>
      <c r="S1381" s="1" t="n">
        <v>18426</v>
      </c>
    </row>
    <row r="1382" customFormat="false" ht="14.25" hidden="false" customHeight="false" outlineLevel="0" collapsed="false">
      <c r="A1382" s="1" t="n">
        <v>2</v>
      </c>
      <c r="B1382" s="1" t="s">
        <v>2128</v>
      </c>
      <c r="C1382" s="1" t="s">
        <v>20</v>
      </c>
      <c r="D1382" s="1" t="s">
        <v>2129</v>
      </c>
      <c r="E1382" s="2" t="s">
        <v>2130</v>
      </c>
      <c r="H1382" s="1" t="n">
        <v>2800</v>
      </c>
      <c r="I1382" s="1" t="n">
        <v>2800</v>
      </c>
      <c r="J1382" s="1" t="n">
        <v>0</v>
      </c>
      <c r="K1382" s="1" t="n">
        <v>0</v>
      </c>
      <c r="L1382" s="1" t="n">
        <v>0</v>
      </c>
      <c r="M1382" s="48" t="n">
        <v>46252</v>
      </c>
      <c r="N1382" s="21" t="n">
        <f aca="false">DAY(M1382)</f>
        <v>18</v>
      </c>
      <c r="O1382" s="21" t="str">
        <f aca="false">TEXT(M1382,"DDDD")</f>
        <v>martes</v>
      </c>
      <c r="P1382" s="6" t="n">
        <f aca="false">MONTH(M1382)</f>
        <v>8</v>
      </c>
      <c r="Q1382" s="21" t="str">
        <f aca="false">TEXT(M1382,"MMMM")</f>
        <v>agosto</v>
      </c>
    </row>
    <row r="1383" customFormat="false" ht="14.25" hidden="false" customHeight="false" outlineLevel="0" collapsed="false">
      <c r="A1383" s="1" t="n">
        <v>2</v>
      </c>
      <c r="B1383" s="1" t="s">
        <v>2131</v>
      </c>
      <c r="C1383" s="1" t="s">
        <v>20</v>
      </c>
      <c r="D1383" s="1" t="s">
        <v>2132</v>
      </c>
      <c r="E1383" s="2" t="s">
        <v>2133</v>
      </c>
      <c r="H1383" s="1" t="n">
        <v>2200</v>
      </c>
      <c r="I1383" s="1" t="n">
        <v>2200</v>
      </c>
      <c r="J1383" s="1" t="n">
        <v>0</v>
      </c>
      <c r="K1383" s="1" t="n">
        <v>0</v>
      </c>
      <c r="L1383" s="1" t="n">
        <v>0</v>
      </c>
      <c r="M1383" s="48" t="n">
        <v>46252</v>
      </c>
      <c r="N1383" s="21" t="n">
        <f aca="false">DAY(M1383)</f>
        <v>18</v>
      </c>
      <c r="O1383" s="21" t="str">
        <f aca="false">TEXT(M1383,"DDDD")</f>
        <v>martes</v>
      </c>
      <c r="P1383" s="6" t="n">
        <f aca="false">MONTH(M1383)</f>
        <v>8</v>
      </c>
      <c r="Q1383" s="21" t="str">
        <f aca="false">TEXT(M1383,"MMMM")</f>
        <v>agosto</v>
      </c>
    </row>
    <row r="1384" customFormat="false" ht="14.25" hidden="false" customHeight="false" outlineLevel="0" collapsed="false">
      <c r="A1384" s="1" t="n">
        <v>2</v>
      </c>
      <c r="B1384" s="1" t="s">
        <v>2134</v>
      </c>
      <c r="C1384" s="1" t="s">
        <v>20</v>
      </c>
      <c r="D1384" s="1" t="s">
        <v>2123</v>
      </c>
      <c r="E1384" s="2" t="s">
        <v>2135</v>
      </c>
      <c r="H1384" s="1" t="n">
        <v>1360</v>
      </c>
      <c r="I1384" s="1" t="n">
        <v>1200</v>
      </c>
      <c r="J1384" s="1" t="n">
        <v>0</v>
      </c>
      <c r="K1384" s="1" t="n">
        <v>160</v>
      </c>
      <c r="L1384" s="1" t="n">
        <v>0</v>
      </c>
      <c r="M1384" s="48" t="n">
        <v>46252</v>
      </c>
      <c r="N1384" s="21" t="n">
        <f aca="false">DAY(M1384)</f>
        <v>18</v>
      </c>
      <c r="O1384" s="21" t="str">
        <f aca="false">TEXT(M1384,"DDDD")</f>
        <v>martes</v>
      </c>
      <c r="P1384" s="6" t="n">
        <f aca="false">MONTH(M1384)</f>
        <v>8</v>
      </c>
      <c r="Q1384" s="21" t="str">
        <f aca="false">TEXT(M1384,"MMMM")</f>
        <v>agosto</v>
      </c>
      <c r="R1384" s="21" t="s">
        <v>2123</v>
      </c>
      <c r="S1384" s="1" t="n">
        <v>8650</v>
      </c>
    </row>
    <row r="1385" customFormat="false" ht="14.25" hidden="false" customHeight="false" outlineLevel="0" collapsed="false">
      <c r="A1385" s="1" t="n">
        <v>2</v>
      </c>
      <c r="B1385" s="1" t="s">
        <v>2136</v>
      </c>
      <c r="C1385" s="1" t="s">
        <v>20</v>
      </c>
      <c r="D1385" s="1" t="s">
        <v>82</v>
      </c>
      <c r="E1385" s="2" t="s">
        <v>2137</v>
      </c>
      <c r="F1385" s="21" t="s">
        <v>82</v>
      </c>
      <c r="G1385" s="21" t="s">
        <v>2138</v>
      </c>
      <c r="H1385" s="1" t="n">
        <v>2260</v>
      </c>
      <c r="I1385" s="1" t="n">
        <v>1200</v>
      </c>
      <c r="J1385" s="1" t="n">
        <v>0</v>
      </c>
      <c r="K1385" s="1" t="n">
        <v>1060</v>
      </c>
      <c r="L1385" s="1" t="n">
        <v>0</v>
      </c>
      <c r="M1385" s="48" t="n">
        <v>46252</v>
      </c>
      <c r="N1385" s="21" t="n">
        <f aca="false">DAY(M1385)</f>
        <v>18</v>
      </c>
      <c r="O1385" s="21" t="str">
        <f aca="false">TEXT(M1385,"DDDD")</f>
        <v>martes</v>
      </c>
      <c r="P1385" s="6" t="n">
        <f aca="false">MONTH(M1385)</f>
        <v>8</v>
      </c>
      <c r="Q1385" s="21" t="str">
        <f aca="false">TEXT(M1385,"MMMM")</f>
        <v>agosto</v>
      </c>
    </row>
    <row r="1386" customFormat="false" ht="14.25" hidden="false" customHeight="false" outlineLevel="0" collapsed="false">
      <c r="A1386" s="1" t="n">
        <v>2</v>
      </c>
      <c r="B1386" s="1" t="s">
        <v>2139</v>
      </c>
      <c r="C1386" s="1" t="s">
        <v>20</v>
      </c>
      <c r="D1386" s="1" t="s">
        <v>964</v>
      </c>
      <c r="E1386" s="2" t="s">
        <v>2140</v>
      </c>
      <c r="H1386" s="1" t="n">
        <v>1200</v>
      </c>
      <c r="I1386" s="1" t="n">
        <v>1200</v>
      </c>
      <c r="J1386" s="1" t="n">
        <v>0</v>
      </c>
      <c r="K1386" s="1" t="n">
        <v>0</v>
      </c>
      <c r="L1386" s="1" t="n">
        <v>0</v>
      </c>
      <c r="M1386" s="48" t="n">
        <v>46252</v>
      </c>
      <c r="N1386" s="21" t="n">
        <f aca="false">DAY(M1386)</f>
        <v>18</v>
      </c>
      <c r="O1386" s="21" t="str">
        <f aca="false">TEXT(M1386,"DDDD")</f>
        <v>martes</v>
      </c>
      <c r="P1386" s="6" t="n">
        <f aca="false">MONTH(M1386)</f>
        <v>8</v>
      </c>
      <c r="Q1386" s="21" t="str">
        <f aca="false">TEXT(M1386,"MMMM")</f>
        <v>agosto</v>
      </c>
    </row>
    <row r="1387" customFormat="false" ht="14.25" hidden="false" customHeight="false" outlineLevel="0" collapsed="false">
      <c r="A1387" s="1" t="n">
        <v>1</v>
      </c>
      <c r="B1387" s="1" t="s">
        <v>2141</v>
      </c>
      <c r="C1387" s="1" t="s">
        <v>20</v>
      </c>
      <c r="D1387" s="1" t="s">
        <v>82</v>
      </c>
      <c r="E1387" s="2" t="s">
        <v>2142</v>
      </c>
      <c r="F1387" s="21" t="s">
        <v>82</v>
      </c>
      <c r="G1387" s="21" t="s">
        <v>2138</v>
      </c>
      <c r="H1387" s="1" t="n">
        <v>2900</v>
      </c>
      <c r="I1387" s="1" t="n">
        <v>1800</v>
      </c>
      <c r="J1387" s="1" t="n">
        <v>0</v>
      </c>
      <c r="K1387" s="1" t="n">
        <v>1100</v>
      </c>
      <c r="L1387" s="1" t="n">
        <v>0</v>
      </c>
      <c r="M1387" s="48" t="n">
        <v>46252</v>
      </c>
      <c r="N1387" s="21" t="n">
        <f aca="false">DAY(M1387)</f>
        <v>18</v>
      </c>
      <c r="O1387" s="21" t="str">
        <f aca="false">TEXT(M1387,"DDDD")</f>
        <v>martes</v>
      </c>
      <c r="P1387" s="6" t="n">
        <f aca="false">MONTH(M1387)</f>
        <v>8</v>
      </c>
      <c r="Q1387" s="21" t="str">
        <f aca="false">TEXT(M1387,"MMMM")</f>
        <v>agosto</v>
      </c>
    </row>
    <row r="1388" customFormat="false" ht="14.25" hidden="false" customHeight="false" outlineLevel="0" collapsed="false">
      <c r="A1388" s="1" t="n">
        <v>1</v>
      </c>
      <c r="B1388" s="1" t="s">
        <v>545</v>
      </c>
      <c r="C1388" s="1" t="s">
        <v>38</v>
      </c>
      <c r="D1388" s="1" t="s">
        <v>1637</v>
      </c>
      <c r="E1388" s="2" t="s">
        <v>2143</v>
      </c>
      <c r="H1388" s="1" t="n">
        <v>1201</v>
      </c>
      <c r="I1388" s="1" t="n">
        <v>1200</v>
      </c>
      <c r="J1388" s="1" t="n">
        <v>0</v>
      </c>
      <c r="K1388" s="1" t="n">
        <v>1</v>
      </c>
      <c r="L1388" s="1" t="n">
        <v>0</v>
      </c>
      <c r="M1388" s="48" t="n">
        <v>46252</v>
      </c>
      <c r="N1388" s="21" t="n">
        <f aca="false">DAY(M1388)</f>
        <v>18</v>
      </c>
      <c r="O1388" s="21" t="str">
        <f aca="false">TEXT(M1388,"DDDD")</f>
        <v>martes</v>
      </c>
      <c r="P1388" s="6" t="n">
        <f aca="false">MONTH(M1388)</f>
        <v>8</v>
      </c>
      <c r="Q1388" s="21" t="str">
        <f aca="false">TEXT(M1388,"MMMM")</f>
        <v>agosto</v>
      </c>
    </row>
    <row r="1389" customFormat="false" ht="14.25" hidden="false" customHeight="false" outlineLevel="0" collapsed="false">
      <c r="A1389" s="1" t="n">
        <v>1</v>
      </c>
      <c r="B1389" s="1" t="s">
        <v>598</v>
      </c>
      <c r="C1389" s="1" t="s">
        <v>38</v>
      </c>
      <c r="D1389" s="1" t="s">
        <v>366</v>
      </c>
      <c r="E1389" s="2" t="s">
        <v>2144</v>
      </c>
      <c r="H1389" s="1" t="n">
        <v>1300</v>
      </c>
      <c r="I1389" s="1" t="n">
        <v>1200</v>
      </c>
      <c r="J1389" s="1" t="n">
        <v>0</v>
      </c>
      <c r="K1389" s="1" t="n">
        <v>100</v>
      </c>
      <c r="L1389" s="1" t="n">
        <v>0</v>
      </c>
      <c r="M1389" s="48" t="n">
        <v>46252</v>
      </c>
      <c r="N1389" s="21" t="n">
        <f aca="false">DAY(M1389)</f>
        <v>18</v>
      </c>
      <c r="O1389" s="21" t="str">
        <f aca="false">TEXT(M1389,"DDDD")</f>
        <v>martes</v>
      </c>
      <c r="P1389" s="6" t="n">
        <f aca="false">MONTH(M1389)</f>
        <v>8</v>
      </c>
      <c r="Q1389" s="21" t="str">
        <f aca="false">TEXT(M1389,"MMMM")</f>
        <v>agosto</v>
      </c>
    </row>
    <row r="1390" customFormat="false" ht="14.25" hidden="false" customHeight="false" outlineLevel="0" collapsed="false">
      <c r="A1390" s="1" t="n">
        <v>12</v>
      </c>
      <c r="B1390" s="1" t="s">
        <v>880</v>
      </c>
      <c r="C1390" s="1" t="s">
        <v>20</v>
      </c>
      <c r="D1390" s="1" t="s">
        <v>1188</v>
      </c>
      <c r="E1390" s="1" t="s">
        <v>2145</v>
      </c>
      <c r="F1390" s="1" t="s">
        <v>1435</v>
      </c>
      <c r="G1390" s="1" t="s">
        <v>2146</v>
      </c>
      <c r="H1390" s="1" t="n">
        <v>3080</v>
      </c>
      <c r="I1390" s="1" t="n">
        <v>1800</v>
      </c>
      <c r="J1390" s="1" t="n">
        <v>0</v>
      </c>
      <c r="K1390" s="1" t="n">
        <v>1280</v>
      </c>
      <c r="L1390" s="1" t="n">
        <v>0</v>
      </c>
      <c r="M1390" s="48" t="n">
        <v>46254</v>
      </c>
      <c r="N1390" s="1" t="n">
        <f aca="false">DAY(M1390)</f>
        <v>20</v>
      </c>
      <c r="O1390" s="1" t="str">
        <f aca="false">TEXT(M1390,"DDDD")</f>
        <v>jueves</v>
      </c>
      <c r="P1390" s="6" t="n">
        <f aca="false">MONTH(M1390)</f>
        <v>8</v>
      </c>
      <c r="Q1390" s="1" t="str">
        <f aca="false">TEXT(M1390,"MMMM")</f>
        <v>agosto</v>
      </c>
    </row>
    <row r="1391" customFormat="false" ht="14.25" hidden="false" customHeight="false" outlineLevel="0" collapsed="false">
      <c r="A1391" s="1" t="n">
        <v>11</v>
      </c>
      <c r="B1391" s="1" t="s">
        <v>2039</v>
      </c>
      <c r="C1391" s="1" t="s">
        <v>20</v>
      </c>
      <c r="D1391" s="1" t="s">
        <v>613</v>
      </c>
      <c r="E1391" s="1" t="s">
        <v>2147</v>
      </c>
      <c r="F1391" s="1" t="s">
        <v>613</v>
      </c>
      <c r="G1391" s="1" t="s">
        <v>2148</v>
      </c>
      <c r="H1391" s="1" t="n">
        <v>6240</v>
      </c>
      <c r="I1391" s="1" t="n">
        <v>1800</v>
      </c>
      <c r="J1391" s="1" t="n">
        <v>0</v>
      </c>
      <c r="K1391" s="1" t="n">
        <v>4440</v>
      </c>
      <c r="L1391" s="1" t="n">
        <v>0</v>
      </c>
      <c r="M1391" s="48" t="n">
        <v>46254</v>
      </c>
      <c r="N1391" s="1" t="n">
        <f aca="false">DAY(M1391)</f>
        <v>20</v>
      </c>
      <c r="O1391" s="1" t="str">
        <f aca="false">TEXT(M1391,"DDDD")</f>
        <v>jueves</v>
      </c>
      <c r="P1391" s="6" t="n">
        <f aca="false">MONTH(M1391)</f>
        <v>8</v>
      </c>
      <c r="Q1391" s="1" t="str">
        <f aca="false">TEXT(M1391,"MMMM")</f>
        <v>agosto</v>
      </c>
    </row>
    <row r="1392" customFormat="false" ht="14.25" hidden="false" customHeight="false" outlineLevel="0" collapsed="false">
      <c r="A1392" s="1" t="n">
        <v>11</v>
      </c>
      <c r="B1392" s="1" t="s">
        <v>2149</v>
      </c>
      <c r="C1392" s="1" t="s">
        <v>20</v>
      </c>
      <c r="D1392" s="1" t="s">
        <v>1967</v>
      </c>
      <c r="E1392" s="1" t="s">
        <v>2150</v>
      </c>
      <c r="H1392" s="1" t="n">
        <v>1640</v>
      </c>
      <c r="I1392" s="1" t="n">
        <v>1200</v>
      </c>
      <c r="J1392" s="1" t="n">
        <v>0</v>
      </c>
      <c r="K1392" s="1" t="n">
        <v>440</v>
      </c>
      <c r="L1392" s="1" t="n">
        <v>0</v>
      </c>
      <c r="M1392" s="48" t="n">
        <v>46254</v>
      </c>
      <c r="N1392" s="1" t="n">
        <f aca="false">DAY(M1392)</f>
        <v>20</v>
      </c>
      <c r="O1392" s="1" t="str">
        <f aca="false">TEXT(M1392,"DDDD")</f>
        <v>jueves</v>
      </c>
      <c r="P1392" s="6" t="n">
        <f aca="false">MONTH(M1392)</f>
        <v>8</v>
      </c>
      <c r="Q1392" s="1" t="str">
        <f aca="false">TEXT(M1392,"MMMM")</f>
        <v>agosto</v>
      </c>
    </row>
    <row r="1393" customFormat="false" ht="14.25" hidden="false" customHeight="false" outlineLevel="0" collapsed="false">
      <c r="A1393" s="1" t="n">
        <v>11</v>
      </c>
      <c r="B1393" s="1" t="s">
        <v>2151</v>
      </c>
      <c r="C1393" s="1" t="s">
        <v>38</v>
      </c>
      <c r="D1393" s="1" t="s">
        <v>2152</v>
      </c>
      <c r="E1393" s="1" t="s">
        <v>2153</v>
      </c>
      <c r="H1393" s="1" t="n">
        <v>2760</v>
      </c>
      <c r="I1393" s="1" t="n">
        <v>1200</v>
      </c>
      <c r="J1393" s="1" t="n">
        <v>0</v>
      </c>
      <c r="K1393" s="1" t="n">
        <v>1560</v>
      </c>
      <c r="L1393" s="1" t="n">
        <v>0</v>
      </c>
      <c r="M1393" s="48" t="n">
        <v>46254</v>
      </c>
      <c r="N1393" s="1" t="n">
        <f aca="false">DAY(M1393)</f>
        <v>20</v>
      </c>
      <c r="O1393" s="1" t="str">
        <f aca="false">TEXT(M1393,"DDDD")</f>
        <v>jueves</v>
      </c>
      <c r="P1393" s="6" t="n">
        <f aca="false">MONTH(M1393)</f>
        <v>8</v>
      </c>
      <c r="Q1393" s="1" t="str">
        <f aca="false">TEXT(M1393,"MMMM")</f>
        <v>agosto</v>
      </c>
    </row>
    <row r="1394" customFormat="false" ht="14.25" hidden="false" customHeight="false" outlineLevel="0" collapsed="false">
      <c r="A1394" s="1" t="n">
        <v>11</v>
      </c>
      <c r="B1394" s="1" t="s">
        <v>1403</v>
      </c>
      <c r="C1394" s="1" t="s">
        <v>20</v>
      </c>
      <c r="D1394" s="1" t="s">
        <v>1559</v>
      </c>
      <c r="E1394" s="1" t="s">
        <v>2154</v>
      </c>
      <c r="H1394" s="1" t="n">
        <v>3720</v>
      </c>
      <c r="I1394" s="1" t="n">
        <v>1200</v>
      </c>
      <c r="J1394" s="1" t="n">
        <v>0</v>
      </c>
      <c r="K1394" s="1" t="n">
        <v>2520</v>
      </c>
      <c r="L1394" s="1" t="n">
        <v>0</v>
      </c>
      <c r="M1394" s="48" t="n">
        <v>46254</v>
      </c>
      <c r="N1394" s="1" t="n">
        <f aca="false">DAY(M1394)</f>
        <v>20</v>
      </c>
      <c r="O1394" s="1" t="str">
        <f aca="false">TEXT(M1394,"DDDD")</f>
        <v>jueves</v>
      </c>
      <c r="P1394" s="6" t="n">
        <f aca="false">MONTH(M1394)</f>
        <v>8</v>
      </c>
      <c r="Q1394" s="1" t="str">
        <f aca="false">TEXT(M1394,"MMMM")</f>
        <v>agosto</v>
      </c>
    </row>
    <row r="1395" customFormat="false" ht="14.25" hidden="false" customHeight="false" outlineLevel="0" collapsed="false">
      <c r="A1395" s="1" t="n">
        <v>7</v>
      </c>
      <c r="B1395" s="1" t="s">
        <v>2155</v>
      </c>
      <c r="C1395" s="1" t="s">
        <v>20</v>
      </c>
      <c r="D1395" s="1" t="s">
        <v>2156</v>
      </c>
      <c r="E1395" s="1" t="s">
        <v>2157</v>
      </c>
      <c r="H1395" s="1" t="n">
        <v>3800</v>
      </c>
      <c r="I1395" s="1" t="n">
        <v>1200</v>
      </c>
      <c r="J1395" s="1" t="n">
        <v>0</v>
      </c>
      <c r="K1395" s="1" t="n">
        <v>2600</v>
      </c>
      <c r="L1395" s="1" t="n">
        <v>0</v>
      </c>
      <c r="M1395" s="48" t="n">
        <v>46254</v>
      </c>
      <c r="N1395" s="1" t="n">
        <f aca="false">DAY(M1395)</f>
        <v>20</v>
      </c>
      <c r="O1395" s="1" t="str">
        <f aca="false">TEXT(M1395,"DDDD")</f>
        <v>jueves</v>
      </c>
      <c r="P1395" s="6" t="n">
        <f aca="false">MONTH(M1395)</f>
        <v>8</v>
      </c>
      <c r="Q1395" s="1" t="str">
        <f aca="false">TEXT(M1395,"MMMM")</f>
        <v>agosto</v>
      </c>
    </row>
    <row r="1396" customFormat="false" ht="14.25" hidden="false" customHeight="false" outlineLevel="0" collapsed="false">
      <c r="A1396" s="1" t="n">
        <v>7</v>
      </c>
      <c r="B1396" s="1" t="s">
        <v>2158</v>
      </c>
      <c r="C1396" s="1" t="s">
        <v>38</v>
      </c>
      <c r="D1396" s="1" t="s">
        <v>2159</v>
      </c>
      <c r="E1396" s="1" t="s">
        <v>2160</v>
      </c>
      <c r="H1396" s="1" t="n">
        <v>1640</v>
      </c>
      <c r="I1396" s="1" t="n">
        <v>1200</v>
      </c>
      <c r="J1396" s="1" t="n">
        <v>0</v>
      </c>
      <c r="K1396" s="1" t="n">
        <v>440</v>
      </c>
      <c r="L1396" s="1" t="n">
        <v>0</v>
      </c>
      <c r="M1396" s="48" t="n">
        <v>46254</v>
      </c>
      <c r="N1396" s="1" t="n">
        <f aca="false">DAY(M1396)</f>
        <v>20</v>
      </c>
      <c r="O1396" s="1" t="str">
        <f aca="false">TEXT(M1396,"DDDD")</f>
        <v>jueves</v>
      </c>
      <c r="P1396" s="6" t="n">
        <f aca="false">MONTH(M1396)</f>
        <v>8</v>
      </c>
      <c r="Q1396" s="1" t="str">
        <f aca="false">TEXT(M1396,"MMMM")</f>
        <v>agosto</v>
      </c>
    </row>
    <row r="1397" customFormat="false" ht="14.25" hidden="false" customHeight="false" outlineLevel="0" collapsed="false">
      <c r="A1397" s="1" t="n">
        <v>7</v>
      </c>
      <c r="B1397" s="1" t="s">
        <v>2161</v>
      </c>
      <c r="C1397" s="1" t="s">
        <v>20</v>
      </c>
      <c r="D1397" s="1" t="s">
        <v>366</v>
      </c>
      <c r="E1397" s="1" t="s">
        <v>2162</v>
      </c>
      <c r="H1397" s="1" t="n">
        <v>1990</v>
      </c>
      <c r="I1397" s="1" t="n">
        <v>1250</v>
      </c>
      <c r="J1397" s="1" t="n">
        <v>0</v>
      </c>
      <c r="K1397" s="1" t="n">
        <v>740</v>
      </c>
      <c r="L1397" s="1" t="n">
        <v>0</v>
      </c>
      <c r="M1397" s="48" t="n">
        <v>46254</v>
      </c>
      <c r="N1397" s="1" t="n">
        <f aca="false">DAY(M1397)</f>
        <v>20</v>
      </c>
      <c r="O1397" s="1" t="str">
        <f aca="false">TEXT(M1397,"DDDD")</f>
        <v>jueves</v>
      </c>
      <c r="P1397" s="6" t="n">
        <f aca="false">MONTH(M1397)</f>
        <v>8</v>
      </c>
      <c r="Q1397" s="1" t="str">
        <f aca="false">TEXT(M1397,"MMMM")</f>
        <v>agosto</v>
      </c>
    </row>
    <row r="1398" customFormat="false" ht="14.25" hidden="false" customHeight="false" outlineLevel="0" collapsed="false">
      <c r="A1398" s="1" t="n">
        <v>4</v>
      </c>
      <c r="B1398" s="1" t="s">
        <v>2163</v>
      </c>
      <c r="C1398" s="1" t="s">
        <v>38</v>
      </c>
      <c r="D1398" s="1" t="s">
        <v>2164</v>
      </c>
      <c r="E1398" s="1" t="s">
        <v>2165</v>
      </c>
      <c r="H1398" s="1" t="n">
        <v>1340</v>
      </c>
      <c r="I1398" s="1" t="n">
        <v>1200</v>
      </c>
      <c r="J1398" s="1" t="n">
        <v>0</v>
      </c>
      <c r="K1398" s="1" t="n">
        <v>140</v>
      </c>
      <c r="L1398" s="1" t="n">
        <v>0</v>
      </c>
      <c r="M1398" s="48" t="n">
        <v>46254</v>
      </c>
      <c r="N1398" s="1" t="n">
        <f aca="false">DAY(M1398)</f>
        <v>20</v>
      </c>
      <c r="O1398" s="1" t="str">
        <f aca="false">TEXT(M1398,"DDDD")</f>
        <v>jueves</v>
      </c>
      <c r="P1398" s="6" t="n">
        <f aca="false">MONTH(M1398)</f>
        <v>8</v>
      </c>
      <c r="Q1398" s="1" t="str">
        <f aca="false">TEXT(M1398,"MMMM")</f>
        <v>agosto</v>
      </c>
    </row>
    <row r="1399" customFormat="false" ht="14.25" hidden="false" customHeight="false" outlineLevel="0" collapsed="false">
      <c r="A1399" s="1" t="n">
        <v>4</v>
      </c>
      <c r="B1399" s="1" t="s">
        <v>2166</v>
      </c>
      <c r="C1399" s="1" t="s">
        <v>20</v>
      </c>
      <c r="D1399" s="1" t="s">
        <v>2164</v>
      </c>
      <c r="E1399" s="1" t="s">
        <v>2165</v>
      </c>
      <c r="H1399" s="1" t="n">
        <v>1340</v>
      </c>
      <c r="I1399" s="1" t="n">
        <v>1200</v>
      </c>
      <c r="J1399" s="1" t="n">
        <v>0</v>
      </c>
      <c r="K1399" s="1" t="n">
        <v>140</v>
      </c>
      <c r="L1399" s="1" t="n">
        <v>0</v>
      </c>
      <c r="M1399" s="48" t="n">
        <v>46254</v>
      </c>
      <c r="N1399" s="1" t="n">
        <f aca="false">DAY(M1399)</f>
        <v>20</v>
      </c>
      <c r="O1399" s="1" t="str">
        <f aca="false">TEXT(M1399,"DDDD")</f>
        <v>jueves</v>
      </c>
      <c r="P1399" s="6" t="n">
        <f aca="false">MONTH(M1399)</f>
        <v>8</v>
      </c>
      <c r="Q1399" s="1" t="str">
        <f aca="false">TEXT(M1399,"MMMM")</f>
        <v>agosto</v>
      </c>
    </row>
    <row r="1400" customFormat="false" ht="14.25" hidden="false" customHeight="false" outlineLevel="0" collapsed="false">
      <c r="A1400" s="1" t="n">
        <v>4</v>
      </c>
      <c r="B1400" s="1" t="s">
        <v>2167</v>
      </c>
      <c r="C1400" s="1" t="s">
        <v>38</v>
      </c>
      <c r="D1400" s="1" t="s">
        <v>2168</v>
      </c>
      <c r="E1400" s="1" t="s">
        <v>2169</v>
      </c>
      <c r="H1400" s="1" t="n">
        <v>2050</v>
      </c>
      <c r="I1400" s="1" t="n">
        <v>1850</v>
      </c>
      <c r="J1400" s="1" t="n">
        <v>0</v>
      </c>
      <c r="K1400" s="1" t="n">
        <v>200</v>
      </c>
      <c r="L1400" s="1" t="n">
        <v>0</v>
      </c>
      <c r="M1400" s="48" t="n">
        <v>46254</v>
      </c>
      <c r="N1400" s="1" t="n">
        <f aca="false">DAY(M1400)</f>
        <v>20</v>
      </c>
      <c r="O1400" s="1" t="str">
        <f aca="false">TEXT(M1400,"DDDD")</f>
        <v>jueves</v>
      </c>
      <c r="P1400" s="6" t="n">
        <f aca="false">MONTH(M1400)</f>
        <v>8</v>
      </c>
      <c r="Q1400" s="1" t="str">
        <f aca="false">TEXT(M1400,"MMMM")</f>
        <v>agosto</v>
      </c>
    </row>
    <row r="1401" customFormat="false" ht="14.25" hidden="false" customHeight="false" outlineLevel="0" collapsed="false">
      <c r="A1401" s="1" t="n">
        <v>4</v>
      </c>
      <c r="B1401" s="1" t="s">
        <v>2170</v>
      </c>
      <c r="C1401" s="1" t="s">
        <v>20</v>
      </c>
      <c r="D1401" s="1" t="s">
        <v>82</v>
      </c>
      <c r="E1401" s="1" t="s">
        <v>2171</v>
      </c>
      <c r="H1401" s="1" t="n">
        <v>1200</v>
      </c>
      <c r="I1401" s="1" t="n">
        <v>1200</v>
      </c>
      <c r="J1401" s="1" t="n">
        <v>0</v>
      </c>
      <c r="K1401" s="1" t="n">
        <v>0</v>
      </c>
      <c r="L1401" s="1" t="n">
        <v>0</v>
      </c>
      <c r="M1401" s="48" t="n">
        <v>46254</v>
      </c>
      <c r="N1401" s="1" t="n">
        <f aca="false">DAY(M1401)</f>
        <v>20</v>
      </c>
      <c r="O1401" s="1" t="str">
        <f aca="false">TEXT(M1401,"DDDD")</f>
        <v>jueves</v>
      </c>
      <c r="P1401" s="6" t="n">
        <f aca="false">MONTH(M1401)</f>
        <v>8</v>
      </c>
      <c r="Q1401" s="1" t="str">
        <f aca="false">TEXT(M1401,"MMMM")</f>
        <v>agosto</v>
      </c>
    </row>
    <row r="1402" customFormat="false" ht="14.25" hidden="false" customHeight="false" outlineLevel="0" collapsed="false">
      <c r="A1402" s="1" t="n">
        <v>3</v>
      </c>
      <c r="B1402" s="1" t="s">
        <v>533</v>
      </c>
      <c r="C1402" s="1" t="s">
        <v>20</v>
      </c>
      <c r="D1402" s="1" t="s">
        <v>531</v>
      </c>
      <c r="E1402" s="1" t="s">
        <v>2172</v>
      </c>
      <c r="F1402" s="1" t="s">
        <v>531</v>
      </c>
      <c r="G1402" s="1" t="s">
        <v>2173</v>
      </c>
      <c r="H1402" s="1" t="n">
        <v>3500</v>
      </c>
      <c r="I1402" s="1" t="n">
        <v>1800</v>
      </c>
      <c r="J1402" s="1" t="n">
        <v>0</v>
      </c>
      <c r="K1402" s="1" t="n">
        <v>1700</v>
      </c>
      <c r="L1402" s="1" t="n">
        <v>0</v>
      </c>
      <c r="M1402" s="48" t="n">
        <v>46254</v>
      </c>
      <c r="N1402" s="1" t="n">
        <f aca="false">DAY(M1402)</f>
        <v>20</v>
      </c>
      <c r="O1402" s="1" t="str">
        <f aca="false">TEXT(M1402,"DDDD")</f>
        <v>jueves</v>
      </c>
      <c r="P1402" s="6" t="n">
        <f aca="false">MONTH(M1402)</f>
        <v>8</v>
      </c>
      <c r="Q1402" s="1" t="str">
        <f aca="false">TEXT(M1402,"MMMM")</f>
        <v>agosto</v>
      </c>
      <c r="R1402" s="1" t="s">
        <v>531</v>
      </c>
      <c r="S1402" s="1" t="n">
        <v>10765</v>
      </c>
    </row>
    <row r="1403" customFormat="false" ht="14.25" hidden="false" customHeight="false" outlineLevel="0" collapsed="false">
      <c r="A1403" s="1" t="n">
        <v>3</v>
      </c>
      <c r="B1403" s="1" t="s">
        <v>2174</v>
      </c>
      <c r="C1403" s="1" t="s">
        <v>20</v>
      </c>
      <c r="D1403" s="1" t="s">
        <v>531</v>
      </c>
      <c r="E1403" s="1" t="s">
        <v>2175</v>
      </c>
      <c r="H1403" s="1" t="n">
        <v>1780</v>
      </c>
      <c r="I1403" s="1" t="n">
        <v>1200</v>
      </c>
      <c r="J1403" s="1" t="n">
        <v>0</v>
      </c>
      <c r="K1403" s="1" t="n">
        <v>580</v>
      </c>
      <c r="L1403" s="1" t="n">
        <v>0</v>
      </c>
      <c r="M1403" s="48" t="n">
        <v>46254</v>
      </c>
      <c r="N1403" s="1" t="n">
        <f aca="false">DAY(M1403)</f>
        <v>20</v>
      </c>
      <c r="O1403" s="1" t="str">
        <f aca="false">TEXT(M1403,"DDDD")</f>
        <v>jueves</v>
      </c>
      <c r="P1403" s="6" t="n">
        <f aca="false">MONTH(M1403)</f>
        <v>8</v>
      </c>
      <c r="Q1403" s="1" t="str">
        <f aca="false">TEXT(M1403,"MMMM")</f>
        <v>agosto</v>
      </c>
    </row>
    <row r="1404" customFormat="false" ht="14.25" hidden="false" customHeight="false" outlineLevel="0" collapsed="false">
      <c r="A1404" s="1" t="n">
        <v>6</v>
      </c>
      <c r="B1404" s="1" t="s">
        <v>2176</v>
      </c>
      <c r="C1404" s="1" t="s">
        <v>20</v>
      </c>
      <c r="D1404" s="1" t="s">
        <v>2177</v>
      </c>
      <c r="E1404" s="1" t="s">
        <v>2178</v>
      </c>
      <c r="H1404" s="1" t="n">
        <v>2200</v>
      </c>
      <c r="I1404" s="1" t="n">
        <v>1200</v>
      </c>
      <c r="J1404" s="1" t="n">
        <v>0</v>
      </c>
      <c r="K1404" s="1" t="n">
        <v>1000</v>
      </c>
      <c r="L1404" s="1" t="n">
        <v>0</v>
      </c>
      <c r="M1404" s="49" t="n">
        <v>46258</v>
      </c>
      <c r="N1404" s="1" t="n">
        <f aca="false">DAY(M1404)</f>
        <v>24</v>
      </c>
      <c r="O1404" s="1" t="str">
        <f aca="false">TEXT(M1404,"DDDD")</f>
        <v>lunes</v>
      </c>
      <c r="P1404" s="6" t="n">
        <f aca="false">MONTH(M1404)</f>
        <v>8</v>
      </c>
      <c r="Q1404" s="1" t="str">
        <f aca="false">TEXT(M1404,"MMMM")</f>
        <v>agosto</v>
      </c>
    </row>
    <row r="1405" customFormat="false" ht="14.25" hidden="false" customHeight="false" outlineLevel="0" collapsed="false">
      <c r="A1405" s="1" t="n">
        <v>6</v>
      </c>
      <c r="B1405" s="1" t="s">
        <v>1089</v>
      </c>
      <c r="C1405" s="1" t="s">
        <v>20</v>
      </c>
      <c r="D1405" s="1" t="s">
        <v>2179</v>
      </c>
      <c r="E1405" s="1" t="s">
        <v>2180</v>
      </c>
      <c r="H1405" s="1" t="n">
        <v>2840</v>
      </c>
      <c r="I1405" s="1" t="n">
        <v>1200</v>
      </c>
      <c r="J1405" s="1" t="n">
        <v>0</v>
      </c>
      <c r="K1405" s="1" t="n">
        <v>1640</v>
      </c>
      <c r="L1405" s="1" t="n">
        <v>0</v>
      </c>
      <c r="M1405" s="49" t="n">
        <v>46258</v>
      </c>
      <c r="N1405" s="1" t="n">
        <f aca="false">DAY(M1405)</f>
        <v>24</v>
      </c>
      <c r="O1405" s="1" t="str">
        <f aca="false">TEXT(M1405,"DDDD")</f>
        <v>lunes</v>
      </c>
      <c r="P1405" s="6" t="n">
        <f aca="false">MONTH(M1405)</f>
        <v>8</v>
      </c>
      <c r="Q1405" s="1" t="str">
        <f aca="false">TEXT(M1405,"MMMM")</f>
        <v>agosto</v>
      </c>
    </row>
    <row r="1406" customFormat="false" ht="14.25" hidden="false" customHeight="false" outlineLevel="0" collapsed="false">
      <c r="A1406" s="1" t="n">
        <v>5</v>
      </c>
      <c r="B1406" s="1" t="s">
        <v>631</v>
      </c>
      <c r="C1406" s="1" t="s">
        <v>38</v>
      </c>
      <c r="D1406" s="1" t="s">
        <v>2152</v>
      </c>
      <c r="E1406" s="1" t="s">
        <v>2181</v>
      </c>
      <c r="H1406" s="1" t="n">
        <v>2560</v>
      </c>
      <c r="I1406" s="1" t="n">
        <v>1500</v>
      </c>
      <c r="J1406" s="1" t="n">
        <v>0</v>
      </c>
      <c r="K1406" s="1" t="n">
        <v>1060</v>
      </c>
      <c r="L1406" s="1" t="n">
        <v>0</v>
      </c>
      <c r="M1406" s="49" t="n">
        <v>46258</v>
      </c>
      <c r="N1406" s="1" t="n">
        <f aca="false">DAY(M1406)</f>
        <v>24</v>
      </c>
      <c r="O1406" s="1" t="str">
        <f aca="false">TEXT(M1406,"DDDD")</f>
        <v>lunes</v>
      </c>
      <c r="P1406" s="6" t="n">
        <f aca="false">MONTH(M1406)</f>
        <v>8</v>
      </c>
      <c r="Q1406" s="1" t="str">
        <f aca="false">TEXT(M1406,"MMMM")</f>
        <v>agosto</v>
      </c>
    </row>
    <row r="1407" customFormat="false" ht="14.25" hidden="false" customHeight="false" outlineLevel="0" collapsed="false">
      <c r="A1407" s="1" t="n">
        <v>5</v>
      </c>
      <c r="B1407" s="1" t="s">
        <v>2182</v>
      </c>
      <c r="C1407" s="1" t="s">
        <v>38</v>
      </c>
      <c r="D1407" s="1" t="s">
        <v>847</v>
      </c>
      <c r="E1407" s="1" t="s">
        <v>2183</v>
      </c>
      <c r="H1407" s="1" t="n">
        <v>8100</v>
      </c>
      <c r="I1407" s="1" t="n">
        <v>3700</v>
      </c>
      <c r="J1407" s="1" t="n">
        <v>2000</v>
      </c>
      <c r="K1407" s="1" t="n">
        <v>2400</v>
      </c>
      <c r="L1407" s="1" t="n">
        <v>0</v>
      </c>
      <c r="M1407" s="49" t="n">
        <v>46258</v>
      </c>
      <c r="N1407" s="1" t="n">
        <f aca="false">DAY(M1407)</f>
        <v>24</v>
      </c>
      <c r="O1407" s="1" t="str">
        <f aca="false">TEXT(M1407,"DDDD")</f>
        <v>lunes</v>
      </c>
      <c r="P1407" s="6" t="n">
        <f aca="false">MONTH(M1407)</f>
        <v>8</v>
      </c>
      <c r="Q1407" s="1" t="str">
        <f aca="false">TEXT(M1407,"MMMM")</f>
        <v>agosto</v>
      </c>
    </row>
    <row r="1408" customFormat="false" ht="14.25" hidden="false" customHeight="false" outlineLevel="0" collapsed="false">
      <c r="A1408" s="1" t="n">
        <v>5</v>
      </c>
      <c r="B1408" s="1" t="s">
        <v>2184</v>
      </c>
      <c r="C1408" s="1" t="s">
        <v>20</v>
      </c>
      <c r="D1408" s="1" t="s">
        <v>1991</v>
      </c>
      <c r="E1408" s="1" t="s">
        <v>2185</v>
      </c>
      <c r="H1408" s="1" t="n">
        <v>1350</v>
      </c>
      <c r="I1408" s="1" t="n">
        <v>1350</v>
      </c>
      <c r="J1408" s="1" t="n">
        <v>0</v>
      </c>
      <c r="K1408" s="1" t="n">
        <v>0</v>
      </c>
      <c r="L1408" s="1" t="n">
        <v>0</v>
      </c>
      <c r="M1408" s="49" t="n">
        <v>46258</v>
      </c>
      <c r="N1408" s="1" t="n">
        <f aca="false">DAY(M1408)</f>
        <v>24</v>
      </c>
      <c r="O1408" s="1" t="str">
        <f aca="false">TEXT(M1408,"DDDD")</f>
        <v>lunes</v>
      </c>
      <c r="P1408" s="6" t="n">
        <f aca="false">MONTH(M1408)</f>
        <v>8</v>
      </c>
      <c r="Q1408" s="1" t="str">
        <f aca="false">TEXT(M1408,"MMMM")</f>
        <v>agosto</v>
      </c>
    </row>
    <row r="1409" customFormat="false" ht="14.25" hidden="false" customHeight="false" outlineLevel="0" collapsed="false">
      <c r="A1409" s="1" t="n">
        <v>5</v>
      </c>
      <c r="B1409" s="1" t="s">
        <v>2186</v>
      </c>
      <c r="C1409" s="1" t="s">
        <v>38</v>
      </c>
      <c r="D1409" s="1" t="s">
        <v>1637</v>
      </c>
      <c r="E1409" s="1" t="s">
        <v>2187</v>
      </c>
      <c r="H1409" s="1" t="n">
        <v>1900</v>
      </c>
      <c r="I1409" s="1" t="n">
        <v>1200</v>
      </c>
      <c r="J1409" s="1" t="n">
        <v>0</v>
      </c>
      <c r="K1409" s="1" t="n">
        <v>700</v>
      </c>
      <c r="L1409" s="1" t="n">
        <v>0</v>
      </c>
      <c r="M1409" s="49" t="n">
        <v>46258</v>
      </c>
      <c r="N1409" s="1" t="n">
        <f aca="false">DAY(M1409)</f>
        <v>24</v>
      </c>
      <c r="O1409" s="1" t="str">
        <f aca="false">TEXT(M1409,"DDDD")</f>
        <v>lunes</v>
      </c>
      <c r="P1409" s="6" t="n">
        <f aca="false">MONTH(M1409)</f>
        <v>8</v>
      </c>
      <c r="Q1409" s="1" t="str">
        <f aca="false">TEXT(M1409,"MMMM")</f>
        <v>agosto</v>
      </c>
    </row>
    <row r="1410" customFormat="false" ht="14.25" hidden="false" customHeight="false" outlineLevel="0" collapsed="false">
      <c r="A1410" s="1" t="n">
        <v>5</v>
      </c>
      <c r="B1410" s="1" t="s">
        <v>2188</v>
      </c>
      <c r="C1410" s="1" t="s">
        <v>38</v>
      </c>
      <c r="D1410" s="1" t="s">
        <v>1113</v>
      </c>
      <c r="E1410" s="1" t="s">
        <v>2189</v>
      </c>
      <c r="H1410" s="1" t="n">
        <v>5140</v>
      </c>
      <c r="I1410" s="1" t="n">
        <v>1200</v>
      </c>
      <c r="J1410" s="1" t="n">
        <v>0</v>
      </c>
      <c r="K1410" s="1" t="n">
        <v>3940</v>
      </c>
      <c r="L1410" s="1" t="n">
        <v>0</v>
      </c>
      <c r="M1410" s="49" t="n">
        <v>46258</v>
      </c>
      <c r="N1410" s="1" t="n">
        <f aca="false">DAY(M1410)</f>
        <v>24</v>
      </c>
      <c r="O1410" s="1" t="str">
        <f aca="false">TEXT(M1410,"DDDD")</f>
        <v>lunes</v>
      </c>
      <c r="P1410" s="6" t="n">
        <f aca="false">MONTH(M1410)</f>
        <v>8</v>
      </c>
      <c r="Q1410" s="1" t="str">
        <f aca="false">TEXT(M1410,"MMMM")</f>
        <v>agosto</v>
      </c>
    </row>
    <row r="1411" customFormat="false" ht="14.25" hidden="false" customHeight="false" outlineLevel="0" collapsed="false">
      <c r="A1411" s="1" t="n">
        <v>5</v>
      </c>
      <c r="B1411" s="1" t="s">
        <v>2190</v>
      </c>
      <c r="C1411" s="1" t="s">
        <v>38</v>
      </c>
      <c r="D1411" s="1" t="s">
        <v>366</v>
      </c>
      <c r="E1411" s="1" t="s">
        <v>2191</v>
      </c>
      <c r="F1411" s="1" t="s">
        <v>366</v>
      </c>
      <c r="G1411" s="1" t="s">
        <v>2192</v>
      </c>
      <c r="H1411" s="1" t="n">
        <v>3450</v>
      </c>
      <c r="I1411" s="1" t="n">
        <v>3450</v>
      </c>
      <c r="J1411" s="1" t="n">
        <v>0</v>
      </c>
      <c r="K1411" s="1" t="n">
        <v>0</v>
      </c>
      <c r="L1411" s="1" t="n">
        <v>0</v>
      </c>
      <c r="M1411" s="49" t="n">
        <v>46258</v>
      </c>
      <c r="N1411" s="1" t="n">
        <f aca="false">DAY(M1411)</f>
        <v>24</v>
      </c>
      <c r="O1411" s="1" t="str">
        <f aca="false">TEXT(M1411,"DDDD")</f>
        <v>lunes</v>
      </c>
      <c r="P1411" s="6" t="n">
        <f aca="false">MONTH(M1411)</f>
        <v>8</v>
      </c>
      <c r="Q1411" s="1" t="str">
        <f aca="false">TEXT(M1411,"MMMM")</f>
        <v>agosto</v>
      </c>
    </row>
    <row r="1412" customFormat="false" ht="14.25" hidden="false" customHeight="false" outlineLevel="0" collapsed="false">
      <c r="A1412" s="1" t="n">
        <v>4</v>
      </c>
      <c r="B1412" s="1" t="s">
        <v>2193</v>
      </c>
      <c r="C1412" s="1" t="s">
        <v>20</v>
      </c>
      <c r="D1412" s="1" t="s">
        <v>400</v>
      </c>
      <c r="E1412" s="1" t="s">
        <v>2194</v>
      </c>
      <c r="H1412" s="1" t="n">
        <v>1500</v>
      </c>
      <c r="I1412" s="1" t="n">
        <v>1400</v>
      </c>
      <c r="J1412" s="1" t="n">
        <v>0</v>
      </c>
      <c r="K1412" s="1" t="n">
        <v>100</v>
      </c>
      <c r="L1412" s="1" t="n">
        <v>0</v>
      </c>
      <c r="M1412" s="49" t="n">
        <v>46258</v>
      </c>
      <c r="N1412" s="1" t="n">
        <f aca="false">DAY(M1412)</f>
        <v>24</v>
      </c>
      <c r="O1412" s="1" t="str">
        <f aca="false">TEXT(M1412,"DDDD")</f>
        <v>lunes</v>
      </c>
      <c r="P1412" s="6" t="n">
        <f aca="false">MONTH(M1412)</f>
        <v>8</v>
      </c>
      <c r="Q1412" s="1" t="str">
        <f aca="false">TEXT(M1412,"MMMM")</f>
        <v>agosto</v>
      </c>
    </row>
    <row r="1413" customFormat="false" ht="14.25" hidden="false" customHeight="false" outlineLevel="0" collapsed="false">
      <c r="A1413" s="1" t="n">
        <v>10</v>
      </c>
      <c r="B1413" s="1" t="s">
        <v>64</v>
      </c>
      <c r="C1413" s="1" t="s">
        <v>20</v>
      </c>
      <c r="D1413" s="1" t="s">
        <v>2195</v>
      </c>
      <c r="E1413" s="1" t="s">
        <v>2196</v>
      </c>
      <c r="H1413" s="1" t="n">
        <v>4980</v>
      </c>
      <c r="I1413" s="1" t="n">
        <v>1200</v>
      </c>
      <c r="J1413" s="1" t="n">
        <v>0</v>
      </c>
      <c r="K1413" s="1" t="n">
        <v>3780</v>
      </c>
      <c r="L1413" s="1" t="n">
        <v>0</v>
      </c>
      <c r="M1413" s="49" t="n">
        <v>46267</v>
      </c>
      <c r="N1413" s="1" t="n">
        <f aca="false">DAY(M1413)</f>
        <v>2</v>
      </c>
      <c r="O1413" s="1" t="str">
        <f aca="false">TEXT(M1413,"DDDD")</f>
        <v>miércoles</v>
      </c>
      <c r="P1413" s="6" t="n">
        <f aca="false">MONTH(M1413)</f>
        <v>9</v>
      </c>
      <c r="Q1413" s="1" t="str">
        <f aca="false">TEXT(M1413,"MMMM")</f>
        <v>septiembre</v>
      </c>
      <c r="R1413" s="1" t="s">
        <v>2195</v>
      </c>
      <c r="S1413" s="1" t="n">
        <v>47322</v>
      </c>
    </row>
    <row r="1414" customFormat="false" ht="14.25" hidden="false" customHeight="false" outlineLevel="0" collapsed="false">
      <c r="A1414" s="1" t="n">
        <v>8</v>
      </c>
      <c r="B1414" s="1" t="s">
        <v>1881</v>
      </c>
      <c r="C1414" s="1" t="s">
        <v>38</v>
      </c>
      <c r="D1414" s="1" t="s">
        <v>1861</v>
      </c>
      <c r="E1414" s="1" t="s">
        <v>2197</v>
      </c>
      <c r="H1414" s="1" t="n">
        <v>1200</v>
      </c>
      <c r="I1414" s="1" t="n">
        <v>1200</v>
      </c>
      <c r="J1414" s="1" t="n">
        <v>0</v>
      </c>
      <c r="K1414" s="1" t="n">
        <v>0</v>
      </c>
      <c r="L1414" s="1" t="n">
        <v>0</v>
      </c>
      <c r="M1414" s="49" t="n">
        <v>46267</v>
      </c>
      <c r="N1414" s="1" t="n">
        <f aca="false">DAY(M1414)</f>
        <v>2</v>
      </c>
      <c r="O1414" s="1" t="str">
        <f aca="false">TEXT(M1414,"DDDD")</f>
        <v>miércoles</v>
      </c>
      <c r="P1414" s="6" t="n">
        <f aca="false">MONTH(M1414)</f>
        <v>9</v>
      </c>
      <c r="Q1414" s="1" t="str">
        <f aca="false">TEXT(M1414,"MMMM")</f>
        <v>septiembre</v>
      </c>
    </row>
    <row r="1415" customFormat="false" ht="14.25" hidden="false" customHeight="false" outlineLevel="0" collapsed="false">
      <c r="A1415" s="1" t="n">
        <v>8</v>
      </c>
      <c r="B1415" s="1" t="s">
        <v>2198</v>
      </c>
      <c r="C1415" s="1" t="s">
        <v>20</v>
      </c>
      <c r="D1415" s="1" t="s">
        <v>1593</v>
      </c>
      <c r="E1415" s="1" t="s">
        <v>2199</v>
      </c>
      <c r="F1415" s="1" t="s">
        <v>1593</v>
      </c>
      <c r="G1415" s="1" t="s">
        <v>2200</v>
      </c>
      <c r="H1415" s="1" t="n">
        <v>2860</v>
      </c>
      <c r="I1415" s="1" t="n">
        <v>1800</v>
      </c>
      <c r="J1415" s="1" t="n">
        <v>0</v>
      </c>
      <c r="K1415" s="1" t="n">
        <v>1060</v>
      </c>
      <c r="L1415" s="1" t="n">
        <v>0</v>
      </c>
      <c r="M1415" s="49" t="n">
        <v>46267</v>
      </c>
      <c r="N1415" s="1" t="n">
        <f aca="false">DAY(M1415)</f>
        <v>2</v>
      </c>
      <c r="O1415" s="1" t="str">
        <f aca="false">TEXT(M1415,"DDDD")</f>
        <v>miércoles</v>
      </c>
      <c r="P1415" s="6" t="n">
        <f aca="false">MONTH(M1415)</f>
        <v>9</v>
      </c>
      <c r="Q1415" s="1" t="str">
        <f aca="false">TEXT(M1415,"MMMM")</f>
        <v>septiembre</v>
      </c>
      <c r="R1415" s="1" t="s">
        <v>1593</v>
      </c>
      <c r="S1415" s="1" t="n">
        <v>11539</v>
      </c>
    </row>
    <row r="1416" customFormat="false" ht="14.25" hidden="false" customHeight="false" outlineLevel="0" collapsed="false">
      <c r="A1416" s="1" t="n">
        <v>8</v>
      </c>
      <c r="B1416" s="1" t="s">
        <v>691</v>
      </c>
      <c r="C1416" s="1" t="s">
        <v>20</v>
      </c>
      <c r="D1416" s="1" t="s">
        <v>1582</v>
      </c>
      <c r="E1416" s="1" t="s">
        <v>2201</v>
      </c>
      <c r="H1416" s="1" t="n">
        <v>1680</v>
      </c>
      <c r="I1416" s="1" t="n">
        <v>1200</v>
      </c>
      <c r="J1416" s="1" t="n">
        <v>0</v>
      </c>
      <c r="K1416" s="1" t="n">
        <v>480</v>
      </c>
      <c r="L1416" s="1" t="n">
        <v>0</v>
      </c>
      <c r="M1416" s="49" t="n">
        <v>46267</v>
      </c>
      <c r="N1416" s="1" t="n">
        <f aca="false">DAY(M1416)</f>
        <v>2</v>
      </c>
      <c r="O1416" s="1" t="str">
        <f aca="false">TEXT(M1416,"DDDD")</f>
        <v>miércoles</v>
      </c>
      <c r="P1416" s="6" t="n">
        <f aca="false">MONTH(M1416)</f>
        <v>9</v>
      </c>
      <c r="Q1416" s="1" t="str">
        <f aca="false">TEXT(M1416,"MMMM")</f>
        <v>septiembre</v>
      </c>
    </row>
    <row r="1417" customFormat="false" ht="14.25" hidden="false" customHeight="false" outlineLevel="0" collapsed="false">
      <c r="A1417" s="1" t="n">
        <v>6</v>
      </c>
      <c r="B1417" s="1" t="s">
        <v>2202</v>
      </c>
      <c r="C1417" s="1" t="s">
        <v>20</v>
      </c>
      <c r="D1417" s="1" t="s">
        <v>2203</v>
      </c>
      <c r="E1417" s="1" t="s">
        <v>2204</v>
      </c>
      <c r="H1417" s="1" t="n">
        <v>1200</v>
      </c>
      <c r="I1417" s="1" t="n">
        <v>1200</v>
      </c>
      <c r="J1417" s="1" t="n">
        <v>0</v>
      </c>
      <c r="K1417" s="1" t="n">
        <v>0</v>
      </c>
      <c r="L1417" s="1" t="n">
        <v>0</v>
      </c>
      <c r="M1417" s="49" t="n">
        <v>46267</v>
      </c>
      <c r="N1417" s="1" t="n">
        <f aca="false">DAY(M1417)</f>
        <v>2</v>
      </c>
      <c r="O1417" s="1" t="str">
        <f aca="false">TEXT(M1417,"DDDD")</f>
        <v>miércoles</v>
      </c>
      <c r="P1417" s="6" t="n">
        <f aca="false">MONTH(M1417)</f>
        <v>9</v>
      </c>
      <c r="Q1417" s="1" t="str">
        <f aca="false">TEXT(M1417,"MMMM")</f>
        <v>septiembre</v>
      </c>
    </row>
    <row r="1418" customFormat="false" ht="14.25" hidden="false" customHeight="false" outlineLevel="0" collapsed="false">
      <c r="A1418" s="1" t="n">
        <v>6</v>
      </c>
      <c r="B1418" s="1" t="s">
        <v>2027</v>
      </c>
      <c r="C1418" s="1" t="s">
        <v>38</v>
      </c>
      <c r="D1418" s="1" t="s">
        <v>2205</v>
      </c>
      <c r="E1418" s="1" t="s">
        <v>2206</v>
      </c>
      <c r="H1418" s="1" t="n">
        <v>5240</v>
      </c>
      <c r="I1418" s="1" t="n">
        <v>4000</v>
      </c>
      <c r="J1418" s="1" t="n">
        <v>0</v>
      </c>
      <c r="K1418" s="1" t="n">
        <v>1240</v>
      </c>
      <c r="L1418" s="1" t="n">
        <v>0</v>
      </c>
      <c r="M1418" s="49" t="n">
        <v>46267</v>
      </c>
      <c r="N1418" s="1" t="n">
        <f aca="false">DAY(M1418)</f>
        <v>2</v>
      </c>
      <c r="O1418" s="1" t="str">
        <f aca="false">TEXT(M1418,"DDDD")</f>
        <v>miércoles</v>
      </c>
      <c r="P1418" s="6" t="n">
        <f aca="false">MONTH(M1418)</f>
        <v>9</v>
      </c>
      <c r="Q1418" s="1" t="str">
        <f aca="false">TEXT(M1418,"MMMM")</f>
        <v>septiembre</v>
      </c>
    </row>
    <row r="1419" customFormat="false" ht="14.25" hidden="false" customHeight="false" outlineLevel="0" collapsed="false">
      <c r="A1419" s="1" t="n">
        <v>4</v>
      </c>
      <c r="B1419" s="1" t="s">
        <v>2207</v>
      </c>
      <c r="D1419" s="1" t="s">
        <v>2208</v>
      </c>
      <c r="E1419" s="1" t="s">
        <v>2209</v>
      </c>
      <c r="H1419" s="1" t="n">
        <v>1620</v>
      </c>
      <c r="I1419" s="1" t="n">
        <v>1200</v>
      </c>
      <c r="J1419" s="1" t="n">
        <v>0</v>
      </c>
      <c r="K1419" s="1" t="n">
        <v>420</v>
      </c>
      <c r="L1419" s="1" t="n">
        <v>0</v>
      </c>
      <c r="M1419" s="49" t="n">
        <v>46267</v>
      </c>
      <c r="N1419" s="1" t="n">
        <f aca="false">DAY(M1419)</f>
        <v>2</v>
      </c>
      <c r="O1419" s="1" t="str">
        <f aca="false">TEXT(M1419,"DDDD")</f>
        <v>miércoles</v>
      </c>
      <c r="P1419" s="6" t="n">
        <f aca="false">MONTH(M1419)</f>
        <v>9</v>
      </c>
      <c r="Q1419" s="1" t="str">
        <f aca="false">TEXT(M1419,"MMMM")</f>
        <v>septiembre</v>
      </c>
    </row>
    <row r="1420" customFormat="false" ht="14.25" hidden="false" customHeight="false" outlineLevel="0" collapsed="false">
      <c r="A1420" s="1" t="n">
        <v>3</v>
      </c>
      <c r="B1420" s="1" t="s">
        <v>2210</v>
      </c>
      <c r="C1420" s="1" t="s">
        <v>20</v>
      </c>
      <c r="D1420" s="1" t="s">
        <v>2211</v>
      </c>
      <c r="E1420" s="1" t="s">
        <v>2212</v>
      </c>
      <c r="H1420" s="1" t="n">
        <v>2240</v>
      </c>
      <c r="I1420" s="1" t="n">
        <v>1200</v>
      </c>
      <c r="J1420" s="1" t="n">
        <v>0</v>
      </c>
      <c r="K1420" s="1" t="n">
        <v>1040</v>
      </c>
      <c r="L1420" s="1" t="n">
        <v>0</v>
      </c>
      <c r="M1420" s="49" t="n">
        <v>46267</v>
      </c>
      <c r="N1420" s="1" t="n">
        <f aca="false">DAY(M1420)</f>
        <v>2</v>
      </c>
      <c r="O1420" s="1" t="str">
        <f aca="false">TEXT(M1420,"DDDD")</f>
        <v>miércoles</v>
      </c>
      <c r="P1420" s="6" t="n">
        <f aca="false">MONTH(M1420)</f>
        <v>9</v>
      </c>
      <c r="Q1420" s="1" t="str">
        <f aca="false">TEXT(M1420,"MMMM")</f>
        <v>septiembre</v>
      </c>
    </row>
    <row r="1421" customFormat="false" ht="14.25" hidden="false" customHeight="false" outlineLevel="0" collapsed="false">
      <c r="A1421" s="1" t="n">
        <v>2</v>
      </c>
      <c r="B1421" s="1" t="s">
        <v>2213</v>
      </c>
      <c r="C1421" s="1" t="s">
        <v>38</v>
      </c>
      <c r="D1421" s="1" t="s">
        <v>2214</v>
      </c>
      <c r="E1421" s="1" t="s">
        <v>2215</v>
      </c>
      <c r="H1421" s="1" t="n">
        <v>1700</v>
      </c>
      <c r="I1421" s="1" t="n">
        <v>1200</v>
      </c>
      <c r="J1421" s="1" t="n">
        <v>0</v>
      </c>
      <c r="K1421" s="1" t="n">
        <v>500</v>
      </c>
      <c r="L1421" s="1" t="n">
        <v>0</v>
      </c>
      <c r="M1421" s="49" t="n">
        <v>46267</v>
      </c>
      <c r="N1421" s="1" t="n">
        <f aca="false">DAY(M1421)</f>
        <v>2</v>
      </c>
      <c r="O1421" s="1" t="str">
        <f aca="false">TEXT(M1421,"DDDD")</f>
        <v>miércoles</v>
      </c>
      <c r="P1421" s="6" t="n">
        <f aca="false">MONTH(M1421)</f>
        <v>9</v>
      </c>
      <c r="Q1421" s="1" t="str">
        <f aca="false">TEXT(M1421,"MMMM")</f>
        <v>septiembre</v>
      </c>
    </row>
    <row r="1422" customFormat="false" ht="14.25" hidden="false" customHeight="false" outlineLevel="0" collapsed="false">
      <c r="A1422" s="1" t="n">
        <v>2</v>
      </c>
      <c r="B1422" s="1" t="s">
        <v>2216</v>
      </c>
      <c r="C1422" s="1" t="s">
        <v>20</v>
      </c>
      <c r="D1422" s="1" t="s">
        <v>2217</v>
      </c>
      <c r="E1422" s="1" t="s">
        <v>2218</v>
      </c>
      <c r="H1422" s="1" t="n">
        <v>3320</v>
      </c>
      <c r="I1422" s="1" t="n">
        <v>1200</v>
      </c>
      <c r="J1422" s="1" t="n">
        <v>0</v>
      </c>
      <c r="K1422" s="1" t="n">
        <v>2120</v>
      </c>
      <c r="L1422" s="1" t="n">
        <v>0</v>
      </c>
      <c r="M1422" s="49" t="n">
        <v>46267</v>
      </c>
      <c r="N1422" s="1" t="n">
        <f aca="false">DAY(M1422)</f>
        <v>2</v>
      </c>
      <c r="O1422" s="1" t="str">
        <f aca="false">TEXT(M1422,"DDDD")</f>
        <v>miércoles</v>
      </c>
      <c r="P1422" s="6" t="n">
        <f aca="false">MONTH(M1422)</f>
        <v>9</v>
      </c>
      <c r="Q1422" s="1" t="str">
        <f aca="false">TEXT(M1422,"MMMM")</f>
        <v>septiembre</v>
      </c>
    </row>
    <row r="1423" customFormat="false" ht="14.25" hidden="false" customHeight="false" outlineLevel="0" collapsed="false">
      <c r="A1423" s="1" t="n">
        <v>8</v>
      </c>
      <c r="B1423" s="1" t="s">
        <v>2219</v>
      </c>
      <c r="C1423" s="1" t="s">
        <v>38</v>
      </c>
      <c r="D1423" s="1" t="s">
        <v>366</v>
      </c>
      <c r="E1423" s="1" t="s">
        <v>2220</v>
      </c>
      <c r="H1423" s="1" t="n">
        <v>1650</v>
      </c>
      <c r="I1423" s="1" t="n">
        <v>1650</v>
      </c>
      <c r="J1423" s="1" t="n">
        <v>0</v>
      </c>
      <c r="K1423" s="1" t="n">
        <v>0</v>
      </c>
      <c r="L1423" s="1" t="n">
        <v>0</v>
      </c>
      <c r="M1423" s="49" t="n">
        <v>46267</v>
      </c>
      <c r="N1423" s="1" t="n">
        <f aca="false">DAY(M1423)</f>
        <v>2</v>
      </c>
      <c r="O1423" s="1" t="str">
        <f aca="false">TEXT(M1423,"DDDD")</f>
        <v>miércoles</v>
      </c>
      <c r="P1423" s="6" t="n">
        <f aca="false">MONTH(M1423)</f>
        <v>9</v>
      </c>
      <c r="Q1423" s="1" t="str">
        <f aca="false">TEXT(M1423,"MMMM")</f>
        <v>septiembre</v>
      </c>
    </row>
    <row r="1424" customFormat="false" ht="14.25" hidden="false" customHeight="false" outlineLevel="0" collapsed="false">
      <c r="A1424" s="1" t="n">
        <v>7</v>
      </c>
      <c r="B1424" s="1" t="s">
        <v>2221</v>
      </c>
      <c r="D1424" s="1" t="s">
        <v>2222</v>
      </c>
      <c r="E1424" s="1" t="s">
        <v>2223</v>
      </c>
      <c r="H1424" s="1" t="n">
        <v>1930</v>
      </c>
      <c r="I1424" s="1" t="n">
        <v>1650</v>
      </c>
      <c r="J1424" s="1" t="n">
        <v>0</v>
      </c>
      <c r="K1424" s="1" t="n">
        <v>280</v>
      </c>
      <c r="L1424" s="1" t="n">
        <v>0</v>
      </c>
      <c r="M1424" s="49" t="n">
        <v>46267</v>
      </c>
      <c r="N1424" s="1" t="n">
        <f aca="false">DAY(M1424)</f>
        <v>2</v>
      </c>
      <c r="O1424" s="1" t="str">
        <f aca="false">TEXT(M1424,"DDDD")</f>
        <v>miércoles</v>
      </c>
      <c r="P1424" s="6" t="n">
        <f aca="false">MONTH(M1424)</f>
        <v>9</v>
      </c>
      <c r="Q1424" s="1" t="str">
        <f aca="false">TEXT(M1424,"MMMM")</f>
        <v>septiembre</v>
      </c>
    </row>
    <row r="1425" customFormat="false" ht="14.25" hidden="false" customHeight="false" outlineLevel="0" collapsed="false">
      <c r="A1425" s="1" t="n">
        <v>7</v>
      </c>
      <c r="B1425" s="1" t="s">
        <v>2224</v>
      </c>
      <c r="C1425" s="1" t="s">
        <v>20</v>
      </c>
      <c r="D1425" s="1" t="s">
        <v>509</v>
      </c>
      <c r="E1425" s="1" t="s">
        <v>2225</v>
      </c>
      <c r="H1425" s="1" t="n">
        <v>3560</v>
      </c>
      <c r="I1425" s="1" t="n">
        <v>1200</v>
      </c>
      <c r="J1425" s="1" t="n">
        <v>0</v>
      </c>
      <c r="K1425" s="1" t="n">
        <v>2360</v>
      </c>
      <c r="L1425" s="1" t="n">
        <v>0</v>
      </c>
      <c r="M1425" s="49" t="n">
        <v>46267</v>
      </c>
      <c r="N1425" s="1" t="n">
        <f aca="false">DAY(M1425)</f>
        <v>2</v>
      </c>
      <c r="O1425" s="1" t="str">
        <f aca="false">TEXT(M1425,"DDDD")</f>
        <v>miércoles</v>
      </c>
      <c r="P1425" s="6" t="n">
        <f aca="false">MONTH(M1425)</f>
        <v>9</v>
      </c>
      <c r="Q1425" s="1" t="str">
        <f aca="false">TEXT(M1425,"MMMM")</f>
        <v>septiembre</v>
      </c>
    </row>
    <row r="1426" customFormat="false" ht="14.25" hidden="false" customHeight="false" outlineLevel="0" collapsed="false">
      <c r="A1426" s="1" t="n">
        <v>7</v>
      </c>
      <c r="B1426" s="1" t="s">
        <v>2161</v>
      </c>
      <c r="C1426" s="1" t="s">
        <v>20</v>
      </c>
      <c r="D1426" s="1" t="s">
        <v>2226</v>
      </c>
      <c r="E1426" s="1" t="s">
        <v>2227</v>
      </c>
      <c r="H1426" s="1" t="n">
        <v>1940</v>
      </c>
      <c r="I1426" s="1" t="n">
        <v>1200</v>
      </c>
      <c r="J1426" s="1" t="n">
        <v>0</v>
      </c>
      <c r="K1426" s="1" t="n">
        <v>740</v>
      </c>
      <c r="L1426" s="1" t="n">
        <v>0</v>
      </c>
      <c r="M1426" s="49" t="n">
        <v>46267</v>
      </c>
      <c r="N1426" s="1" t="n">
        <f aca="false">DAY(M1426)</f>
        <v>2</v>
      </c>
      <c r="O1426" s="1" t="str">
        <f aca="false">TEXT(M1426,"DDDD")</f>
        <v>miércoles</v>
      </c>
      <c r="P1426" s="6" t="n">
        <f aca="false">MONTH(M1426)</f>
        <v>9</v>
      </c>
      <c r="Q1426" s="1" t="str">
        <f aca="false">TEXT(M1426,"MMMM")</f>
        <v>septiembre</v>
      </c>
    </row>
    <row r="1427" customFormat="false" ht="14.25" hidden="false" customHeight="false" outlineLevel="0" collapsed="false">
      <c r="A1427" s="1" t="n">
        <v>7</v>
      </c>
      <c r="B1427" s="1" t="s">
        <v>2072</v>
      </c>
      <c r="C1427" s="1" t="s">
        <v>20</v>
      </c>
      <c r="D1427" s="1" t="s">
        <v>531</v>
      </c>
      <c r="E1427" s="1" t="s">
        <v>2228</v>
      </c>
      <c r="F1427" s="1" t="s">
        <v>531</v>
      </c>
      <c r="G1427" s="1" t="s">
        <v>2229</v>
      </c>
      <c r="H1427" s="1" t="n">
        <v>5920</v>
      </c>
      <c r="I1427" s="1" t="n">
        <v>1800</v>
      </c>
      <c r="J1427" s="1" t="n">
        <v>0</v>
      </c>
      <c r="K1427" s="1" t="n">
        <v>4120</v>
      </c>
      <c r="L1427" s="1" t="n">
        <v>0</v>
      </c>
      <c r="M1427" s="49" t="n">
        <v>46267</v>
      </c>
      <c r="N1427" s="1" t="n">
        <f aca="false">DAY(M1427)</f>
        <v>2</v>
      </c>
      <c r="O1427" s="1" t="str">
        <f aca="false">TEXT(M1427,"DDDD")</f>
        <v>miércoles</v>
      </c>
      <c r="P1427" s="6" t="n">
        <f aca="false">MONTH(M1427)</f>
        <v>9</v>
      </c>
      <c r="Q1427" s="1" t="str">
        <f aca="false">TEXT(M1427,"MMMM")</f>
        <v>septiembre</v>
      </c>
    </row>
    <row r="1428" customFormat="false" ht="14.25" hidden="false" customHeight="false" outlineLevel="0" collapsed="false">
      <c r="A1428" s="1" t="n">
        <v>7</v>
      </c>
      <c r="B1428" s="1" t="s">
        <v>2074</v>
      </c>
      <c r="C1428" s="1" t="s">
        <v>20</v>
      </c>
      <c r="D1428" s="1" t="s">
        <v>194</v>
      </c>
      <c r="E1428" s="1" t="s">
        <v>2230</v>
      </c>
      <c r="F1428" s="1" t="s">
        <v>194</v>
      </c>
      <c r="G1428" s="1" t="s">
        <v>2231</v>
      </c>
      <c r="H1428" s="1" t="n">
        <v>3000</v>
      </c>
      <c r="I1428" s="1" t="n">
        <v>1800</v>
      </c>
      <c r="J1428" s="1" t="n">
        <v>0</v>
      </c>
      <c r="K1428" s="1" t="n">
        <v>1200</v>
      </c>
      <c r="L1428" s="1" t="n">
        <v>0</v>
      </c>
      <c r="M1428" s="49" t="n">
        <v>46267</v>
      </c>
      <c r="N1428" s="1" t="n">
        <f aca="false">DAY(M1428)</f>
        <v>2</v>
      </c>
      <c r="O1428" s="1" t="str">
        <f aca="false">TEXT(M1428,"DDDD")</f>
        <v>miércoles</v>
      </c>
      <c r="P1428" s="6" t="n">
        <f aca="false">MONTH(M1428)</f>
        <v>9</v>
      </c>
      <c r="Q1428" s="1" t="str">
        <f aca="false">TEXT(M1428,"MMMM")</f>
        <v>septiembre</v>
      </c>
    </row>
    <row r="1429" customFormat="false" ht="14.25" hidden="false" customHeight="false" outlineLevel="0" collapsed="false">
      <c r="A1429" s="1" t="n">
        <v>12</v>
      </c>
      <c r="B1429" s="1" t="s">
        <v>2232</v>
      </c>
      <c r="C1429" s="1" t="s">
        <v>38</v>
      </c>
      <c r="D1429" s="1" t="s">
        <v>2233</v>
      </c>
      <c r="E1429" s="1" t="s">
        <v>2234</v>
      </c>
      <c r="H1429" s="1" t="n">
        <v>1400</v>
      </c>
      <c r="I1429" s="1" t="n">
        <v>1200</v>
      </c>
      <c r="J1429" s="1" t="n">
        <v>0</v>
      </c>
      <c r="K1429" s="1" t="n">
        <v>200</v>
      </c>
      <c r="L1429" s="1" t="n">
        <v>0.993</v>
      </c>
      <c r="M1429" s="49" t="n">
        <v>46298</v>
      </c>
      <c r="N1429" s="1" t="n">
        <f aca="false">DAY(M1429)</f>
        <v>3</v>
      </c>
      <c r="O1429" s="1" t="str">
        <f aca="false">TEXT(M1429,"DDDD")</f>
        <v>sábado</v>
      </c>
      <c r="P1429" s="6" t="n">
        <f aca="false">MONTH(M1429)</f>
        <v>10</v>
      </c>
      <c r="Q1429" s="1" t="str">
        <f aca="false">TEXT(M1429,"MMMM")</f>
        <v>octubre</v>
      </c>
    </row>
    <row r="1430" customFormat="false" ht="14.25" hidden="false" customHeight="false" outlineLevel="0" collapsed="false">
      <c r="A1430" s="1" t="n">
        <v>12</v>
      </c>
      <c r="B1430" s="1" t="s">
        <v>1478</v>
      </c>
      <c r="C1430" s="1" t="s">
        <v>20</v>
      </c>
      <c r="D1430" s="1" t="s">
        <v>2235</v>
      </c>
      <c r="E1430" s="1" t="s">
        <v>2236</v>
      </c>
      <c r="H1430" s="1" t="n">
        <v>2100</v>
      </c>
      <c r="I1430" s="1" t="n">
        <v>1900</v>
      </c>
      <c r="J1430" s="1" t="n">
        <v>0</v>
      </c>
      <c r="K1430" s="1" t="n">
        <v>200</v>
      </c>
      <c r="L1430" s="1" t="n">
        <v>1.88</v>
      </c>
      <c r="M1430" s="49" t="n">
        <v>46298</v>
      </c>
      <c r="N1430" s="1" t="n">
        <f aca="false">DAY(M1430)</f>
        <v>3</v>
      </c>
      <c r="O1430" s="1" t="str">
        <f aca="false">TEXT(M1430,"DDDD")</f>
        <v>sábado</v>
      </c>
      <c r="P1430" s="6" t="n">
        <f aca="false">MONTH(M1430)</f>
        <v>10</v>
      </c>
      <c r="Q1430" s="1" t="str">
        <f aca="false">TEXT(M1430,"MMMM")</f>
        <v>octubre</v>
      </c>
    </row>
    <row r="1431" customFormat="false" ht="14.25" hidden="false" customHeight="false" outlineLevel="0" collapsed="false">
      <c r="A1431" s="1" t="n">
        <v>12</v>
      </c>
      <c r="B1431" s="1" t="s">
        <v>2237</v>
      </c>
      <c r="C1431" s="1" t="s">
        <v>20</v>
      </c>
      <c r="D1431" s="1" t="s">
        <v>728</v>
      </c>
      <c r="E1431" s="1" t="s">
        <v>2238</v>
      </c>
      <c r="H1431" s="1" t="n">
        <v>3358</v>
      </c>
      <c r="I1431" s="1" t="n">
        <v>2000</v>
      </c>
      <c r="J1431" s="1" t="n">
        <v>0</v>
      </c>
      <c r="K1431" s="1" t="n">
        <v>1358</v>
      </c>
      <c r="L1431" s="1" t="n">
        <v>2.818</v>
      </c>
      <c r="M1431" s="49" t="n">
        <v>46298</v>
      </c>
      <c r="N1431" s="1" t="n">
        <f aca="false">DAY(M1431)</f>
        <v>3</v>
      </c>
      <c r="O1431" s="1" t="str">
        <f aca="false">TEXT(M1431,"DDDD")</f>
        <v>sábado</v>
      </c>
      <c r="P1431" s="6" t="n">
        <f aca="false">MONTH(M1431)</f>
        <v>10</v>
      </c>
      <c r="Q1431" s="1" t="str">
        <f aca="false">TEXT(M1431,"MMMM")</f>
        <v>octubre</v>
      </c>
    </row>
    <row r="1432" customFormat="false" ht="14.25" hidden="false" customHeight="false" outlineLevel="0" collapsed="false">
      <c r="A1432" s="1" t="n">
        <v>12</v>
      </c>
      <c r="B1432" s="1" t="s">
        <v>2239</v>
      </c>
      <c r="C1432" s="1" t="s">
        <v>20</v>
      </c>
      <c r="D1432" s="1" t="s">
        <v>2240</v>
      </c>
      <c r="E1432" s="1" t="s">
        <v>2241</v>
      </c>
      <c r="H1432" s="1" t="n">
        <v>1760</v>
      </c>
      <c r="I1432" s="1" t="n">
        <v>1200</v>
      </c>
      <c r="J1432" s="1" t="n">
        <v>0</v>
      </c>
      <c r="K1432" s="1" t="n">
        <v>560</v>
      </c>
      <c r="L1432" s="1" t="n">
        <v>1.469</v>
      </c>
      <c r="M1432" s="49" t="n">
        <v>46298</v>
      </c>
      <c r="N1432" s="1" t="n">
        <f aca="false">DAY(M1432)</f>
        <v>3</v>
      </c>
      <c r="O1432" s="1" t="str">
        <f aca="false">TEXT(M1432,"DDDD")</f>
        <v>sábado</v>
      </c>
      <c r="P1432" s="6" t="n">
        <f aca="false">MONTH(M1432)</f>
        <v>10</v>
      </c>
      <c r="Q1432" s="1" t="str">
        <f aca="false">TEXT(M1432,"MMMM")</f>
        <v>octubre</v>
      </c>
    </row>
    <row r="1433" customFormat="false" ht="14.25" hidden="false" customHeight="false" outlineLevel="0" collapsed="false">
      <c r="A1433" s="1" t="n">
        <v>12</v>
      </c>
      <c r="B1433" s="1" t="s">
        <v>2242</v>
      </c>
      <c r="C1433" s="1" t="s">
        <v>20</v>
      </c>
      <c r="D1433" s="1" t="s">
        <v>1165</v>
      </c>
      <c r="E1433" s="1" t="s">
        <v>2243</v>
      </c>
      <c r="H1433" s="1" t="n">
        <v>3130</v>
      </c>
      <c r="I1433" s="1" t="n">
        <v>1250</v>
      </c>
      <c r="J1433" s="1" t="n">
        <v>0</v>
      </c>
      <c r="K1433" s="1" t="n">
        <v>1880</v>
      </c>
      <c r="L1433" s="1" t="n">
        <v>1.267</v>
      </c>
      <c r="M1433" s="49" t="n">
        <v>46298</v>
      </c>
      <c r="N1433" s="1" t="n">
        <f aca="false">DAY(M1433)</f>
        <v>3</v>
      </c>
      <c r="O1433" s="1" t="str">
        <f aca="false">TEXT(M1433,"DDDD")</f>
        <v>sábado</v>
      </c>
      <c r="P1433" s="6" t="n">
        <f aca="false">MONTH(M1433)</f>
        <v>10</v>
      </c>
      <c r="Q1433" s="1" t="str">
        <f aca="false">TEXT(M1433,"MMMM")</f>
        <v>octubre</v>
      </c>
    </row>
    <row r="1434" customFormat="false" ht="14.25" hidden="false" customHeight="false" outlineLevel="0" collapsed="false">
      <c r="A1434" s="1" t="n">
        <v>12</v>
      </c>
      <c r="B1434" s="1" t="s">
        <v>552</v>
      </c>
      <c r="C1434" s="1" t="s">
        <v>20</v>
      </c>
      <c r="D1434" s="1" t="s">
        <v>2244</v>
      </c>
      <c r="E1434" s="1" t="s">
        <v>2245</v>
      </c>
      <c r="H1434" s="1" t="n">
        <v>3200</v>
      </c>
      <c r="I1434" s="1" t="n">
        <v>1200</v>
      </c>
      <c r="J1434" s="1" t="n">
        <v>0</v>
      </c>
      <c r="K1434" s="1" t="n">
        <v>2000</v>
      </c>
      <c r="L1434" s="1" t="n">
        <v>1.325</v>
      </c>
      <c r="M1434" s="49" t="n">
        <v>46298</v>
      </c>
      <c r="N1434" s="1" t="n">
        <f aca="false">DAY(M1434)</f>
        <v>3</v>
      </c>
      <c r="O1434" s="1" t="str">
        <f aca="false">TEXT(M1434,"DDDD")</f>
        <v>sábado</v>
      </c>
      <c r="P1434" s="6" t="n">
        <f aca="false">MONTH(M1434)</f>
        <v>10</v>
      </c>
      <c r="Q1434" s="1" t="str">
        <f aca="false">TEXT(M1434,"MMMM")</f>
        <v>octubre</v>
      </c>
    </row>
    <row r="1435" customFormat="false" ht="14.25" hidden="false" customHeight="false" outlineLevel="0" collapsed="false">
      <c r="A1435" s="1" t="n">
        <v>11</v>
      </c>
      <c r="B1435" s="1" t="s">
        <v>2246</v>
      </c>
      <c r="C1435" s="1" t="s">
        <v>20</v>
      </c>
      <c r="D1435" s="1" t="s">
        <v>2247</v>
      </c>
      <c r="E1435" s="1" t="s">
        <v>2248</v>
      </c>
      <c r="H1435" s="1" t="n">
        <v>2900</v>
      </c>
      <c r="I1435" s="1" t="n">
        <v>2900</v>
      </c>
      <c r="J1435" s="1" t="n">
        <v>0</v>
      </c>
      <c r="K1435" s="1" t="n">
        <v>0</v>
      </c>
      <c r="L1435" s="1" t="n">
        <v>1986</v>
      </c>
      <c r="M1435" s="49" t="n">
        <v>46298</v>
      </c>
      <c r="N1435" s="1" t="n">
        <f aca="false">DAY(M1435)</f>
        <v>3</v>
      </c>
      <c r="O1435" s="1" t="str">
        <f aca="false">TEXT(M1435,"DDDD")</f>
        <v>sábado</v>
      </c>
      <c r="P1435" s="6" t="n">
        <f aca="false">MONTH(M1435)</f>
        <v>10</v>
      </c>
      <c r="Q1435" s="1" t="str">
        <f aca="false">TEXT(M1435,"MMMM")</f>
        <v>octubre</v>
      </c>
    </row>
    <row r="1436" customFormat="false" ht="14.25" hidden="false" customHeight="false" outlineLevel="0" collapsed="false">
      <c r="A1436" s="1" t="n">
        <v>11</v>
      </c>
      <c r="B1436" s="1" t="s">
        <v>1399</v>
      </c>
      <c r="C1436" s="1" t="s">
        <v>20</v>
      </c>
      <c r="D1436" s="1" t="s">
        <v>1936</v>
      </c>
      <c r="E1436" s="1" t="s">
        <v>2249</v>
      </c>
      <c r="H1436" s="1" t="n">
        <v>3380</v>
      </c>
      <c r="I1436" s="1" t="n">
        <v>2000</v>
      </c>
      <c r="J1436" s="1" t="n">
        <v>0</v>
      </c>
      <c r="K1436" s="1" t="n">
        <v>1380</v>
      </c>
      <c r="L1436" s="1" t="n">
        <v>3.23</v>
      </c>
      <c r="M1436" s="49" t="n">
        <v>46298</v>
      </c>
      <c r="N1436" s="1" t="n">
        <f aca="false">DAY(M1436)</f>
        <v>3</v>
      </c>
      <c r="O1436" s="1" t="str">
        <f aca="false">TEXT(M1436,"DDDD")</f>
        <v>sábado</v>
      </c>
      <c r="P1436" s="6" t="n">
        <f aca="false">MONTH(M1436)</f>
        <v>10</v>
      </c>
      <c r="Q1436" s="1" t="str">
        <f aca="false">TEXT(M1436,"MMMM")</f>
        <v>octubre</v>
      </c>
    </row>
    <row r="1437" customFormat="false" ht="14.25" hidden="false" customHeight="false" outlineLevel="0" collapsed="false">
      <c r="A1437" s="1" t="n">
        <v>11</v>
      </c>
      <c r="B1437" s="1" t="s">
        <v>1727</v>
      </c>
      <c r="C1437" s="1" t="s">
        <v>1884</v>
      </c>
      <c r="D1437" s="1" t="s">
        <v>49</v>
      </c>
      <c r="E1437" s="1" t="s">
        <v>2250</v>
      </c>
      <c r="H1437" s="1" t="n">
        <v>2500</v>
      </c>
      <c r="I1437" s="1" t="n">
        <v>1500</v>
      </c>
      <c r="J1437" s="1" t="n">
        <v>0</v>
      </c>
      <c r="K1437" s="1" t="n">
        <v>1000</v>
      </c>
      <c r="L1437" s="1" t="n">
        <v>1.623</v>
      </c>
      <c r="M1437" s="49" t="n">
        <v>46298</v>
      </c>
      <c r="N1437" s="1" t="n">
        <f aca="false">DAY(M1437)</f>
        <v>3</v>
      </c>
      <c r="O1437" s="1" t="str">
        <f aca="false">TEXT(M1437,"DDDD")</f>
        <v>sábado</v>
      </c>
      <c r="P1437" s="6" t="n">
        <f aca="false">MONTH(M1437)</f>
        <v>10</v>
      </c>
      <c r="Q1437" s="1" t="str">
        <f aca="false">TEXT(M1437,"MMMM")</f>
        <v>octubre</v>
      </c>
    </row>
    <row r="1438" customFormat="false" ht="14.25" hidden="false" customHeight="false" outlineLevel="0" collapsed="false">
      <c r="A1438" s="1" t="n">
        <v>11</v>
      </c>
      <c r="B1438" s="1" t="s">
        <v>2251</v>
      </c>
      <c r="C1438" s="1" t="s">
        <v>20</v>
      </c>
      <c r="D1438" s="1" t="s">
        <v>2252</v>
      </c>
      <c r="E1438" s="1" t="s">
        <v>2253</v>
      </c>
      <c r="H1438" s="1" t="n">
        <v>2551</v>
      </c>
      <c r="I1438" s="1" t="n">
        <v>2550</v>
      </c>
      <c r="J1438" s="1" t="n">
        <v>0</v>
      </c>
      <c r="K1438" s="1" t="n">
        <v>1</v>
      </c>
      <c r="L1438" s="1" t="n">
        <v>2.859</v>
      </c>
      <c r="M1438" s="49" t="n">
        <v>46298</v>
      </c>
      <c r="N1438" s="1" t="n">
        <f aca="false">DAY(M1438)</f>
        <v>3</v>
      </c>
      <c r="O1438" s="1" t="str">
        <f aca="false">TEXT(M1438,"DDDD")</f>
        <v>sábado</v>
      </c>
      <c r="P1438" s="6" t="n">
        <f aca="false">MONTH(M1438)</f>
        <v>10</v>
      </c>
      <c r="Q1438" s="1" t="str">
        <f aca="false">TEXT(M1438,"MMMM")</f>
        <v>octubre</v>
      </c>
    </row>
    <row r="1439" customFormat="false" ht="14.25" hidden="false" customHeight="false" outlineLevel="0" collapsed="false">
      <c r="A1439" s="1" t="n">
        <v>10</v>
      </c>
      <c r="B1439" s="1" t="s">
        <v>2254</v>
      </c>
      <c r="C1439" s="1" t="s">
        <v>20</v>
      </c>
      <c r="D1439" s="1" t="s">
        <v>1865</v>
      </c>
      <c r="E1439" s="1" t="s">
        <v>2255</v>
      </c>
      <c r="H1439" s="1" t="n">
        <v>1520</v>
      </c>
      <c r="I1439" s="1" t="n">
        <v>1200</v>
      </c>
      <c r="J1439" s="1" t="n">
        <v>0</v>
      </c>
      <c r="K1439" s="1" t="n">
        <v>320</v>
      </c>
      <c r="L1439" s="1" t="n">
        <v>0.479</v>
      </c>
      <c r="M1439" s="49" t="n">
        <v>46298</v>
      </c>
      <c r="N1439" s="1" t="n">
        <f aca="false">DAY(M1439)</f>
        <v>3</v>
      </c>
      <c r="O1439" s="1" t="str">
        <f aca="false">TEXT(M1439,"DDDD")</f>
        <v>sábado</v>
      </c>
      <c r="P1439" s="6" t="n">
        <f aca="false">MONTH(M1439)</f>
        <v>10</v>
      </c>
      <c r="Q1439" s="1" t="str">
        <f aca="false">TEXT(M1439,"MMMM")</f>
        <v>octubre</v>
      </c>
    </row>
    <row r="1440" customFormat="false" ht="14.25" hidden="false" customHeight="false" outlineLevel="0" collapsed="false">
      <c r="A1440" s="1" t="n">
        <v>10</v>
      </c>
      <c r="B1440" s="1" t="s">
        <v>1424</v>
      </c>
      <c r="C1440" s="1" t="s">
        <v>20</v>
      </c>
      <c r="D1440" s="1" t="s">
        <v>478</v>
      </c>
      <c r="E1440" s="1" t="s">
        <v>2256</v>
      </c>
      <c r="F1440" s="1" t="s">
        <v>478</v>
      </c>
      <c r="G1440" s="1" t="s">
        <v>2257</v>
      </c>
      <c r="H1440" s="1" t="n">
        <v>2100</v>
      </c>
      <c r="I1440" s="1" t="n">
        <v>1800</v>
      </c>
      <c r="J1440" s="1" t="n">
        <v>0</v>
      </c>
      <c r="K1440" s="1" t="n">
        <v>300</v>
      </c>
      <c r="L1440" s="1" t="n">
        <v>1.031</v>
      </c>
      <c r="M1440" s="49" t="n">
        <v>46298</v>
      </c>
      <c r="N1440" s="1" t="n">
        <f aca="false">DAY(M1440)</f>
        <v>3</v>
      </c>
      <c r="O1440" s="1" t="str">
        <f aca="false">TEXT(M1440,"DDDD")</f>
        <v>sábado</v>
      </c>
      <c r="P1440" s="6" t="n">
        <f aca="false">MONTH(M1440)</f>
        <v>10</v>
      </c>
      <c r="Q1440" s="1" t="str">
        <f aca="false">TEXT(M1440,"MMMM")</f>
        <v>octubre</v>
      </c>
    </row>
    <row r="1441" customFormat="false" ht="14.25" hidden="false" customHeight="false" outlineLevel="0" collapsed="false">
      <c r="A1441" s="1" t="n">
        <v>9</v>
      </c>
      <c r="B1441" s="1" t="s">
        <v>2258</v>
      </c>
      <c r="C1441" s="1" t="s">
        <v>20</v>
      </c>
      <c r="D1441" s="1" t="s">
        <v>2259</v>
      </c>
      <c r="E1441" s="1" t="s">
        <v>2260</v>
      </c>
      <c r="H1441" s="1" t="n">
        <v>3460</v>
      </c>
      <c r="I1441" s="1" t="n">
        <v>1200</v>
      </c>
      <c r="J1441" s="1" t="n">
        <v>0</v>
      </c>
      <c r="K1441" s="1" t="n">
        <v>2260</v>
      </c>
      <c r="L1441" s="1" t="n">
        <v>1.604</v>
      </c>
      <c r="M1441" s="49" t="n">
        <v>46298</v>
      </c>
      <c r="N1441" s="1" t="n">
        <f aca="false">DAY(M1441)</f>
        <v>3</v>
      </c>
      <c r="O1441" s="1" t="str">
        <f aca="false">TEXT(M1441,"DDDD")</f>
        <v>sábado</v>
      </c>
      <c r="P1441" s="6" t="n">
        <f aca="false">MONTH(M1441)</f>
        <v>10</v>
      </c>
      <c r="Q1441" s="1" t="str">
        <f aca="false">TEXT(M1441,"MMMM")</f>
        <v>octubre</v>
      </c>
    </row>
    <row r="1442" customFormat="false" ht="14.25" hidden="false" customHeight="false" outlineLevel="0" collapsed="false">
      <c r="A1442" s="1" t="n">
        <v>9</v>
      </c>
      <c r="B1442" s="1" t="s">
        <v>2261</v>
      </c>
      <c r="C1442" s="1" t="s">
        <v>38</v>
      </c>
      <c r="D1442" s="1" t="s">
        <v>1859</v>
      </c>
      <c r="E1442" s="1" t="s">
        <v>2262</v>
      </c>
      <c r="H1442" s="1" t="n">
        <v>2650</v>
      </c>
      <c r="I1442" s="1" t="n">
        <v>2450</v>
      </c>
      <c r="J1442" s="1" t="n">
        <v>0</v>
      </c>
      <c r="K1442" s="1" t="n">
        <v>200</v>
      </c>
      <c r="L1442" s="1" t="n">
        <v>2.535</v>
      </c>
      <c r="M1442" s="49" t="n">
        <v>46298</v>
      </c>
      <c r="N1442" s="1" t="n">
        <f aca="false">DAY(M1442)</f>
        <v>3</v>
      </c>
      <c r="O1442" s="1" t="str">
        <f aca="false">TEXT(M1442,"DDDD")</f>
        <v>sábado</v>
      </c>
      <c r="P1442" s="6" t="n">
        <f aca="false">MONTH(M1442)</f>
        <v>10</v>
      </c>
      <c r="Q1442" s="1" t="str">
        <f aca="false">TEXT(M1442,"MMMM")</f>
        <v>octubre</v>
      </c>
    </row>
    <row r="1443" customFormat="false" ht="14.25" hidden="false" customHeight="false" outlineLevel="0" collapsed="false">
      <c r="A1443" s="1" t="n">
        <v>8</v>
      </c>
      <c r="B1443" s="1" t="s">
        <v>2263</v>
      </c>
      <c r="C1443" s="1" t="s">
        <v>20</v>
      </c>
      <c r="D1443" s="1" t="s">
        <v>2264</v>
      </c>
      <c r="E1443" s="1" t="s">
        <v>2265</v>
      </c>
      <c r="H1443" s="1" t="n">
        <v>2200</v>
      </c>
      <c r="I1443" s="1" t="n">
        <v>1200</v>
      </c>
      <c r="J1443" s="1" t="n">
        <v>0</v>
      </c>
      <c r="K1443" s="1" t="n">
        <v>1000</v>
      </c>
      <c r="L1443" s="1" t="n">
        <v>0.392</v>
      </c>
      <c r="M1443" s="49" t="n">
        <v>46298</v>
      </c>
      <c r="N1443" s="1" t="n">
        <f aca="false">DAY(M1443)</f>
        <v>3</v>
      </c>
      <c r="O1443" s="1" t="str">
        <f aca="false">TEXT(M1443,"DDDD")</f>
        <v>sábado</v>
      </c>
      <c r="P1443" s="6" t="n">
        <f aca="false">MONTH(M1443)</f>
        <v>10</v>
      </c>
      <c r="Q1443" s="1" t="str">
        <f aca="false">TEXT(M1443,"MMMM")</f>
        <v>octubre</v>
      </c>
    </row>
    <row r="1444" customFormat="false" ht="14.25" hidden="false" customHeight="false" outlineLevel="0" collapsed="false">
      <c r="A1444" s="1" t="n">
        <v>8</v>
      </c>
      <c r="B1444" s="1" t="s">
        <v>71</v>
      </c>
      <c r="C1444" s="1" t="s">
        <v>20</v>
      </c>
      <c r="D1444" s="1" t="s">
        <v>411</v>
      </c>
      <c r="E1444" s="1" t="s">
        <v>2266</v>
      </c>
      <c r="H1444" s="1" t="n">
        <v>2280</v>
      </c>
      <c r="I1444" s="1" t="n">
        <v>1200</v>
      </c>
      <c r="J1444" s="1" t="n">
        <v>0</v>
      </c>
      <c r="K1444" s="1" t="n">
        <v>1080</v>
      </c>
      <c r="L1444" s="1" t="n">
        <v>1.753</v>
      </c>
      <c r="M1444" s="49" t="n">
        <v>46298</v>
      </c>
      <c r="N1444" s="1" t="n">
        <f aca="false">DAY(M1444)</f>
        <v>3</v>
      </c>
      <c r="O1444" s="1" t="str">
        <f aca="false">TEXT(M1444,"DDDD")</f>
        <v>sábado</v>
      </c>
      <c r="P1444" s="6" t="n">
        <f aca="false">MONTH(M1444)</f>
        <v>10</v>
      </c>
      <c r="Q1444" s="1" t="str">
        <f aca="false">TEXT(M1444,"MMMM")</f>
        <v>octubre</v>
      </c>
    </row>
    <row r="1445" customFormat="false" ht="14.25" hidden="false" customHeight="false" outlineLevel="0" collapsed="false">
      <c r="A1445" s="0" t="n">
        <v>12</v>
      </c>
      <c r="B1445" s="0" t="s">
        <v>1892</v>
      </c>
      <c r="C1445" s="0" t="s">
        <v>20</v>
      </c>
      <c r="D1445" s="0" t="s">
        <v>2267</v>
      </c>
      <c r="E1445" s="0" t="s">
        <v>2268</v>
      </c>
      <c r="F1445" s="0" t="s">
        <v>2269</v>
      </c>
      <c r="G1445" s="0" t="s">
        <v>2270</v>
      </c>
      <c r="H1445" s="0" t="n">
        <v>3166</v>
      </c>
      <c r="I1445" s="0" t="n">
        <v>3166</v>
      </c>
      <c r="J1445" s="0" t="n">
        <v>0</v>
      </c>
      <c r="K1445" s="0" t="n">
        <v>0</v>
      </c>
      <c r="L1445" s="0" t="n">
        <v>3.312</v>
      </c>
      <c r="M1445" s="50" t="n">
        <v>46304</v>
      </c>
      <c r="N1445" s="1" t="n">
        <f aca="false">DAY(M1445)</f>
        <v>9</v>
      </c>
      <c r="O1445" s="1" t="str">
        <f aca="false">TEXT(M1445,"DDDD")</f>
        <v>viernes</v>
      </c>
      <c r="P1445" s="6" t="n">
        <f aca="false">MONTH(M1445)</f>
        <v>10</v>
      </c>
      <c r="Q1445" s="1" t="str">
        <f aca="false">TEXT(M1445,"MMMM")</f>
        <v>octubre</v>
      </c>
      <c r="T1445" s="51" t="s">
        <v>2271</v>
      </c>
    </row>
    <row r="1446" customFormat="false" ht="14.25" hidden="false" customHeight="false" outlineLevel="0" collapsed="false">
      <c r="A1446" s="0" t="n">
        <v>12</v>
      </c>
      <c r="B1446" s="0" t="s">
        <v>2272</v>
      </c>
      <c r="C1446" s="0" t="s">
        <v>20</v>
      </c>
      <c r="D1446" s="0" t="s">
        <v>2273</v>
      </c>
      <c r="E1446" s="0" t="s">
        <v>2274</v>
      </c>
      <c r="F1446" s="0"/>
      <c r="G1446" s="0"/>
      <c r="H1446" s="0" t="n">
        <v>2316</v>
      </c>
      <c r="I1446" s="0" t="n">
        <v>2316</v>
      </c>
      <c r="J1446" s="0" t="n">
        <v>0</v>
      </c>
      <c r="K1446" s="0" t="n">
        <v>0</v>
      </c>
      <c r="L1446" s="0" t="n">
        <v>1.33</v>
      </c>
      <c r="M1446" s="50" t="n">
        <v>46304</v>
      </c>
      <c r="N1446" s="1" t="n">
        <f aca="false">DAY(M1446)</f>
        <v>9</v>
      </c>
      <c r="O1446" s="1" t="str">
        <f aca="false">TEXT(M1446,"DDDD")</f>
        <v>viernes</v>
      </c>
      <c r="P1446" s="6" t="n">
        <f aca="false">MONTH(M1446)</f>
        <v>10</v>
      </c>
      <c r="Q1446" s="1" t="str">
        <f aca="false">TEXT(M1446,"MMMM")</f>
        <v>octubre</v>
      </c>
      <c r="T1446" s="51" t="s">
        <v>2271</v>
      </c>
    </row>
    <row r="1447" customFormat="false" ht="14.25" hidden="false" customHeight="false" outlineLevel="0" collapsed="false">
      <c r="A1447" s="0" t="n">
        <v>12</v>
      </c>
      <c r="B1447" s="0" t="s">
        <v>2275</v>
      </c>
      <c r="C1447" s="0" t="s">
        <v>20</v>
      </c>
      <c r="D1447" s="0" t="s">
        <v>1119</v>
      </c>
      <c r="E1447" s="0" t="s">
        <v>2276</v>
      </c>
      <c r="F1447" s="0" t="s">
        <v>1119</v>
      </c>
      <c r="G1447" s="0" t="s">
        <v>2277</v>
      </c>
      <c r="H1447" s="0" t="n">
        <v>5466</v>
      </c>
      <c r="I1447" s="0" t="n">
        <v>3166</v>
      </c>
      <c r="J1447" s="0" t="n">
        <v>0</v>
      </c>
      <c r="K1447" s="0" t="n">
        <v>2300</v>
      </c>
      <c r="L1447" s="0" t="n">
        <v>1.543</v>
      </c>
      <c r="M1447" s="50" t="n">
        <v>46304</v>
      </c>
      <c r="N1447" s="1" t="n">
        <f aca="false">DAY(M1447)</f>
        <v>9</v>
      </c>
      <c r="O1447" s="1" t="str">
        <f aca="false">TEXT(M1447,"DDDD")</f>
        <v>viernes</v>
      </c>
      <c r="P1447" s="6" t="n">
        <f aca="false">MONTH(M1447)</f>
        <v>10</v>
      </c>
      <c r="Q1447" s="1" t="str">
        <f aca="false">TEXT(M1447,"MMMM")</f>
        <v>octubre</v>
      </c>
      <c r="T1447" s="51" t="s">
        <v>2271</v>
      </c>
    </row>
    <row r="1448" customFormat="false" ht="14.25" hidden="false" customHeight="false" outlineLevel="0" collapsed="false">
      <c r="A1448" s="0" t="n">
        <v>12</v>
      </c>
      <c r="B1448" s="0" t="s">
        <v>2278</v>
      </c>
      <c r="C1448" s="0" t="s">
        <v>20</v>
      </c>
      <c r="D1448" s="0" t="s">
        <v>510</v>
      </c>
      <c r="E1448" s="0" t="s">
        <v>2279</v>
      </c>
      <c r="F1448" s="0" t="s">
        <v>2280</v>
      </c>
      <c r="G1448" s="0" t="s">
        <v>2281</v>
      </c>
      <c r="H1448" s="0" t="n">
        <v>8246</v>
      </c>
      <c r="I1448" s="0" t="n">
        <v>3166</v>
      </c>
      <c r="J1448" s="0" t="n">
        <v>0</v>
      </c>
      <c r="K1448" s="0" t="n">
        <v>5080</v>
      </c>
      <c r="L1448" s="0" t="n">
        <v>3.684</v>
      </c>
      <c r="M1448" s="50" t="n">
        <v>46304</v>
      </c>
      <c r="N1448" s="1" t="n">
        <f aca="false">DAY(M1448)</f>
        <v>9</v>
      </c>
      <c r="O1448" s="1" t="str">
        <f aca="false">TEXT(M1448,"DDDD")</f>
        <v>viernes</v>
      </c>
      <c r="P1448" s="6" t="n">
        <f aca="false">MONTH(M1448)</f>
        <v>10</v>
      </c>
      <c r="Q1448" s="1" t="str">
        <f aca="false">TEXT(M1448,"MMMM")</f>
        <v>octubre</v>
      </c>
      <c r="T1448" s="51" t="s">
        <v>2271</v>
      </c>
    </row>
    <row r="1449" customFormat="false" ht="14.25" hidden="false" customHeight="false" outlineLevel="0" collapsed="false">
      <c r="A1449" s="0" t="n">
        <v>11</v>
      </c>
      <c r="B1449" s="0" t="s">
        <v>2282</v>
      </c>
      <c r="C1449" s="0" t="s">
        <v>20</v>
      </c>
      <c r="D1449" s="0" t="s">
        <v>1420</v>
      </c>
      <c r="E1449" s="0" t="s">
        <v>2283</v>
      </c>
      <c r="F1449" s="0"/>
      <c r="G1449" s="0"/>
      <c r="H1449" s="0" t="n">
        <v>3456</v>
      </c>
      <c r="I1449" s="0" t="n">
        <v>2316</v>
      </c>
      <c r="J1449" s="0" t="n">
        <v>0</v>
      </c>
      <c r="K1449" s="0" t="n">
        <v>1140</v>
      </c>
      <c r="L1449" s="0" t="n">
        <v>1.378</v>
      </c>
      <c r="M1449" s="50" t="n">
        <v>46304</v>
      </c>
      <c r="N1449" s="1" t="n">
        <f aca="false">DAY(M1449)</f>
        <v>9</v>
      </c>
      <c r="O1449" s="1" t="str">
        <f aca="false">TEXT(M1449,"DDDD")</f>
        <v>viernes</v>
      </c>
      <c r="P1449" s="6" t="n">
        <f aca="false">MONTH(M1449)</f>
        <v>10</v>
      </c>
      <c r="Q1449" s="1" t="str">
        <f aca="false">TEXT(M1449,"MMMM")</f>
        <v>octubre</v>
      </c>
      <c r="T1449" s="51" t="s">
        <v>2271</v>
      </c>
    </row>
    <row r="1450" customFormat="false" ht="14.25" hidden="false" customHeight="false" outlineLevel="0" collapsed="false">
      <c r="A1450" s="0" t="n">
        <v>11</v>
      </c>
      <c r="B1450" s="0" t="s">
        <v>950</v>
      </c>
      <c r="C1450" s="0" t="s">
        <v>20</v>
      </c>
      <c r="D1450" s="0" t="s">
        <v>2284</v>
      </c>
      <c r="E1450" s="0" t="s">
        <v>2285</v>
      </c>
      <c r="F1450" s="0"/>
      <c r="G1450" s="0"/>
      <c r="H1450" s="0" t="n">
        <v>2988</v>
      </c>
      <c r="I1450" s="0" t="n">
        <v>1608</v>
      </c>
      <c r="J1450" s="0" t="n">
        <v>0</v>
      </c>
      <c r="K1450" s="0" t="n">
        <v>1380</v>
      </c>
      <c r="L1450" s="0" t="n">
        <v>2.326</v>
      </c>
      <c r="M1450" s="50" t="n">
        <v>46304</v>
      </c>
      <c r="N1450" s="1" t="n">
        <f aca="false">DAY(M1450)</f>
        <v>9</v>
      </c>
      <c r="O1450" s="1" t="str">
        <f aca="false">TEXT(M1450,"DDDD")</f>
        <v>viernes</v>
      </c>
      <c r="P1450" s="6" t="n">
        <f aca="false">MONTH(M1450)</f>
        <v>10</v>
      </c>
      <c r="Q1450" s="1" t="str">
        <f aca="false">TEXT(M1450,"MMMM")</f>
        <v>octubre</v>
      </c>
      <c r="T1450" s="51" t="s">
        <v>2271</v>
      </c>
    </row>
    <row r="1451" customFormat="false" ht="14.25" hidden="false" customHeight="false" outlineLevel="0" collapsed="false">
      <c r="A1451" s="0" t="n">
        <v>11</v>
      </c>
      <c r="B1451" s="0" t="s">
        <v>1908</v>
      </c>
      <c r="C1451" s="0" t="s">
        <v>38</v>
      </c>
      <c r="D1451" s="0" t="s">
        <v>2286</v>
      </c>
      <c r="E1451" s="0" t="s">
        <v>2287</v>
      </c>
      <c r="F1451" s="0"/>
      <c r="G1451" s="0"/>
      <c r="H1451" s="0" t="n">
        <v>1808</v>
      </c>
      <c r="I1451" s="0" t="n">
        <v>1808</v>
      </c>
      <c r="J1451" s="0" t="n">
        <v>0</v>
      </c>
      <c r="K1451" s="0" t="n">
        <v>0</v>
      </c>
      <c r="L1451" s="0" t="n">
        <v>0.216</v>
      </c>
      <c r="M1451" s="50" t="n">
        <v>46304</v>
      </c>
      <c r="N1451" s="1" t="n">
        <f aca="false">DAY(M1451)</f>
        <v>9</v>
      </c>
      <c r="O1451" s="1" t="str">
        <f aca="false">TEXT(M1451,"DDDD")</f>
        <v>viernes</v>
      </c>
      <c r="P1451" s="6" t="n">
        <f aca="false">MONTH(M1451)</f>
        <v>10</v>
      </c>
      <c r="Q1451" s="1" t="str">
        <f aca="false">TEXT(M1451,"MMMM")</f>
        <v>octubre</v>
      </c>
      <c r="T1451" s="51" t="s">
        <v>2271</v>
      </c>
    </row>
    <row r="1452" customFormat="false" ht="14.25" hidden="false" customHeight="false" outlineLevel="0" collapsed="false">
      <c r="A1452" s="0" t="n">
        <v>11</v>
      </c>
      <c r="B1452" s="0" t="s">
        <v>58</v>
      </c>
      <c r="C1452" s="0" t="s">
        <v>38</v>
      </c>
      <c r="D1452" s="0" t="s">
        <v>2288</v>
      </c>
      <c r="E1452" s="0" t="s">
        <v>2289</v>
      </c>
      <c r="F1452" s="0"/>
      <c r="G1452" s="0"/>
      <c r="H1452" s="0" t="n">
        <v>2388</v>
      </c>
      <c r="I1452" s="0" t="n">
        <v>1608</v>
      </c>
      <c r="J1452" s="0" t="n">
        <v>0</v>
      </c>
      <c r="K1452" s="0" t="n">
        <v>780</v>
      </c>
      <c r="L1452" s="0" t="n">
        <v>0.29</v>
      </c>
      <c r="M1452" s="50" t="n">
        <v>46304</v>
      </c>
      <c r="N1452" s="1" t="n">
        <f aca="false">DAY(M1452)</f>
        <v>9</v>
      </c>
      <c r="O1452" s="1" t="str">
        <f aca="false">TEXT(M1452,"DDDD")</f>
        <v>viernes</v>
      </c>
      <c r="P1452" s="6" t="n">
        <f aca="false">MONTH(M1452)</f>
        <v>10</v>
      </c>
      <c r="Q1452" s="1" t="str">
        <f aca="false">TEXT(M1452,"MMMM")</f>
        <v>octubre</v>
      </c>
      <c r="T1452" s="51" t="s">
        <v>2271</v>
      </c>
    </row>
    <row r="1453" customFormat="false" ht="14.25" hidden="false" customHeight="false" outlineLevel="0" collapsed="false">
      <c r="A1453" s="0" t="n">
        <v>10</v>
      </c>
      <c r="B1453" s="0" t="s">
        <v>954</v>
      </c>
      <c r="C1453" s="0" t="s">
        <v>38</v>
      </c>
      <c r="D1453" s="0" t="s">
        <v>2290</v>
      </c>
      <c r="E1453" s="0" t="s">
        <v>2291</v>
      </c>
      <c r="F1453" s="0"/>
      <c r="G1453" s="0"/>
      <c r="H1453" s="0" t="n">
        <v>2350</v>
      </c>
      <c r="I1453" s="0" t="n">
        <v>2350</v>
      </c>
      <c r="J1453" s="0" t="n">
        <v>0</v>
      </c>
      <c r="K1453" s="0" t="n">
        <v>0</v>
      </c>
      <c r="L1453" s="0" t="n">
        <v>2.963</v>
      </c>
      <c r="M1453" s="50" t="n">
        <v>46304</v>
      </c>
      <c r="N1453" s="1" t="n">
        <f aca="false">DAY(M1453)</f>
        <v>9</v>
      </c>
      <c r="O1453" s="1" t="str">
        <f aca="false">TEXT(M1453,"DDDD")</f>
        <v>viernes</v>
      </c>
      <c r="P1453" s="6" t="n">
        <f aca="false">MONTH(M1453)</f>
        <v>10</v>
      </c>
      <c r="Q1453" s="1" t="str">
        <f aca="false">TEXT(M1453,"MMMM")</f>
        <v>octubre</v>
      </c>
    </row>
    <row r="1454" customFormat="false" ht="14.25" hidden="false" customHeight="false" outlineLevel="0" collapsed="false">
      <c r="A1454" s="0" t="n">
        <v>8</v>
      </c>
      <c r="B1454" s="0" t="s">
        <v>2119</v>
      </c>
      <c r="C1454" s="0" t="s">
        <v>38</v>
      </c>
      <c r="D1454" s="0" t="s">
        <v>512</v>
      </c>
      <c r="E1454" s="0" t="s">
        <v>2292</v>
      </c>
      <c r="F1454" s="0"/>
      <c r="G1454" s="0"/>
      <c r="H1454" s="0" t="n">
        <v>5930</v>
      </c>
      <c r="I1454" s="0" t="n">
        <v>5350</v>
      </c>
      <c r="J1454" s="0" t="n">
        <v>0</v>
      </c>
      <c r="K1454" s="0" t="n">
        <v>580</v>
      </c>
      <c r="L1454" s="0" t="n">
        <v>0.091</v>
      </c>
      <c r="M1454" s="50" t="n">
        <v>46304</v>
      </c>
      <c r="N1454" s="1" t="n">
        <f aca="false">DAY(M1454)</f>
        <v>9</v>
      </c>
      <c r="O1454" s="1" t="str">
        <f aca="false">TEXT(M1454,"DDDD")</f>
        <v>viernes</v>
      </c>
      <c r="P1454" s="6" t="n">
        <f aca="false">MONTH(M1454)</f>
        <v>10</v>
      </c>
      <c r="Q1454" s="1" t="str">
        <f aca="false">TEXT(M1454,"MMMM")</f>
        <v>octubre</v>
      </c>
    </row>
    <row r="1455" customFormat="false" ht="14.25" hidden="false" customHeight="false" outlineLevel="0" collapsed="false">
      <c r="A1455" s="0" t="n">
        <v>7</v>
      </c>
      <c r="B1455" s="0" t="s">
        <v>2293</v>
      </c>
      <c r="C1455" s="0" t="s">
        <v>20</v>
      </c>
      <c r="D1455" s="0" t="s">
        <v>949</v>
      </c>
      <c r="E1455" s="0" t="s">
        <v>2294</v>
      </c>
      <c r="F1455" s="0"/>
      <c r="G1455" s="0"/>
      <c r="H1455" s="0" t="n">
        <v>3160</v>
      </c>
      <c r="I1455" s="0" t="n">
        <v>1200</v>
      </c>
      <c r="J1455" s="0" t="n">
        <v>0</v>
      </c>
      <c r="K1455" s="0" t="n">
        <v>1960</v>
      </c>
      <c r="L1455" s="0" t="n">
        <v>1.058</v>
      </c>
      <c r="M1455" s="50" t="n">
        <v>46304</v>
      </c>
      <c r="N1455" s="1" t="n">
        <f aca="false">DAY(M1455)</f>
        <v>9</v>
      </c>
      <c r="O1455" s="1" t="str">
        <f aca="false">TEXT(M1455,"DDDD")</f>
        <v>viernes</v>
      </c>
      <c r="P1455" s="6" t="n">
        <f aca="false">MONTH(M1455)</f>
        <v>10</v>
      </c>
      <c r="Q1455" s="1" t="str">
        <f aca="false">TEXT(M1455,"MMMM")</f>
        <v>octubre</v>
      </c>
    </row>
    <row r="1456" customFormat="false" ht="14.25" hidden="false" customHeight="false" outlineLevel="0" collapsed="false">
      <c r="A1456" s="0" t="n">
        <v>7</v>
      </c>
      <c r="B1456" s="0" t="s">
        <v>2295</v>
      </c>
      <c r="C1456" s="0" t="s">
        <v>1884</v>
      </c>
      <c r="D1456" s="0" t="s">
        <v>1409</v>
      </c>
      <c r="E1456" s="0" t="s">
        <v>2296</v>
      </c>
      <c r="F1456" s="0"/>
      <c r="G1456" s="0"/>
      <c r="H1456" s="0" t="n">
        <v>1620</v>
      </c>
      <c r="I1456" s="0" t="n">
        <v>1200</v>
      </c>
      <c r="J1456" s="0" t="n">
        <v>0</v>
      </c>
      <c r="K1456" s="0" t="n">
        <v>420</v>
      </c>
      <c r="L1456" s="0" t="n">
        <v>1.483</v>
      </c>
      <c r="M1456" s="50" t="n">
        <v>46304</v>
      </c>
      <c r="N1456" s="1" t="n">
        <f aca="false">DAY(M1456)</f>
        <v>9</v>
      </c>
      <c r="O1456" s="1" t="str">
        <f aca="false">TEXT(M1456,"DDDD")</f>
        <v>viernes</v>
      </c>
      <c r="P1456" s="6" t="n">
        <f aca="false">MONTH(M1456)</f>
        <v>10</v>
      </c>
      <c r="Q1456" s="1" t="str">
        <f aca="false">TEXT(M1456,"MMMM")</f>
        <v>octubre</v>
      </c>
    </row>
    <row r="1457" customFormat="false" ht="14.25" hidden="false" customHeight="false" outlineLevel="0" collapsed="false">
      <c r="A1457" s="0" t="n">
        <v>7</v>
      </c>
      <c r="B1457" s="0" t="s">
        <v>2297</v>
      </c>
      <c r="C1457" s="0" t="s">
        <v>38</v>
      </c>
      <c r="D1457" s="0" t="s">
        <v>2298</v>
      </c>
      <c r="E1457" s="0" t="s">
        <v>2299</v>
      </c>
      <c r="F1457" s="0"/>
      <c r="G1457" s="0"/>
      <c r="H1457" s="0" t="n">
        <v>1200</v>
      </c>
      <c r="I1457" s="0" t="n">
        <v>1200</v>
      </c>
      <c r="J1457" s="0" t="n">
        <v>0</v>
      </c>
      <c r="K1457" s="0" t="n">
        <v>0</v>
      </c>
      <c r="L1457" s="0" t="n">
        <v>1.527</v>
      </c>
      <c r="M1457" s="50" t="n">
        <v>46304</v>
      </c>
      <c r="N1457" s="1" t="n">
        <f aca="false">DAY(M1457)</f>
        <v>9</v>
      </c>
      <c r="O1457" s="1" t="str">
        <f aca="false">TEXT(M1457,"DDDD")</f>
        <v>viernes</v>
      </c>
      <c r="P1457" s="6" t="n">
        <f aca="false">MONTH(M1457)</f>
        <v>10</v>
      </c>
      <c r="Q1457" s="1" t="str">
        <f aca="false">TEXT(M1457,"MMMM")</f>
        <v>octubre</v>
      </c>
    </row>
    <row r="1458" customFormat="false" ht="14.25" hidden="false" customHeight="false" outlineLevel="0" collapsed="false">
      <c r="A1458" s="0" t="n">
        <v>7</v>
      </c>
      <c r="B1458" s="0" t="s">
        <v>2300</v>
      </c>
      <c r="C1458" s="0" t="s">
        <v>20</v>
      </c>
      <c r="D1458" s="0" t="s">
        <v>2301</v>
      </c>
      <c r="E1458" s="0" t="s">
        <v>2302</v>
      </c>
      <c r="F1458" s="0"/>
      <c r="G1458" s="0"/>
      <c r="H1458" s="0" t="n">
        <v>1720</v>
      </c>
      <c r="I1458" s="0" t="n">
        <v>1200</v>
      </c>
      <c r="J1458" s="0" t="n">
        <v>0</v>
      </c>
      <c r="K1458" s="0" t="n">
        <v>520</v>
      </c>
      <c r="L1458" s="0" t="n">
        <v>2.309</v>
      </c>
      <c r="M1458" s="50" t="n">
        <v>46304</v>
      </c>
      <c r="N1458" s="1" t="n">
        <f aca="false">DAY(M1458)</f>
        <v>9</v>
      </c>
      <c r="O1458" s="1" t="str">
        <f aca="false">TEXT(M1458,"DDDD")</f>
        <v>viernes</v>
      </c>
      <c r="P1458" s="6" t="n">
        <f aca="false">MONTH(M1458)</f>
        <v>10</v>
      </c>
      <c r="Q1458" s="1" t="str">
        <f aca="false">TEXT(M1458,"MMMM")</f>
        <v>octubre</v>
      </c>
    </row>
    <row r="1459" customFormat="false" ht="14.25" hidden="false" customHeight="false" outlineLevel="0" collapsed="false">
      <c r="A1459" s="0" t="n">
        <v>7</v>
      </c>
      <c r="B1459" s="0" t="s">
        <v>2303</v>
      </c>
      <c r="C1459" s="0" t="s">
        <v>38</v>
      </c>
      <c r="D1459" s="0" t="s">
        <v>2304</v>
      </c>
      <c r="E1459" s="0" t="s">
        <v>2305</v>
      </c>
      <c r="F1459" s="0"/>
      <c r="G1459" s="0"/>
      <c r="H1459" s="0" t="n">
        <v>2030</v>
      </c>
      <c r="I1459" s="0" t="n">
        <v>1250</v>
      </c>
      <c r="J1459" s="0" t="n">
        <v>0</v>
      </c>
      <c r="K1459" s="0" t="n">
        <v>780</v>
      </c>
      <c r="L1459" s="0" t="n">
        <v>2.873</v>
      </c>
      <c r="M1459" s="50" t="n">
        <v>46304</v>
      </c>
      <c r="N1459" s="1" t="n">
        <f aca="false">DAY(M1459)</f>
        <v>9</v>
      </c>
      <c r="O1459" s="1" t="str">
        <f aca="false">TEXT(M1459,"DDDD")</f>
        <v>viernes</v>
      </c>
      <c r="P1459" s="6" t="n">
        <f aca="false">MONTH(M1459)</f>
        <v>10</v>
      </c>
      <c r="Q1459" s="1" t="str">
        <f aca="false">TEXT(M1459,"MMMM")</f>
        <v>octubre</v>
      </c>
    </row>
    <row r="1460" customFormat="false" ht="14.25" hidden="false" customHeight="false" outlineLevel="0" collapsed="false">
      <c r="A1460" s="0" t="n">
        <v>6</v>
      </c>
      <c r="B1460" s="0" t="s">
        <v>1812</v>
      </c>
      <c r="C1460" s="0" t="s">
        <v>1884</v>
      </c>
      <c r="D1460" s="0" t="s">
        <v>1409</v>
      </c>
      <c r="E1460" s="0" t="s">
        <v>2306</v>
      </c>
      <c r="F1460" s="0"/>
      <c r="G1460" s="0"/>
      <c r="H1460" s="0" t="n">
        <v>2220</v>
      </c>
      <c r="I1460" s="0" t="n">
        <v>1800</v>
      </c>
      <c r="J1460" s="0" t="n">
        <v>0</v>
      </c>
      <c r="K1460" s="0" t="n">
        <v>420</v>
      </c>
      <c r="L1460" s="0" t="n">
        <v>3.399</v>
      </c>
      <c r="M1460" s="50" t="n">
        <v>46304</v>
      </c>
      <c r="N1460" s="1" t="n">
        <f aca="false">DAY(M1460)</f>
        <v>9</v>
      </c>
      <c r="O1460" s="1" t="str">
        <f aca="false">TEXT(M1460,"DDDD")</f>
        <v>viernes</v>
      </c>
      <c r="P1460" s="6" t="n">
        <f aca="false">MONTH(M1460)</f>
        <v>10</v>
      </c>
      <c r="Q1460" s="1" t="str">
        <f aca="false">TEXT(M1460,"MMMM")</f>
        <v>octubre</v>
      </c>
    </row>
  </sheetData>
  <autoFilter ref="A1:T10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1" activeCellId="1" sqref="T1449:T1452 E10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48" width="10.56"/>
    <col collapsed="false" customWidth="true" hidden="false" outlineLevel="0" max="2" min="2" style="1" width="17.33"/>
    <col collapsed="false" customWidth="true" hidden="false" outlineLevel="0" max="3" min="3" style="1" width="13.88"/>
    <col collapsed="false" customWidth="true" hidden="false" outlineLevel="0" max="6" min="4" style="1" width="12.67"/>
    <col collapsed="false" customWidth="true" hidden="false" outlineLevel="0" max="8" min="7" style="3" width="16"/>
  </cols>
  <sheetData>
    <row r="1" customFormat="false" ht="55.2" hidden="false" customHeight="false" outlineLevel="0" collapsed="false">
      <c r="A1" s="52" t="s">
        <v>11</v>
      </c>
      <c r="B1" s="53" t="s">
        <v>2307</v>
      </c>
      <c r="C1" s="54" t="s">
        <v>2308</v>
      </c>
      <c r="D1" s="53" t="s">
        <v>2309</v>
      </c>
      <c r="E1" s="54" t="s">
        <v>2310</v>
      </c>
      <c r="F1" s="53" t="s">
        <v>12</v>
      </c>
      <c r="G1" s="55" t="s">
        <v>2311</v>
      </c>
      <c r="H1" s="56"/>
      <c r="I1" s="57" t="s">
        <v>2312</v>
      </c>
      <c r="J1" s="57" t="s">
        <v>2313</v>
      </c>
      <c r="K1" s="57" t="s">
        <v>2314</v>
      </c>
      <c r="L1" s="57" t="s">
        <v>2315</v>
      </c>
      <c r="M1" s="57" t="s">
        <v>2316</v>
      </c>
      <c r="N1" s="57" t="s">
        <v>2317</v>
      </c>
      <c r="O1" s="57" t="s">
        <v>2318</v>
      </c>
      <c r="P1" s="57" t="s">
        <v>2319</v>
      </c>
      <c r="Q1" s="57" t="s">
        <v>2320</v>
      </c>
      <c r="R1" s="57" t="s">
        <v>2321</v>
      </c>
      <c r="S1" s="57" t="s">
        <v>2322</v>
      </c>
      <c r="T1" s="57" t="s">
        <v>2323</v>
      </c>
    </row>
    <row r="2" customFormat="false" ht="14.25" hidden="true" customHeight="false" outlineLevel="0" collapsed="false">
      <c r="A2" s="48" t="n">
        <v>45863</v>
      </c>
      <c r="B2" s="3" t="n">
        <f aca="false">SUM(Datos!H2:H8)</f>
        <v>20227</v>
      </c>
      <c r="C2" s="21" t="n">
        <f aca="false">COUNTA(Datos!H2:H8)</f>
        <v>7</v>
      </c>
      <c r="F2" s="21" t="s">
        <v>2324</v>
      </c>
      <c r="G2" s="3" t="n">
        <f aca="false">AVERAGE(Datos!H2:H8)</f>
        <v>2889.57142857143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</row>
    <row r="3" customFormat="false" ht="14.25" hidden="true" customHeight="false" outlineLevel="0" collapsed="false">
      <c r="A3" s="48" t="n">
        <v>45866</v>
      </c>
      <c r="B3" s="3" t="n">
        <f aca="false">SUM(Datos!H9:H15)</f>
        <v>21960</v>
      </c>
      <c r="C3" s="21" t="n">
        <f aca="false">COUNTA(Datos!H9:H15)</f>
        <v>7</v>
      </c>
      <c r="D3" s="1" t="n">
        <v>3</v>
      </c>
      <c r="E3" s="21" t="n">
        <f aca="false">SUM(C3+D3)</f>
        <v>10</v>
      </c>
      <c r="F3" s="21" t="s">
        <v>2325</v>
      </c>
      <c r="G3" s="3" t="n">
        <f aca="false">AVERAGE(Datos!H9:H15)</f>
        <v>3137.14285714286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1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</row>
    <row r="4" customFormat="false" ht="14.25" hidden="true" customHeight="false" outlineLevel="0" collapsed="false">
      <c r="A4" s="48" t="n">
        <v>45867</v>
      </c>
      <c r="B4" s="3" t="n">
        <f aca="false">SUM(Datos!H16:H30)</f>
        <v>38310</v>
      </c>
      <c r="C4" s="21" t="n">
        <f aca="false">COUNTA(Datos!H16:H30)</f>
        <v>15</v>
      </c>
      <c r="D4" s="1" t="n">
        <v>2</v>
      </c>
      <c r="E4" s="21" t="n">
        <f aca="false">SUM(C4+D4)</f>
        <v>17</v>
      </c>
      <c r="F4" s="21" t="s">
        <v>2326</v>
      </c>
      <c r="G4" s="3" t="n">
        <f aca="false">AVERAGE(Datos!H16:H30)</f>
        <v>2554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1</v>
      </c>
      <c r="P4" s="1" t="n">
        <v>1</v>
      </c>
      <c r="Q4" s="1" t="n">
        <v>1</v>
      </c>
      <c r="R4" s="1" t="n">
        <v>0</v>
      </c>
      <c r="S4" s="1" t="n">
        <v>1</v>
      </c>
      <c r="T4" s="1" t="n">
        <v>1</v>
      </c>
    </row>
    <row r="5" customFormat="false" ht="14.25" hidden="false" customHeight="false" outlineLevel="0" collapsed="false">
      <c r="A5" s="48" t="n">
        <v>45868</v>
      </c>
      <c r="B5" s="3" t="n">
        <f aca="false">SUM(Datos!H31:H36)</f>
        <v>14330</v>
      </c>
      <c r="C5" s="21" t="n">
        <f aca="false">COUNTA(Datos!H31:H36)</f>
        <v>6</v>
      </c>
      <c r="D5" s="1" t="n">
        <v>2</v>
      </c>
      <c r="E5" s="21" t="n">
        <f aca="false">SUM(C5+D5)</f>
        <v>8</v>
      </c>
      <c r="F5" s="21" t="s">
        <v>2327</v>
      </c>
      <c r="G5" s="3" t="n">
        <f aca="false">AVERAGE(Datos!H31:H36)</f>
        <v>2388.33333333333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</v>
      </c>
      <c r="Q5" s="1" t="n">
        <v>1</v>
      </c>
      <c r="R5" s="1" t="n">
        <v>0</v>
      </c>
      <c r="S5" s="1" t="n">
        <v>1</v>
      </c>
      <c r="T5" s="1" t="n">
        <v>0</v>
      </c>
    </row>
    <row r="6" customFormat="false" ht="14.25" hidden="true" customHeight="false" outlineLevel="0" collapsed="false">
      <c r="A6" s="48" t="n">
        <v>45870</v>
      </c>
      <c r="B6" s="3" t="n">
        <f aca="false">SUM(Datos!H114:H128)</f>
        <v>40900</v>
      </c>
      <c r="C6" s="21" t="n">
        <f aca="false">COUNTA(Datos!H114:H128)</f>
        <v>15</v>
      </c>
      <c r="D6" s="1" t="n">
        <v>2</v>
      </c>
      <c r="E6" s="21" t="n">
        <f aca="false">SUM(C6+D6)</f>
        <v>17</v>
      </c>
      <c r="F6" s="21" t="s">
        <v>2324</v>
      </c>
      <c r="G6" s="3" t="n">
        <f aca="false">AVERAGE(Datos!H114:H128)</f>
        <v>2726.66666666667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0</v>
      </c>
      <c r="S6" s="1" t="n">
        <v>0</v>
      </c>
      <c r="T6" s="1" t="n">
        <v>0</v>
      </c>
    </row>
    <row r="7" customFormat="false" ht="14.25" hidden="true" customHeight="false" outlineLevel="0" collapsed="false">
      <c r="A7" s="48" t="n">
        <v>45871</v>
      </c>
      <c r="B7" s="3" t="n">
        <f aca="false">SUM(Datos!H52:H69)</f>
        <v>61330</v>
      </c>
      <c r="C7" s="21" t="n">
        <f aca="false">COUNTA(Datos!H52:H69)</f>
        <v>18</v>
      </c>
      <c r="D7" s="1" t="n">
        <v>5</v>
      </c>
      <c r="E7" s="21" t="n">
        <f aca="false">SUM(C7+D7)</f>
        <v>23</v>
      </c>
      <c r="F7" s="21" t="s">
        <v>2328</v>
      </c>
      <c r="G7" s="3" t="n">
        <f aca="false">AVERAGE(Datos!H52:H69)</f>
        <v>3407.22222222222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</v>
      </c>
      <c r="Q7" s="1" t="n">
        <v>0</v>
      </c>
      <c r="R7" s="1" t="n">
        <v>1</v>
      </c>
      <c r="S7" s="1" t="n">
        <v>1</v>
      </c>
      <c r="T7" s="1" t="n">
        <v>1</v>
      </c>
    </row>
    <row r="8" customFormat="false" ht="14.25" hidden="true" customHeight="false" outlineLevel="0" collapsed="false">
      <c r="A8" s="48" t="n">
        <v>45872</v>
      </c>
      <c r="B8" s="3" t="n">
        <f aca="false">SUM(Datos!H70:H79)</f>
        <v>24830</v>
      </c>
      <c r="C8" s="21" t="n">
        <f aca="false">COUNTA(Datos!H70:H79)</f>
        <v>10</v>
      </c>
      <c r="D8" s="1" t="n">
        <v>1</v>
      </c>
      <c r="E8" s="21" t="n">
        <f aca="false">SUM(C8+D8)</f>
        <v>11</v>
      </c>
      <c r="F8" s="21" t="s">
        <v>2329</v>
      </c>
      <c r="G8" s="3" t="n">
        <f aca="false">AVERAGE(Datos!H70:H79)</f>
        <v>2483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0</v>
      </c>
    </row>
    <row r="9" customFormat="false" ht="14.25" hidden="false" customHeight="false" outlineLevel="0" collapsed="false">
      <c r="A9" s="48" t="n">
        <v>45875</v>
      </c>
      <c r="B9" s="3" t="n">
        <f aca="false">SUM(Datos!H80:H92)</f>
        <v>26605</v>
      </c>
      <c r="C9" s="21" t="n">
        <f aca="false">COUNTA(Datos!H80:H92)</f>
        <v>13</v>
      </c>
      <c r="D9" s="1" t="n">
        <v>1</v>
      </c>
      <c r="E9" s="21" t="n">
        <f aca="false">SUM(C9+D9)</f>
        <v>14</v>
      </c>
      <c r="F9" s="21" t="s">
        <v>2327</v>
      </c>
      <c r="G9" s="3" t="n">
        <f aca="false">AVERAGE(Datos!H80:H92)</f>
        <v>2046.53846153846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1</v>
      </c>
      <c r="R9" s="1" t="n">
        <v>0</v>
      </c>
      <c r="S9" s="1" t="n">
        <v>0</v>
      </c>
      <c r="T9" s="1" t="n">
        <v>0</v>
      </c>
    </row>
    <row r="10" customFormat="false" ht="14.25" hidden="true" customHeight="false" outlineLevel="0" collapsed="false">
      <c r="A10" s="48" t="n">
        <v>45877</v>
      </c>
      <c r="B10" s="3" t="n">
        <f aca="false">SUM(Datos!H93:H101)</f>
        <v>15435</v>
      </c>
      <c r="C10" s="21" t="n">
        <f aca="false">COUNTA(Datos!H93:H101)</f>
        <v>9</v>
      </c>
      <c r="D10" s="1" t="n">
        <v>0</v>
      </c>
      <c r="E10" s="21" t="n">
        <f aca="false">SUM(C10+D10)</f>
        <v>9</v>
      </c>
      <c r="F10" s="21" t="s">
        <v>2324</v>
      </c>
      <c r="G10" s="3" t="n">
        <f aca="false">AVERAGE(Datos!H93:H101)</f>
        <v>1715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</row>
    <row r="11" customFormat="false" ht="14.25" hidden="true" customHeight="false" outlineLevel="0" collapsed="false">
      <c r="A11" s="48" t="n">
        <v>45878</v>
      </c>
      <c r="B11" s="3" t="n">
        <f aca="false">SUM(Datos!H102:H116)</f>
        <v>31841</v>
      </c>
      <c r="C11" s="21" t="n">
        <f aca="false">COUNTA(Datos!H102:H116)</f>
        <v>15</v>
      </c>
      <c r="D11" s="1" t="n">
        <v>0</v>
      </c>
      <c r="E11" s="21" t="n">
        <f aca="false">SUM(C11+D11)</f>
        <v>15</v>
      </c>
      <c r="F11" s="21" t="s">
        <v>2328</v>
      </c>
      <c r="G11" s="3" t="n">
        <f aca="false">AVERAGE(Datos!H102:H116)</f>
        <v>2122.73333333333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1</v>
      </c>
      <c r="R11" s="1" t="n">
        <v>1</v>
      </c>
      <c r="S11" s="1" t="n">
        <v>1</v>
      </c>
      <c r="T11" s="1" t="n">
        <v>0</v>
      </c>
    </row>
    <row r="12" customFormat="false" ht="14.25" hidden="true" customHeight="false" outlineLevel="0" collapsed="false">
      <c r="A12" s="48" t="n">
        <v>45879</v>
      </c>
      <c r="B12" s="3" t="n">
        <f aca="false">SUM(Datos!H117:H140)</f>
        <v>61893.88</v>
      </c>
      <c r="C12" s="21" t="n">
        <f aca="false">COUNTA(Datos!H117:H140)</f>
        <v>23</v>
      </c>
      <c r="D12" s="1" t="n">
        <v>6</v>
      </c>
      <c r="E12" s="21" t="n">
        <f aca="false">SUM(C12+D12)</f>
        <v>29</v>
      </c>
      <c r="F12" s="21" t="s">
        <v>2329</v>
      </c>
      <c r="G12" s="3" t="n">
        <f aca="false">AVERAGE(Datos!H117:H140)</f>
        <v>2691.03826086957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</row>
    <row r="13" customFormat="false" ht="14.25" hidden="true" customHeight="false" outlineLevel="0" collapsed="false">
      <c r="A13" s="48" t="n">
        <v>45884</v>
      </c>
      <c r="B13" s="3" t="n">
        <f aca="false">SUM(Datos!H141:H150)</f>
        <v>22640</v>
      </c>
      <c r="C13" s="21" t="n">
        <f aca="false">COUNTA(Datos!H141:H150)</f>
        <v>10</v>
      </c>
      <c r="D13" s="1" t="n">
        <v>0</v>
      </c>
      <c r="E13" s="21" t="n">
        <f aca="false">SUM(C13+D13)</f>
        <v>10</v>
      </c>
      <c r="F13" s="21" t="s">
        <v>2324</v>
      </c>
      <c r="G13" s="3" t="n">
        <f aca="false">AVERAGE(Datos!H141:H150)</f>
        <v>2264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1</v>
      </c>
      <c r="T13" s="1" t="n">
        <v>1</v>
      </c>
    </row>
    <row r="14" customFormat="false" ht="14.25" hidden="true" customHeight="false" outlineLevel="0" collapsed="false">
      <c r="A14" s="48" t="n">
        <v>45885</v>
      </c>
      <c r="B14" s="3" t="n">
        <f aca="false">SUM(Datos!H151:H157)</f>
        <v>21470</v>
      </c>
      <c r="C14" s="21" t="n">
        <f aca="false">COUNTA(Datos!H151:H157)</f>
        <v>7</v>
      </c>
      <c r="D14" s="1" t="n">
        <v>0</v>
      </c>
      <c r="E14" s="21" t="n">
        <f aca="false">SUM(C14+D14)</f>
        <v>7</v>
      </c>
      <c r="F14" s="21" t="s">
        <v>2328</v>
      </c>
      <c r="G14" s="3" t="n">
        <f aca="false">AVERAGE(Datos!H151:H157)</f>
        <v>3067.14285714286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</row>
    <row r="15" customFormat="false" ht="14.25" hidden="false" customHeight="false" outlineLevel="0" collapsed="false">
      <c r="A15" s="48" t="n">
        <v>45889</v>
      </c>
      <c r="B15" s="3" t="n">
        <f aca="false">SUM(Datos!H158:H171)</f>
        <v>33631</v>
      </c>
      <c r="C15" s="21" t="n">
        <f aca="false">COUNTA(Datos!H158:H171)</f>
        <v>14</v>
      </c>
      <c r="D15" s="1" t="n">
        <v>0</v>
      </c>
      <c r="E15" s="21" t="n">
        <f aca="false">SUM(C15+D15)</f>
        <v>14</v>
      </c>
      <c r="F15" s="21" t="s">
        <v>2327</v>
      </c>
      <c r="G15" s="3" t="n">
        <f aca="false">AVERAGE(Datos!H158:H171)</f>
        <v>2402.21428571429</v>
      </c>
      <c r="I15" s="1" t="n">
        <v>1</v>
      </c>
      <c r="J15" s="1" t="n">
        <v>1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1</v>
      </c>
      <c r="R15" s="1" t="n">
        <v>1</v>
      </c>
      <c r="S15" s="1" t="n">
        <v>0</v>
      </c>
      <c r="T15" s="1" t="n">
        <v>1</v>
      </c>
    </row>
    <row r="16" customFormat="false" ht="14.25" hidden="true" customHeight="false" outlineLevel="0" collapsed="false">
      <c r="A16" s="48" t="n">
        <v>45890</v>
      </c>
      <c r="B16" s="3" t="n">
        <f aca="false">SUM(Datos!H172:H191)</f>
        <v>42841</v>
      </c>
      <c r="C16" s="21" t="n">
        <f aca="false">COUNTA(Datos!H172:H191)</f>
        <v>20</v>
      </c>
      <c r="D16" s="1" t="n">
        <v>0</v>
      </c>
      <c r="E16" s="21" t="n">
        <f aca="false">SUM(C16+D16)</f>
        <v>20</v>
      </c>
      <c r="F16" s="21" t="s">
        <v>2330</v>
      </c>
      <c r="G16" s="3" t="n">
        <f aca="false">AVERAGE(Datos!H172:H191)</f>
        <v>2142.05</v>
      </c>
      <c r="I16" s="1" t="n">
        <v>1</v>
      </c>
      <c r="J16" s="1" t="n">
        <v>1</v>
      </c>
      <c r="K16" s="1" t="n">
        <v>1</v>
      </c>
      <c r="L16" s="1" t="n">
        <v>0</v>
      </c>
      <c r="M16" s="1" t="n">
        <v>1</v>
      </c>
      <c r="N16" s="1" t="n">
        <v>1</v>
      </c>
      <c r="O16" s="1" t="n">
        <v>0</v>
      </c>
      <c r="P16" s="1" t="n">
        <v>0</v>
      </c>
      <c r="Q16" s="1" t="n">
        <v>1</v>
      </c>
      <c r="R16" s="1" t="n">
        <v>0</v>
      </c>
      <c r="S16" s="1" t="n">
        <v>1</v>
      </c>
      <c r="T16" s="1" t="n">
        <v>1</v>
      </c>
    </row>
    <row r="17" customFormat="false" ht="14.25" hidden="true" customHeight="false" outlineLevel="0" collapsed="false">
      <c r="A17" s="48" t="n">
        <v>45893</v>
      </c>
      <c r="B17" s="3" t="n">
        <f aca="false">SUM(Datos!H192:H223)</f>
        <v>99390</v>
      </c>
      <c r="C17" s="21" t="n">
        <f aca="false">COUNTA(Datos!H192:H223)</f>
        <v>32</v>
      </c>
      <c r="D17" s="1" t="n">
        <v>7</v>
      </c>
      <c r="E17" s="21" t="n">
        <f aca="false">SUM(C17+D17)</f>
        <v>39</v>
      </c>
      <c r="F17" s="21" t="s">
        <v>2329</v>
      </c>
      <c r="G17" s="3" t="n">
        <f aca="false">AVERAGE(Datos!H192:H223)</f>
        <v>3105.9375</v>
      </c>
      <c r="I17" s="1" t="n">
        <v>0</v>
      </c>
      <c r="J17" s="1" t="n">
        <v>0</v>
      </c>
      <c r="K17" s="1" t="n">
        <v>0</v>
      </c>
      <c r="L17" s="1" t="n">
        <v>1</v>
      </c>
      <c r="M17" s="1" t="n">
        <v>1</v>
      </c>
      <c r="N17" s="1" t="n">
        <v>0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</row>
    <row r="18" customFormat="false" ht="14.25" hidden="false" customHeight="false" outlineLevel="0" collapsed="false">
      <c r="A18" s="48" t="n">
        <v>45896</v>
      </c>
      <c r="B18" s="3" t="n">
        <f aca="false">SUM(Datos!H224:H239)</f>
        <v>36375</v>
      </c>
      <c r="C18" s="21" t="n">
        <f aca="false">COUNTA(Datos!H224:H239)</f>
        <v>16</v>
      </c>
      <c r="D18" s="1" t="n">
        <v>3</v>
      </c>
      <c r="E18" s="21" t="n">
        <f aca="false">SUM(C18+D18)</f>
        <v>19</v>
      </c>
      <c r="F18" s="21" t="s">
        <v>2327</v>
      </c>
      <c r="G18" s="3" t="n">
        <f aca="false">AVERAGE(Datos!H224:H239)</f>
        <v>2273.4375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</row>
    <row r="19" customFormat="false" ht="14.25" hidden="true" customHeight="false" outlineLevel="0" collapsed="false">
      <c r="A19" s="48" t="n">
        <v>45900</v>
      </c>
      <c r="B19" s="3" t="n">
        <f aca="false">SUM(Datos!H240:H255)</f>
        <v>45700</v>
      </c>
      <c r="C19" s="21" t="n">
        <f aca="false">COUNTA(Datos!H240:H255)</f>
        <v>16</v>
      </c>
      <c r="D19" s="1" t="n">
        <v>0</v>
      </c>
      <c r="E19" s="21" t="n">
        <f aca="false">SUM(C19+D19)</f>
        <v>16</v>
      </c>
      <c r="F19" s="21" t="s">
        <v>2329</v>
      </c>
      <c r="G19" s="3" t="n">
        <f aca="false">AVERAGE(Datos!H240:H255)</f>
        <v>2856.25</v>
      </c>
      <c r="I19" s="1" t="n">
        <v>0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0</v>
      </c>
    </row>
    <row r="20" customFormat="false" ht="14.25" hidden="true" customHeight="false" outlineLevel="0" collapsed="false">
      <c r="A20" s="48" t="n">
        <v>45901</v>
      </c>
      <c r="B20" s="3" t="n">
        <f aca="false">SUM(Datos!H256:H264)</f>
        <v>24670</v>
      </c>
      <c r="C20" s="21" t="n">
        <f aca="false">COUNTA(Datos!H256:H264)</f>
        <v>9</v>
      </c>
      <c r="D20" s="1" t="n">
        <v>4</v>
      </c>
      <c r="E20" s="21" t="n">
        <f aca="false">SUM(C20+D20)</f>
        <v>13</v>
      </c>
      <c r="F20" s="21" t="s">
        <v>2325</v>
      </c>
      <c r="G20" s="3" t="n">
        <f aca="false">AVERAGE(Datos!H256:H264)</f>
        <v>2741.11111111111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1</v>
      </c>
      <c r="Q20" s="1" t="n">
        <v>1</v>
      </c>
      <c r="R20" s="1" t="n">
        <v>1</v>
      </c>
      <c r="S20" s="1" t="n">
        <v>0</v>
      </c>
      <c r="T20" s="1" t="n">
        <v>1</v>
      </c>
    </row>
    <row r="21" customFormat="false" ht="14.25" hidden="true" customHeight="false" outlineLevel="0" collapsed="false">
      <c r="A21" s="48" t="n">
        <v>45902</v>
      </c>
      <c r="B21" s="3" t="n">
        <f aca="false">SUM(Datos!H265:H272)</f>
        <v>19558</v>
      </c>
      <c r="C21" s="21" t="n">
        <f aca="false">COUNTA(Datos!H265:H272)</f>
        <v>8</v>
      </c>
      <c r="D21" s="1" t="n">
        <v>1</v>
      </c>
      <c r="E21" s="21" t="n">
        <f aca="false">SUM(C21+D21)</f>
        <v>9</v>
      </c>
      <c r="F21" s="21" t="s">
        <v>2326</v>
      </c>
      <c r="G21" s="3" t="n">
        <f aca="false">AVERAGE(Datos!H265:H272)</f>
        <v>2444.75</v>
      </c>
      <c r="I21" s="1" t="n">
        <v>1</v>
      </c>
      <c r="J21" s="1" t="n">
        <v>1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</row>
    <row r="22" customFormat="false" ht="14.25" hidden="false" customHeight="false" outlineLevel="0" collapsed="false">
      <c r="A22" s="48" t="n">
        <v>45903</v>
      </c>
      <c r="B22" s="3" t="n">
        <f aca="false">SUM(Datos!H273:H280)</f>
        <v>14536</v>
      </c>
      <c r="C22" s="21" t="n">
        <f aca="false">COUNTA(Datos!H273:H280)</f>
        <v>8</v>
      </c>
      <c r="D22" s="1" t="n">
        <v>0</v>
      </c>
      <c r="E22" s="21" t="n">
        <f aca="false">SUM(C22+D22)</f>
        <v>8</v>
      </c>
      <c r="F22" s="21" t="s">
        <v>2327</v>
      </c>
      <c r="G22" s="3" t="n">
        <f aca="false">AVERAGE(Datos!H273:H280)</f>
        <v>1817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</row>
    <row r="23" customFormat="false" ht="14.25" hidden="true" customHeight="false" outlineLevel="0" collapsed="false">
      <c r="A23" s="48" t="n">
        <v>45904</v>
      </c>
      <c r="B23" s="3" t="n">
        <f aca="false">SUM(Datos!H281:H289)</f>
        <v>16510</v>
      </c>
      <c r="C23" s="21" t="n">
        <f aca="false">COUNTA(Datos!H281:H289)</f>
        <v>9</v>
      </c>
      <c r="D23" s="1" t="n">
        <v>2</v>
      </c>
      <c r="E23" s="21" t="n">
        <f aca="false">SUM(C23+D23)</f>
        <v>11</v>
      </c>
      <c r="F23" s="21" t="s">
        <v>2330</v>
      </c>
      <c r="G23" s="3" t="n">
        <f aca="false">AVERAGE(Datos!H281:H289)</f>
        <v>1834.44444444444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1</v>
      </c>
      <c r="S23" s="1" t="n">
        <v>1</v>
      </c>
      <c r="T23" s="1" t="n">
        <v>1</v>
      </c>
    </row>
    <row r="24" customFormat="false" ht="14.25" hidden="true" customHeight="false" outlineLevel="0" collapsed="false">
      <c r="A24" s="48" t="n">
        <v>45905</v>
      </c>
      <c r="B24" s="3" t="n">
        <f aca="false">SUM(Datos!H290:H297)</f>
        <v>27510</v>
      </c>
      <c r="C24" s="21" t="n">
        <f aca="false">COUNTA(Datos!H290:H297)</f>
        <v>8</v>
      </c>
      <c r="D24" s="1" t="n">
        <v>2</v>
      </c>
      <c r="E24" s="21" t="n">
        <f aca="false">SUM(C24+D24)</f>
        <v>10</v>
      </c>
      <c r="F24" s="21" t="s">
        <v>2324</v>
      </c>
      <c r="G24" s="3" t="n">
        <f aca="false">AVERAGE(Datos!H290:H297)</f>
        <v>3438.75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  <c r="Q24" s="1" t="n">
        <v>1</v>
      </c>
      <c r="R24" s="1" t="n">
        <v>1</v>
      </c>
      <c r="S24" s="1" t="n">
        <v>0</v>
      </c>
      <c r="T24" s="1" t="n">
        <v>1</v>
      </c>
    </row>
    <row r="25" customFormat="false" ht="14.25" hidden="true" customHeight="false" outlineLevel="0" collapsed="false">
      <c r="A25" s="48" t="n">
        <v>45906</v>
      </c>
      <c r="B25" s="3" t="n">
        <f aca="false">SUM(Datos!H298:H308)</f>
        <v>24060</v>
      </c>
      <c r="C25" s="21" t="n">
        <f aca="false">COUNTA(Datos!H298:H308)</f>
        <v>11</v>
      </c>
      <c r="D25" s="1" t="n">
        <v>1</v>
      </c>
      <c r="E25" s="21" t="n">
        <f aca="false">SUM(C25+D25)</f>
        <v>12</v>
      </c>
      <c r="F25" s="21" t="s">
        <v>2328</v>
      </c>
      <c r="G25" s="3" t="n">
        <f aca="false">AVERAGE(Datos!H298:H308)</f>
        <v>2187.27272727273</v>
      </c>
      <c r="I25" s="1" t="n">
        <v>1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</row>
    <row r="26" customFormat="false" ht="14.25" hidden="true" customHeight="false" outlineLevel="0" collapsed="false">
      <c r="A26" s="48" t="n">
        <v>45907</v>
      </c>
      <c r="B26" s="3" t="n">
        <f aca="false">SUM(Datos!H309:H311)</f>
        <v>7441</v>
      </c>
      <c r="C26" s="21" t="n">
        <f aca="false">COUNTA(Datos!H309:H311)</f>
        <v>3</v>
      </c>
      <c r="D26" s="1" t="n">
        <v>2</v>
      </c>
      <c r="E26" s="21" t="n">
        <f aca="false">SUM(C26+D26)</f>
        <v>5</v>
      </c>
      <c r="F26" s="21" t="s">
        <v>2329</v>
      </c>
      <c r="G26" s="3" t="n">
        <f aca="false">AVERAGE(Datos!H309:H311)</f>
        <v>2480.33333333333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1</v>
      </c>
    </row>
    <row r="27" customFormat="false" ht="14.25" hidden="true" customHeight="false" outlineLevel="0" collapsed="false">
      <c r="A27" s="48" t="n">
        <v>45908</v>
      </c>
      <c r="B27" s="3" t="n">
        <f aca="false">SUM(Datos!H312:H316)</f>
        <v>11320</v>
      </c>
      <c r="C27" s="21" t="n">
        <f aca="false">COUNTA(Datos!H312:H316)</f>
        <v>5</v>
      </c>
      <c r="D27" s="1" t="n">
        <v>1</v>
      </c>
      <c r="E27" s="21" t="n">
        <f aca="false">SUM(C27+D27)</f>
        <v>6</v>
      </c>
      <c r="F27" s="21" t="s">
        <v>2325</v>
      </c>
      <c r="G27" s="3" t="n">
        <f aca="false">AVERAGE(Datos!H312:H316)</f>
        <v>2264</v>
      </c>
      <c r="I27" s="1" t="n">
        <v>1</v>
      </c>
      <c r="J27" s="1" t="n">
        <v>1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</row>
    <row r="28" customFormat="false" ht="14.25" hidden="true" customHeight="false" outlineLevel="0" collapsed="false">
      <c r="A28" s="48" t="n">
        <v>45909</v>
      </c>
      <c r="B28" s="3" t="n">
        <f aca="false">SUM(Datos!H317:H322)</f>
        <v>12850</v>
      </c>
      <c r="C28" s="21" t="n">
        <f aca="false">COUNTA(Datos!H317:H322)</f>
        <v>6</v>
      </c>
      <c r="D28" s="1" t="n">
        <v>0</v>
      </c>
      <c r="E28" s="21" t="n">
        <f aca="false">SUM(C28+D28)</f>
        <v>6</v>
      </c>
      <c r="F28" s="21" t="s">
        <v>2326</v>
      </c>
      <c r="G28" s="3" t="n">
        <f aca="false">AVERAGE(Datos!H317:H322)</f>
        <v>2141.66666666667</v>
      </c>
      <c r="I28" s="1" t="n">
        <v>0</v>
      </c>
      <c r="J28" s="1" t="n">
        <v>0</v>
      </c>
      <c r="K28" s="1" t="n">
        <v>0</v>
      </c>
      <c r="L28" s="1" t="n">
        <v>1</v>
      </c>
      <c r="M28" s="1" t="n">
        <v>1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</row>
    <row r="29" customFormat="false" ht="14.25" hidden="false" customHeight="false" outlineLevel="0" collapsed="false">
      <c r="A29" s="48" t="n">
        <v>45910</v>
      </c>
      <c r="B29" s="3" t="n">
        <f aca="false">SUM(Datos!H323:H331)</f>
        <v>17690</v>
      </c>
      <c r="C29" s="21" t="n">
        <f aca="false">COUNTA(Datos!H323:H331)</f>
        <v>9</v>
      </c>
      <c r="D29" s="1" t="n">
        <v>1</v>
      </c>
      <c r="E29" s="21" t="n">
        <f aca="false">SUM(C29+D29)</f>
        <v>10</v>
      </c>
      <c r="F29" s="21" t="s">
        <v>2327</v>
      </c>
      <c r="G29" s="3" t="n">
        <f aca="false">AVERAGE(Datos!H323:H331)</f>
        <v>1965.55555555556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1</v>
      </c>
      <c r="S29" s="1" t="n">
        <v>1</v>
      </c>
      <c r="T29" s="1" t="n">
        <v>1</v>
      </c>
    </row>
    <row r="30" customFormat="false" ht="14.25" hidden="true" customHeight="false" outlineLevel="0" collapsed="false">
      <c r="A30" s="48" t="n">
        <v>45911</v>
      </c>
      <c r="B30" s="3" t="n">
        <f aca="false">SUM(Datos!H332:H338)</f>
        <v>18790</v>
      </c>
      <c r="C30" s="21" t="n">
        <f aca="false">COUNTA(Datos!H332:H338)</f>
        <v>7</v>
      </c>
      <c r="D30" s="1" t="n">
        <v>1</v>
      </c>
      <c r="E30" s="21" t="n">
        <f aca="false">SUM(C30+D30)</f>
        <v>8</v>
      </c>
      <c r="F30" s="21" t="s">
        <v>2330</v>
      </c>
      <c r="G30" s="3" t="n">
        <f aca="false">AVERAGE(Datos!H332:H338)</f>
        <v>2684.28571428571</v>
      </c>
      <c r="I30" s="1" t="n">
        <v>1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</row>
    <row r="31" customFormat="false" ht="14.25" hidden="true" customHeight="false" outlineLevel="0" collapsed="false">
      <c r="A31" s="48" t="s">
        <v>2331</v>
      </c>
      <c r="B31" s="3" t="n">
        <f aca="false">SUM(Datos!H339:H346)</f>
        <v>22681</v>
      </c>
      <c r="C31" s="21" t="n">
        <f aca="false">COUNTA(Datos!H339:H346)</f>
        <v>8</v>
      </c>
      <c r="D31" s="1" t="n">
        <v>5</v>
      </c>
      <c r="E31" s="21" t="n">
        <f aca="false">SUM(C31+D31)</f>
        <v>13</v>
      </c>
      <c r="F31" s="21" t="s">
        <v>2324</v>
      </c>
      <c r="G31" s="3" t="n">
        <f aca="false">AVERAGE(Datos!H339:H346)</f>
        <v>2835.125</v>
      </c>
      <c r="I31" s="1" t="n">
        <v>1</v>
      </c>
      <c r="J31" s="1" t="n">
        <v>1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</row>
    <row r="32" customFormat="false" ht="14.25" hidden="true" customHeight="false" outlineLevel="0" collapsed="false">
      <c r="A32" s="48" t="n">
        <v>45914</v>
      </c>
      <c r="B32" s="3" t="n">
        <f aca="false">SUM(Datos!H347:H359)</f>
        <v>32915</v>
      </c>
      <c r="C32" s="21" t="n">
        <f aca="false">COUNTA(Datos!H347:H359)</f>
        <v>13</v>
      </c>
      <c r="D32" s="1" t="n">
        <v>1</v>
      </c>
      <c r="E32" s="21" t="n">
        <f aca="false">SUM(C32+D32)</f>
        <v>14</v>
      </c>
      <c r="F32" s="21" t="s">
        <v>2329</v>
      </c>
      <c r="G32" s="3" t="n">
        <f aca="false">AVERAGE(Datos!H347:H359)</f>
        <v>2531.92307692308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0</v>
      </c>
      <c r="S32" s="1" t="n">
        <v>1</v>
      </c>
      <c r="T32" s="1" t="n">
        <v>0</v>
      </c>
    </row>
    <row r="33" customFormat="false" ht="14.25" hidden="true" customHeight="false" outlineLevel="0" collapsed="false">
      <c r="A33" s="48" t="n">
        <v>45915</v>
      </c>
      <c r="B33" s="3" t="n">
        <f aca="false">SUM(Datos!H361:H361)</f>
        <v>2580</v>
      </c>
      <c r="C33" s="21" t="n">
        <f aca="false">COUNTA(Datos!H361:H361)</f>
        <v>1</v>
      </c>
      <c r="D33" s="1" t="n">
        <v>0</v>
      </c>
      <c r="E33" s="21" t="n">
        <f aca="false">SUM(C33+D33)</f>
        <v>1</v>
      </c>
      <c r="F33" s="21" t="s">
        <v>2325</v>
      </c>
      <c r="G33" s="3" t="n">
        <f aca="false">AVERAGE(Datos!H361:H361)</f>
        <v>2580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</row>
    <row r="34" customFormat="false" ht="14.25" hidden="true" customHeight="false" outlineLevel="0" collapsed="false">
      <c r="A34" s="48" t="n">
        <v>45916</v>
      </c>
      <c r="B34" s="3" t="n">
        <f aca="false">SUM(Datos!H362:H374)</f>
        <v>23715</v>
      </c>
      <c r="C34" s="21" t="n">
        <f aca="false">COUNTA(Datos!H362:H374)</f>
        <v>13</v>
      </c>
      <c r="D34" s="1" t="n">
        <v>0</v>
      </c>
      <c r="E34" s="21" t="n">
        <f aca="false">SUM(C34+D34)</f>
        <v>13</v>
      </c>
      <c r="F34" s="21" t="s">
        <v>2326</v>
      </c>
      <c r="G34" s="3" t="n">
        <f aca="false">AVERAGE(Datos!H362:H374)</f>
        <v>1824.23076923077</v>
      </c>
      <c r="I34" s="1" t="n">
        <v>0</v>
      </c>
      <c r="J34" s="1" t="n">
        <v>0</v>
      </c>
      <c r="K34" s="1" t="n">
        <v>0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</row>
    <row r="35" customFormat="false" ht="14.25" hidden="false" customHeight="false" outlineLevel="0" collapsed="false">
      <c r="A35" s="48" t="n">
        <v>45917</v>
      </c>
      <c r="B35" s="3" t="n">
        <f aca="false">SUM(Datos!H375:H382)</f>
        <v>27001</v>
      </c>
      <c r="C35" s="21" t="n">
        <f aca="false">COUNTA(Datos!H375:H382)</f>
        <v>8</v>
      </c>
      <c r="D35" s="1" t="n">
        <v>1</v>
      </c>
      <c r="E35" s="21" t="n">
        <f aca="false">SUM(C35+D35)</f>
        <v>9</v>
      </c>
      <c r="F35" s="21" t="s">
        <v>2327</v>
      </c>
      <c r="G35" s="3" t="n">
        <f aca="false">AVERAGE(Datos!H375:H382)</f>
        <v>3375.125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1</v>
      </c>
      <c r="N35" s="1" t="n">
        <v>1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</row>
    <row r="36" customFormat="false" ht="14.25" hidden="true" customHeight="false" outlineLevel="0" collapsed="false">
      <c r="A36" s="48" t="n">
        <v>45918</v>
      </c>
      <c r="B36" s="3" t="n">
        <f aca="false">SUM(Datos!H383:H403)</f>
        <v>49730</v>
      </c>
      <c r="C36" s="21" t="n">
        <f aca="false">COUNTA(Datos!H383:H403)</f>
        <v>21</v>
      </c>
      <c r="D36" s="1" t="n">
        <v>4</v>
      </c>
      <c r="E36" s="21" t="n">
        <f aca="false">SUM(C36+D36)</f>
        <v>25</v>
      </c>
      <c r="F36" s="21" t="s">
        <v>2330</v>
      </c>
      <c r="G36" s="3" t="n">
        <f aca="false">AVERAGE(Datos!H351:H363)</f>
        <v>2400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0</v>
      </c>
    </row>
    <row r="37" customFormat="false" ht="14.25" hidden="true" customHeight="false" outlineLevel="0" collapsed="false">
      <c r="A37" s="48" t="n">
        <v>45919</v>
      </c>
      <c r="B37" s="3" t="n">
        <f aca="false">SUM(Datos!H404:H408)</f>
        <v>15679</v>
      </c>
      <c r="C37" s="21" t="n">
        <f aca="false">COUNTA(Datos!H404:H408)</f>
        <v>5</v>
      </c>
      <c r="D37" s="1" t="n">
        <v>2</v>
      </c>
      <c r="E37" s="21" t="n">
        <f aca="false">SUM(C37+D37)</f>
        <v>7</v>
      </c>
      <c r="F37" s="21" t="s">
        <v>2324</v>
      </c>
      <c r="G37" s="3" t="n">
        <f aca="false">AVERAGE(Datos!H404:H408)</f>
        <v>3135.8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1</v>
      </c>
      <c r="P37" s="1" t="n">
        <v>1</v>
      </c>
      <c r="Q37" s="1" t="n">
        <v>0</v>
      </c>
      <c r="R37" s="1" t="n">
        <v>0</v>
      </c>
      <c r="S37" s="1" t="n">
        <v>0</v>
      </c>
      <c r="T37" s="1" t="n">
        <v>0</v>
      </c>
    </row>
    <row r="38" customFormat="false" ht="14.25" hidden="true" customHeight="false" outlineLevel="0" collapsed="false">
      <c r="A38" s="48" t="n">
        <v>45920</v>
      </c>
      <c r="B38" s="3" t="n">
        <f aca="false">SUM(Datos!H409:H420)</f>
        <v>45960</v>
      </c>
      <c r="C38" s="21" t="n">
        <f aca="false">COUNTA(Datos!H409:H420)</f>
        <v>12</v>
      </c>
      <c r="D38" s="1" t="n">
        <v>2</v>
      </c>
      <c r="E38" s="21" t="n">
        <f aca="false">SUM(C38+D38)</f>
        <v>14</v>
      </c>
      <c r="F38" s="21" t="s">
        <v>2328</v>
      </c>
      <c r="G38" s="3" t="n">
        <f aca="false">AVERAGE(Datos!H409:H420)</f>
        <v>3830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1</v>
      </c>
      <c r="R38" s="1" t="n">
        <v>1</v>
      </c>
      <c r="S38" s="1" t="n">
        <v>1</v>
      </c>
      <c r="T38" s="1" t="n">
        <v>1</v>
      </c>
    </row>
    <row r="39" customFormat="false" ht="14.25" hidden="false" customHeight="false" outlineLevel="0" collapsed="false">
      <c r="A39" s="48" t="n">
        <v>45924</v>
      </c>
      <c r="B39" s="3" t="n">
        <f aca="false">SUM(Datos!H421:H433)</f>
        <v>32670</v>
      </c>
      <c r="C39" s="21" t="n">
        <f aca="false">COUNTA(Datos!H421:H433)</f>
        <v>13</v>
      </c>
      <c r="D39" s="1" t="n">
        <v>4</v>
      </c>
      <c r="E39" s="21" t="n">
        <f aca="false">SUM(C39+D39)</f>
        <v>17</v>
      </c>
      <c r="F39" s="21" t="s">
        <v>2327</v>
      </c>
      <c r="G39" s="3" t="n">
        <f aca="false">AVERAGE(Datos!H421:H433)</f>
        <v>2513.07692307692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1</v>
      </c>
      <c r="R39" s="1" t="n">
        <v>1</v>
      </c>
      <c r="S39" s="1" t="n">
        <v>1</v>
      </c>
      <c r="T39" s="1" t="n">
        <v>1</v>
      </c>
    </row>
    <row r="40" customFormat="false" ht="14.25" hidden="true" customHeight="false" outlineLevel="0" collapsed="false">
      <c r="A40" s="48" t="n">
        <v>45926</v>
      </c>
      <c r="B40" s="3" t="n">
        <f aca="false">SUM(Datos!H434:H439)</f>
        <v>9840</v>
      </c>
      <c r="C40" s="21" t="n">
        <f aca="false">COUNTA(Datos!H434:H439)</f>
        <v>5</v>
      </c>
      <c r="D40" s="1" t="n">
        <v>0</v>
      </c>
      <c r="E40" s="21" t="n">
        <f aca="false">SUM(C40+D40)</f>
        <v>5</v>
      </c>
      <c r="F40" s="21" t="str">
        <f aca="false">TEXT(A40,"DDDD")</f>
        <v>viernes</v>
      </c>
      <c r="G40" s="3" t="n">
        <f aca="false">AVERAGE(Datos!H434:H439)</f>
        <v>1968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0</v>
      </c>
    </row>
    <row r="41" customFormat="false" ht="14.25" hidden="true" customHeight="false" outlineLevel="0" collapsed="false">
      <c r="A41" s="48" t="n">
        <v>45928</v>
      </c>
      <c r="B41" s="3" t="n">
        <f aca="false">SUM(Datos!H440:H449)</f>
        <v>35850</v>
      </c>
      <c r="C41" s="21" t="n">
        <f aca="false">COUNTA(Datos!H440:H449)</f>
        <v>10</v>
      </c>
      <c r="D41" s="1" t="n">
        <v>2</v>
      </c>
      <c r="E41" s="21" t="n">
        <f aca="false">SUM(C41+D41)</f>
        <v>12</v>
      </c>
      <c r="F41" s="21" t="str">
        <f aca="false">TEXT(A41,"DDDD")</f>
        <v>domingo</v>
      </c>
      <c r="G41" s="3" t="n">
        <f aca="false">AVERAGE(Datos!H440:H449)</f>
        <v>3585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  <c r="T41" s="1" t="n">
        <v>0</v>
      </c>
    </row>
    <row r="42" customFormat="false" ht="14.25" hidden="true" customHeight="false" outlineLevel="0" collapsed="false">
      <c r="A42" s="48" t="n">
        <v>45929</v>
      </c>
      <c r="B42" s="3" t="n">
        <f aca="false">SUM(Datos!H450:H460)</f>
        <v>21135</v>
      </c>
      <c r="C42" s="21" t="n">
        <f aca="false">COUNTA(Datos!H450:H460)</f>
        <v>11</v>
      </c>
      <c r="D42" s="1" t="n">
        <v>1</v>
      </c>
      <c r="E42" s="21" t="n">
        <f aca="false">SUM(C42+D42)</f>
        <v>12</v>
      </c>
      <c r="F42" s="21" t="str">
        <f aca="false">TEXT(A42,"DDDD")</f>
        <v>lunes</v>
      </c>
      <c r="G42" s="3" t="n">
        <f aca="false">AVERAGE(Datos!H450:H460)</f>
        <v>1921.36363636364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1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</row>
    <row r="43" customFormat="false" ht="14.25" hidden="false" customHeight="false" outlineLevel="0" collapsed="false">
      <c r="A43" s="48" t="n">
        <v>45931</v>
      </c>
      <c r="B43" s="3" t="n">
        <f aca="false">SUM(Datos!H461:H466)</f>
        <v>12730</v>
      </c>
      <c r="C43" s="21" t="n">
        <f aca="false">COUNTA(Datos!H461:H466)</f>
        <v>6</v>
      </c>
      <c r="D43" s="1" t="n">
        <v>1</v>
      </c>
      <c r="E43" s="21" t="n">
        <f aca="false">SUM(C43+D43)</f>
        <v>7</v>
      </c>
      <c r="F43" s="21" t="s">
        <v>2327</v>
      </c>
      <c r="G43" s="3" t="n">
        <f aca="false">AVERAGE(Datos!H461:H466)</f>
        <v>2121.66666666667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</v>
      </c>
      <c r="N43" s="1" t="n">
        <v>1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</row>
    <row r="44" customFormat="false" ht="14.25" hidden="true" customHeight="false" outlineLevel="0" collapsed="false">
      <c r="A44" s="48" t="n">
        <v>45935</v>
      </c>
      <c r="B44" s="3" t="n">
        <f aca="false">SUM(Datos!H467:H486)</f>
        <v>58551</v>
      </c>
      <c r="C44" s="21" t="n">
        <f aca="false">COUNTA(Datos!H467:H486)</f>
        <v>20</v>
      </c>
      <c r="D44" s="1" t="n">
        <v>4</v>
      </c>
      <c r="E44" s="21" t="n">
        <f aca="false">SUM(C44+D44)</f>
        <v>24</v>
      </c>
      <c r="F44" s="21" t="str">
        <f aca="false">TEXT(A44,"DDDD")</f>
        <v>domingo</v>
      </c>
      <c r="G44" s="3" t="n">
        <f aca="false">AVERAGE(Datos!H467:H486)</f>
        <v>2927.55</v>
      </c>
      <c r="I44" s="1" t="n">
        <v>0</v>
      </c>
      <c r="J44" s="1" t="n">
        <v>0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0</v>
      </c>
      <c r="P44" s="1" t="n">
        <v>1</v>
      </c>
      <c r="Q44" s="1" t="n">
        <v>1</v>
      </c>
      <c r="R44" s="1" t="n">
        <v>1</v>
      </c>
      <c r="S44" s="1" t="n">
        <v>1</v>
      </c>
      <c r="T44" s="1" t="n">
        <v>1</v>
      </c>
    </row>
    <row r="45" customFormat="false" ht="14.25" hidden="true" customHeight="false" outlineLevel="0" collapsed="false">
      <c r="A45" s="48" t="n">
        <v>45936</v>
      </c>
      <c r="B45" s="3" t="n">
        <f aca="false">SUM(Datos!H487:H499)</f>
        <v>33190</v>
      </c>
      <c r="C45" s="21" t="n">
        <f aca="false">COUNTA(Datos!H487:H499)</f>
        <v>13</v>
      </c>
      <c r="D45" s="1" t="n">
        <v>2</v>
      </c>
      <c r="E45" s="21" t="n">
        <f aca="false">SUM(C45+D45)</f>
        <v>15</v>
      </c>
      <c r="F45" s="21" t="str">
        <f aca="false">TEXT(A45,"DDDD")</f>
        <v>lunes</v>
      </c>
      <c r="G45" s="3" t="n">
        <f aca="false">AVERAGE(Datos!H487:H499)</f>
        <v>2553.07692307692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1</v>
      </c>
      <c r="R45" s="1" t="n">
        <v>1</v>
      </c>
      <c r="S45" s="1" t="n">
        <v>1</v>
      </c>
      <c r="T45" s="1" t="n">
        <v>1</v>
      </c>
    </row>
    <row r="46" customFormat="false" ht="14.25" hidden="true" customHeight="false" outlineLevel="0" collapsed="false">
      <c r="A46" s="48" t="n">
        <v>45937</v>
      </c>
      <c r="B46" s="3" t="n">
        <f aca="false">SUM(Datos!H500:H503)</f>
        <v>10450</v>
      </c>
      <c r="C46" s="21" t="n">
        <f aca="false">COUNTA(Datos!H500:H503)</f>
        <v>4</v>
      </c>
      <c r="D46" s="1" t="n">
        <v>1</v>
      </c>
      <c r="E46" s="21" t="n">
        <f aca="false">SUM(C46+D46)</f>
        <v>5</v>
      </c>
      <c r="F46" s="21" t="str">
        <f aca="false">TEXT(A46,"DDDD")</f>
        <v>martes</v>
      </c>
      <c r="G46" s="3" t="n">
        <f aca="false">AVERAGE(Datos!H500:H503)</f>
        <v>2612.5</v>
      </c>
      <c r="I46" s="1" t="n">
        <v>1</v>
      </c>
      <c r="J46" s="1" t="n">
        <v>1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</row>
    <row r="47" customFormat="false" ht="14.25" hidden="true" customHeight="false" outlineLevel="0" collapsed="false">
      <c r="A47" s="48" t="n">
        <v>45939</v>
      </c>
      <c r="B47" s="3" t="n">
        <f aca="false">SUM(Datos!H504:H513)</f>
        <v>24290</v>
      </c>
      <c r="C47" s="21" t="n">
        <f aca="false">COUNTA(Datos!H504:H513)</f>
        <v>10</v>
      </c>
      <c r="D47" s="1" t="n">
        <v>3</v>
      </c>
      <c r="E47" s="21" t="n">
        <f aca="false">SUM(C47+D47)</f>
        <v>13</v>
      </c>
      <c r="F47" s="21" t="str">
        <f aca="false">TEXT(A47,"DDDD")</f>
        <v>jueves</v>
      </c>
      <c r="G47" s="3" t="n">
        <f aca="false">AVERAGE(Datos!H503:H504)</f>
        <v>3900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1</v>
      </c>
      <c r="R47" s="1" t="n">
        <v>1</v>
      </c>
      <c r="S47" s="1" t="n">
        <v>1</v>
      </c>
      <c r="T47" s="1" t="n">
        <v>1</v>
      </c>
    </row>
    <row r="48" customFormat="false" ht="14.25" hidden="true" customHeight="false" outlineLevel="0" collapsed="false">
      <c r="A48" s="48" t="n">
        <v>45940</v>
      </c>
      <c r="B48" s="3" t="n">
        <f aca="false">SUM(Datos!H514:H531)</f>
        <v>60680</v>
      </c>
      <c r="C48" s="21" t="n">
        <f aca="false">COUNTA(Datos!H514:H531)</f>
        <v>18</v>
      </c>
      <c r="D48" s="1" t="n">
        <v>6</v>
      </c>
      <c r="E48" s="21" t="n">
        <f aca="false">SUM(C48+D48)</f>
        <v>24</v>
      </c>
      <c r="F48" s="21" t="str">
        <f aca="false">TEXT(A48,"DDDD")</f>
        <v>viernes</v>
      </c>
      <c r="G48" s="3" t="n">
        <f aca="false">AVERAGE(Datos!H514:H531)</f>
        <v>3371.11111111111</v>
      </c>
      <c r="I48" s="1" t="n">
        <v>1</v>
      </c>
      <c r="J48" s="1" t="n">
        <v>1</v>
      </c>
      <c r="K48" s="1" t="n">
        <v>1</v>
      </c>
      <c r="L48" s="1" t="n">
        <v>1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1</v>
      </c>
      <c r="S48" s="1" t="n">
        <v>1</v>
      </c>
      <c r="T48" s="1" t="n">
        <v>1</v>
      </c>
    </row>
    <row r="49" customFormat="false" ht="14.25" hidden="true" customHeight="false" outlineLevel="0" collapsed="false">
      <c r="A49" s="48" t="n">
        <v>45941</v>
      </c>
      <c r="B49" s="3" t="n">
        <f aca="false">SUM(Datos!H532:H555)</f>
        <v>78329</v>
      </c>
      <c r="C49" s="21" t="n">
        <f aca="false">COUNTA(Datos!H532:H555)</f>
        <v>24</v>
      </c>
      <c r="D49" s="1" t="n">
        <v>2</v>
      </c>
      <c r="E49" s="21" t="n">
        <f aca="false">SUM(C49+D49)</f>
        <v>26</v>
      </c>
      <c r="F49" s="21" t="str">
        <f aca="false">TEXT(A49,"DDDD")</f>
        <v>sábado</v>
      </c>
      <c r="G49" s="3" t="n">
        <f aca="false">AVERAGE(Datos!H532:H555)</f>
        <v>3263.70833333333</v>
      </c>
      <c r="I49" s="1" t="n">
        <v>1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</v>
      </c>
      <c r="S49" s="1" t="n">
        <v>1</v>
      </c>
      <c r="T49" s="1" t="n">
        <v>1</v>
      </c>
    </row>
    <row r="50" customFormat="false" ht="14.25" hidden="true" customHeight="false" outlineLevel="0" collapsed="false">
      <c r="A50" s="48" t="n">
        <v>45942</v>
      </c>
      <c r="B50" s="3" t="n">
        <f aca="false">SUM(Datos!H556:H579)</f>
        <v>80170</v>
      </c>
      <c r="C50" s="21" t="n">
        <f aca="false">COUNTA(Datos!H555:H579)</f>
        <v>25</v>
      </c>
      <c r="D50" s="1" t="n">
        <v>7</v>
      </c>
      <c r="E50" s="21" t="n">
        <f aca="false">SUM(C50+D50)</f>
        <v>32</v>
      </c>
      <c r="F50" s="21" t="str">
        <f aca="false">TEXT(A50,"DDDD")</f>
        <v>domingo</v>
      </c>
      <c r="G50" s="3" t="n">
        <f aca="false">AVERAGE(Datos!H556:H579)</f>
        <v>3340.41666666667</v>
      </c>
      <c r="I50" s="1" t="n">
        <v>1</v>
      </c>
      <c r="J50" s="1" t="n">
        <v>1</v>
      </c>
      <c r="K50" s="1" t="n">
        <v>0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1</v>
      </c>
      <c r="Q50" s="1" t="n">
        <v>1</v>
      </c>
      <c r="R50" s="1" t="n">
        <v>1</v>
      </c>
      <c r="S50" s="1" t="n">
        <v>1</v>
      </c>
      <c r="T50" s="1" t="n">
        <v>1</v>
      </c>
    </row>
    <row r="51" customFormat="false" ht="14.25" hidden="true" customHeight="false" outlineLevel="0" collapsed="false">
      <c r="A51" s="48" t="n">
        <v>45957</v>
      </c>
      <c r="B51" s="3" t="n">
        <f aca="false">SUM(Datos!H580:H588)</f>
        <v>29200</v>
      </c>
      <c r="C51" s="21" t="n">
        <f aca="false">COUNTA(Datos!H580:H588)</f>
        <v>9</v>
      </c>
      <c r="D51" s="1" t="n">
        <v>5</v>
      </c>
      <c r="E51" s="21" t="n">
        <f aca="false">SUM(C51+D51)</f>
        <v>14</v>
      </c>
      <c r="F51" s="21" t="str">
        <f aca="false">TEXT(A51,"DDDD")</f>
        <v>lunes</v>
      </c>
      <c r="G51" s="3" t="n">
        <f aca="false">AVERAGE(Datos!H580:H588)</f>
        <v>3244.44444444444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1</v>
      </c>
      <c r="R51" s="1" t="n">
        <v>1</v>
      </c>
      <c r="S51" s="1" t="n">
        <v>1</v>
      </c>
      <c r="T51" s="1" t="n">
        <v>1</v>
      </c>
    </row>
    <row r="52" customFormat="false" ht="14.25" hidden="true" customHeight="false" outlineLevel="0" collapsed="false">
      <c r="A52" s="48" t="n">
        <v>45958</v>
      </c>
      <c r="B52" s="3" t="n">
        <f aca="false">SUM(Datos!H589:H600)</f>
        <v>31243</v>
      </c>
      <c r="C52" s="21" t="n">
        <f aca="false">COUNTA(Datos!H589:H600)</f>
        <v>12</v>
      </c>
      <c r="D52" s="1" t="n">
        <v>3</v>
      </c>
      <c r="E52" s="21" t="n">
        <f aca="false">SUM(C52+D52)</f>
        <v>15</v>
      </c>
      <c r="F52" s="21" t="str">
        <f aca="false">TEXT(A52,"DDDD")</f>
        <v>martes</v>
      </c>
      <c r="G52" s="3" t="n">
        <f aca="false">AVERAGE(Datos!H589:H600)</f>
        <v>2603.58333333333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1</v>
      </c>
      <c r="R52" s="1" t="n">
        <v>1</v>
      </c>
      <c r="S52" s="1" t="n">
        <v>1</v>
      </c>
      <c r="T52" s="1" t="n">
        <v>1</v>
      </c>
    </row>
    <row r="53" customFormat="false" ht="14.25" hidden="false" customHeight="false" outlineLevel="0" collapsed="false">
      <c r="A53" s="48" t="n">
        <v>45959</v>
      </c>
      <c r="B53" s="3" t="n">
        <f aca="false">SUM(Datos!H601:H611)</f>
        <v>25635</v>
      </c>
      <c r="C53" s="21" t="n">
        <f aca="false">COUNTA(Datos!H601:H611)</f>
        <v>11</v>
      </c>
      <c r="D53" s="1" t="n">
        <v>4</v>
      </c>
      <c r="E53" s="21" t="n">
        <f aca="false">SUM(C53+D53)</f>
        <v>15</v>
      </c>
      <c r="F53" s="21" t="s">
        <v>2327</v>
      </c>
      <c r="G53" s="3" t="n">
        <f aca="false">AVERAGE(Datos!H601:H611)</f>
        <v>2330.45454545455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1</v>
      </c>
      <c r="P53" s="1" t="n">
        <v>0</v>
      </c>
      <c r="Q53" s="1" t="n">
        <v>0</v>
      </c>
      <c r="R53" s="1" t="n">
        <v>1</v>
      </c>
      <c r="S53" s="1" t="n">
        <v>1</v>
      </c>
      <c r="T53" s="1" t="n">
        <v>1</v>
      </c>
    </row>
    <row r="54" customFormat="false" ht="14.25" hidden="true" customHeight="false" outlineLevel="0" collapsed="false">
      <c r="A54" s="48" t="n">
        <v>45960</v>
      </c>
      <c r="B54" s="3" t="n">
        <f aca="false">SUM(Datos!H612:H618)</f>
        <v>22960</v>
      </c>
      <c r="C54" s="21" t="n">
        <f aca="false">COUNTA(Datos!H612:H618)</f>
        <v>7</v>
      </c>
      <c r="D54" s="1" t="n">
        <v>2</v>
      </c>
      <c r="E54" s="21" t="n">
        <f aca="false">SUM(C54+D54)</f>
        <v>9</v>
      </c>
      <c r="F54" s="21" t="str">
        <f aca="false">TEXT(A54,"DDDD")</f>
        <v>jueves</v>
      </c>
      <c r="G54" s="3" t="n">
        <f aca="false">AVERAGE(Datos!H612:H618)</f>
        <v>3280</v>
      </c>
    </row>
    <row r="55" customFormat="false" ht="14.25" hidden="true" customHeight="false" outlineLevel="0" collapsed="false">
      <c r="A55" s="48" t="n">
        <v>45971</v>
      </c>
      <c r="B55" s="3" t="n">
        <f aca="false">SUM(Datos!H619:H630)</f>
        <v>30480</v>
      </c>
      <c r="C55" s="21" t="n">
        <f aca="false">COUNTA(Datos!H619:H630)</f>
        <v>12</v>
      </c>
      <c r="D55" s="1" t="n">
        <v>0</v>
      </c>
      <c r="E55" s="21" t="n">
        <f aca="false">SUM(C55+D55)</f>
        <v>12</v>
      </c>
      <c r="F55" s="21" t="str">
        <f aca="false">TEXT(A55,"DDDD")</f>
        <v>lunes</v>
      </c>
      <c r="G55" s="3" t="n">
        <f aca="false">AVERAGE(Datos!H619:H630)</f>
        <v>2540</v>
      </c>
    </row>
    <row r="56" customFormat="false" ht="14.25" hidden="true" customHeight="false" outlineLevel="0" collapsed="false">
      <c r="A56" s="48" t="n">
        <v>45972</v>
      </c>
      <c r="B56" s="3" t="n">
        <f aca="false">SUM(Datos!H631:H645)</f>
        <v>31561</v>
      </c>
      <c r="C56" s="21" t="n">
        <f aca="false">COUNTA(Datos!H631:H6342)</f>
        <v>830</v>
      </c>
      <c r="D56" s="1" t="n">
        <v>1</v>
      </c>
      <c r="E56" s="21" t="n">
        <f aca="false">SUM(C56+D56)</f>
        <v>831</v>
      </c>
      <c r="F56" s="21" t="str">
        <f aca="false">TEXT(A56,"DDDD")</f>
        <v>martes</v>
      </c>
      <c r="G56" s="3" t="n">
        <f aca="false">AVERAGE(Datos!H631:H645)</f>
        <v>2104.06666666667</v>
      </c>
    </row>
    <row r="57" customFormat="false" ht="14.25" hidden="false" customHeight="false" outlineLevel="0" collapsed="false">
      <c r="A57" s="48" t="n">
        <v>45973</v>
      </c>
      <c r="B57" s="3" t="n">
        <f aca="false">SUM(Datos!H646:H653)</f>
        <v>21390</v>
      </c>
      <c r="C57" s="21" t="n">
        <f aca="false">COUNTA(Datos!H646:H653)</f>
        <v>8</v>
      </c>
      <c r="D57" s="1" t="n">
        <v>3</v>
      </c>
      <c r="E57" s="21" t="n">
        <f aca="false">SUM(C57+D57)</f>
        <v>11</v>
      </c>
      <c r="F57" s="21" t="s">
        <v>2327</v>
      </c>
      <c r="G57" s="3" t="n">
        <f aca="false">AVERAGE(Datos!H646:H653)</f>
        <v>2673.75</v>
      </c>
    </row>
    <row r="58" customFormat="false" ht="14.25" hidden="true" customHeight="false" outlineLevel="0" collapsed="false">
      <c r="A58" s="48" t="n">
        <v>45974</v>
      </c>
      <c r="B58" s="3" t="n">
        <f aca="false">SUM(Datos!H654:H674)</f>
        <v>53570</v>
      </c>
      <c r="C58" s="21" t="n">
        <f aca="false">COUNTA(Datos!H654:H674)</f>
        <v>21</v>
      </c>
      <c r="D58" s="1" t="n">
        <v>3</v>
      </c>
      <c r="E58" s="21" t="n">
        <f aca="false">SUM(C58+D58)</f>
        <v>24</v>
      </c>
      <c r="F58" s="21" t="str">
        <f aca="false">TEXT(A58,"DDDD")</f>
        <v>jueves</v>
      </c>
      <c r="G58" s="3" t="n">
        <f aca="false">AVERAGE(Datos!H654:H674)</f>
        <v>2550.95238095238</v>
      </c>
    </row>
    <row r="59" customFormat="false" ht="14.25" hidden="true" customHeight="false" outlineLevel="0" collapsed="false">
      <c r="A59" s="48" t="n">
        <v>45978</v>
      </c>
      <c r="B59" s="3" t="n">
        <f aca="false">SUM(Datos!H646:H659)</f>
        <v>35400</v>
      </c>
      <c r="C59" s="21" t="n">
        <f aca="false">COUNTA(Datos!H646:H659)</f>
        <v>14</v>
      </c>
      <c r="D59" s="1" t="n">
        <v>1</v>
      </c>
      <c r="E59" s="21" t="n">
        <f aca="false">SUM(C59+D59)</f>
        <v>15</v>
      </c>
      <c r="F59" s="21" t="str">
        <f aca="false">TEXT(A59,"DDDD")</f>
        <v>lunes</v>
      </c>
      <c r="G59" s="3" t="n">
        <f aca="false">AVERAGE(Datos!H620:H631)</f>
        <v>2509.16666666667</v>
      </c>
    </row>
    <row r="60" customFormat="false" ht="14.25" hidden="true" customHeight="false" outlineLevel="0" collapsed="false">
      <c r="A60" s="48" t="n">
        <v>45979</v>
      </c>
      <c r="B60" s="3" t="n">
        <f aca="false">SUM(Datos!H660:H664)</f>
        <v>14430</v>
      </c>
      <c r="C60" s="21" t="n">
        <f aca="false">COUNTA(Datos!H660:H664)</f>
        <v>5</v>
      </c>
      <c r="D60" s="1" t="n">
        <v>2</v>
      </c>
      <c r="E60" s="21" t="n">
        <f aca="false">SUM(C60+D60)</f>
        <v>7</v>
      </c>
      <c r="F60" s="21" t="str">
        <f aca="false">TEXT(A60,"DDDD")</f>
        <v>martes</v>
      </c>
      <c r="G60" s="3" t="n">
        <f aca="false">AVERAGE(Datos!H660:H664)</f>
        <v>2886</v>
      </c>
    </row>
    <row r="61" customFormat="false" ht="14.25" hidden="false" customHeight="false" outlineLevel="0" collapsed="false">
      <c r="A61" s="48" t="n">
        <v>45980</v>
      </c>
      <c r="B61" s="3" t="n">
        <f aca="false">SUM(Datos!H665:H686)</f>
        <v>51500</v>
      </c>
      <c r="C61" s="21" t="n">
        <f aca="false">COUNTA(Datos!H665:H686)</f>
        <v>22</v>
      </c>
      <c r="D61" s="1" t="n">
        <v>3</v>
      </c>
      <c r="E61" s="21" t="n">
        <f aca="false">SUM(C61+D61)</f>
        <v>25</v>
      </c>
      <c r="F61" s="21" t="s">
        <v>2327</v>
      </c>
      <c r="G61" s="3" t="n">
        <f aca="false">AVERAGE(Datos!H665:H686)</f>
        <v>2340.90909090909</v>
      </c>
    </row>
    <row r="62" customFormat="false" ht="14.25" hidden="true" customHeight="false" outlineLevel="0" collapsed="false">
      <c r="A62" s="48" t="n">
        <v>45986</v>
      </c>
      <c r="B62" s="3" t="n">
        <f aca="false">SUM(Datos!H716:H723)</f>
        <v>17020</v>
      </c>
      <c r="C62" s="21" t="n">
        <f aca="false">COUNTA(Datos!H716:H723)</f>
        <v>8</v>
      </c>
      <c r="D62" s="1" t="n">
        <v>1</v>
      </c>
      <c r="E62" s="21" t="n">
        <f aca="false">SUM(C62+D62)</f>
        <v>9</v>
      </c>
      <c r="F62" s="21" t="str">
        <f aca="false">TEXT(A62,"DDDD")</f>
        <v>martes</v>
      </c>
      <c r="G62" s="3" t="n">
        <f aca="false">AVERAGE(Datos!H716:H723)</f>
        <v>2127.5</v>
      </c>
    </row>
    <row r="63" customFormat="false" ht="14.25" hidden="true" customHeight="false" outlineLevel="0" collapsed="false">
      <c r="A63" s="48" t="n">
        <v>45989</v>
      </c>
      <c r="B63" s="3" t="n">
        <f aca="false">SUM(Datos!H724:H730)</f>
        <v>21440</v>
      </c>
      <c r="C63" s="21" t="n">
        <f aca="false">COUNTA(Datos!H724:H730)</f>
        <v>7</v>
      </c>
      <c r="D63" s="1" t="n">
        <v>1</v>
      </c>
      <c r="E63" s="21" t="n">
        <f aca="false">SUM(C63+D63)</f>
        <v>8</v>
      </c>
      <c r="F63" s="21" t="str">
        <f aca="false">TEXT(A63,"DDDD")</f>
        <v>viernes</v>
      </c>
      <c r="G63" s="3" t="n">
        <f aca="false">AVERAGE(Datos!H724:H730)</f>
        <v>3062.85714285714</v>
      </c>
    </row>
    <row r="64" customFormat="false" ht="14.25" hidden="true" customHeight="false" outlineLevel="0" collapsed="false">
      <c r="A64" s="48" t="n">
        <v>45990</v>
      </c>
      <c r="B64" s="3" t="n">
        <f aca="false">SUM(Datos!H731:H751)</f>
        <v>74729.4</v>
      </c>
      <c r="C64" s="21" t="n">
        <f aca="false">COUNTA(Datos!H731:H751)</f>
        <v>21</v>
      </c>
      <c r="D64" s="1" t="n">
        <v>2</v>
      </c>
      <c r="E64" s="21" t="n">
        <f aca="false">SUM(C64+D64)</f>
        <v>23</v>
      </c>
      <c r="F64" s="21" t="str">
        <f aca="false">TEXT(A64,"DDDD")</f>
        <v>sábado</v>
      </c>
      <c r="G64" s="3" t="n">
        <f aca="false">AVERAGE(Datos!H731:H751)</f>
        <v>3558.54285714286</v>
      </c>
    </row>
    <row r="65" customFormat="false" ht="14.25" hidden="true" customHeight="false" outlineLevel="0" collapsed="false">
      <c r="A65" s="48" t="n">
        <v>45991</v>
      </c>
      <c r="B65" s="3" t="n">
        <f aca="false">SUM(Datos!H752:H759)</f>
        <v>17733</v>
      </c>
      <c r="C65" s="21" t="n">
        <f aca="false">COUNTA(Datos!H752:H759)</f>
        <v>8</v>
      </c>
      <c r="D65" s="1" t="n">
        <v>2</v>
      </c>
      <c r="E65" s="21" t="n">
        <f aca="false">SUM(C65+D65)</f>
        <v>10</v>
      </c>
      <c r="F65" s="21" t="str">
        <f aca="false">TEXT(A65,"DDDD")</f>
        <v>domingo</v>
      </c>
      <c r="G65" s="3" t="n">
        <f aca="false">AVERAGE(Datos!H752:H759)</f>
        <v>2216.625</v>
      </c>
    </row>
    <row r="66" customFormat="false" ht="14.25" hidden="false" customHeight="false" outlineLevel="0" collapsed="false">
      <c r="A66" s="48" t="n">
        <v>45994</v>
      </c>
      <c r="B66" s="3" t="n">
        <f aca="false">SUM(Datos!H760:H762)</f>
        <v>6540</v>
      </c>
      <c r="C66" s="21" t="n">
        <f aca="false">COUNTA(Datos!H760:H762)</f>
        <v>3</v>
      </c>
      <c r="D66" s="1" t="n">
        <v>1</v>
      </c>
      <c r="E66" s="21" t="n">
        <f aca="false">SUM(C66+D66)</f>
        <v>4</v>
      </c>
      <c r="F66" s="21" t="s">
        <v>2327</v>
      </c>
      <c r="G66" s="3" t="n">
        <f aca="false">AVERAGE(Datos!H760:H762)</f>
        <v>2180</v>
      </c>
    </row>
    <row r="67" customFormat="false" ht="14.25" hidden="true" customHeight="false" outlineLevel="0" collapsed="false">
      <c r="A67" s="48" t="n">
        <v>45995</v>
      </c>
      <c r="B67" s="3" t="n">
        <f aca="false">SUM(Datos!H763:H774)</f>
        <v>33103.6</v>
      </c>
      <c r="C67" s="21" t="n">
        <f aca="false">COUNTA(Datos!H763:H774)</f>
        <v>12</v>
      </c>
      <c r="D67" s="1" t="n">
        <v>2</v>
      </c>
      <c r="E67" s="21" t="n">
        <f aca="false">SUM(C67+D67)</f>
        <v>14</v>
      </c>
      <c r="F67" s="21" t="str">
        <f aca="false">TEXT(A67,"DDDD")</f>
        <v>jueves</v>
      </c>
      <c r="G67" s="3" t="n">
        <f aca="false">AVERAGE(Datos!H763:H774)</f>
        <v>2758.63333333333</v>
      </c>
    </row>
    <row r="68" customFormat="false" ht="14.25" hidden="true" customHeight="false" outlineLevel="0" collapsed="false">
      <c r="A68" s="48" t="n">
        <v>46000</v>
      </c>
      <c r="B68" s="3" t="n">
        <f aca="false">SUM(Datos!H775:H780)</f>
        <v>13503.6</v>
      </c>
      <c r="C68" s="21" t="n">
        <f aca="false">COUNTA(Datos!H775:H780)</f>
        <v>6</v>
      </c>
      <c r="D68" s="1" t="n">
        <v>1</v>
      </c>
      <c r="E68" s="21" t="n">
        <f aca="false">SUM(C68+D68)</f>
        <v>7</v>
      </c>
      <c r="F68" s="21" t="str">
        <f aca="false">TEXT(A68,"DDDD")</f>
        <v>martes</v>
      </c>
      <c r="G68" s="3" t="n">
        <f aca="false">AVERAGE(Datos!H775:H780)</f>
        <v>2250.6</v>
      </c>
    </row>
    <row r="69" customFormat="false" ht="14.25" hidden="true" customHeight="false" outlineLevel="0" collapsed="false">
      <c r="A69" s="48" t="n">
        <v>46003</v>
      </c>
      <c r="B69" s="3" t="n">
        <f aca="false">SUM(Datos!H695:H714)</f>
        <v>48110</v>
      </c>
      <c r="C69" s="21" t="n">
        <f aca="false">COUNTA(Datos!H695:H714)</f>
        <v>20</v>
      </c>
      <c r="D69" s="1" t="n">
        <v>1</v>
      </c>
      <c r="E69" s="21" t="n">
        <f aca="false">SUM(C69+D69)</f>
        <v>21</v>
      </c>
      <c r="F69" s="21" t="str">
        <f aca="false">TEXT(A69,"DDDD")</f>
        <v>viernes</v>
      </c>
      <c r="G69" s="3" t="n">
        <f aca="false">AVERAGE(Datos!H695:H714)</f>
        <v>2405.5</v>
      </c>
    </row>
    <row r="70" customFormat="false" ht="14.25" hidden="true" customHeight="false" outlineLevel="0" collapsed="false">
      <c r="A70" s="48" t="n">
        <v>46004</v>
      </c>
      <c r="B70" s="3" t="n">
        <f aca="false">SUM(Datos!H736:H752)</f>
        <v>59523</v>
      </c>
      <c r="C70" s="21" t="n">
        <f aca="false">COUNTA(Datos!H736:H752)</f>
        <v>17</v>
      </c>
      <c r="D70" s="1" t="n">
        <v>3</v>
      </c>
      <c r="E70" s="21" t="n">
        <f aca="false">SUM(C70+D70)</f>
        <v>20</v>
      </c>
      <c r="F70" s="21" t="str">
        <f aca="false">TEXT(A70,"DDDD")</f>
        <v>sábado</v>
      </c>
      <c r="G70" s="3" t="n">
        <f aca="false">AVERAGE(Datos!H736:H752)</f>
        <v>3501.35294117647</v>
      </c>
    </row>
    <row r="71" customFormat="false" ht="14.25" hidden="true" customHeight="false" outlineLevel="0" collapsed="false">
      <c r="A71" s="48" t="n">
        <v>46006</v>
      </c>
      <c r="B71" s="3" t="n">
        <f aca="false">SUM(Datos!H753:H758)</f>
        <v>12681</v>
      </c>
      <c r="C71" s="21" t="n">
        <f aca="false">COUNTA(Datos!H753:H758)</f>
        <v>6</v>
      </c>
      <c r="D71" s="1" t="n">
        <v>1</v>
      </c>
      <c r="E71" s="21" t="n">
        <f aca="false">SUM(C71+D71)</f>
        <v>7</v>
      </c>
      <c r="F71" s="21" t="str">
        <f aca="false">TEXT(A71,"DDDD")</f>
        <v>lunes</v>
      </c>
      <c r="G71" s="3" t="n">
        <f aca="false">AVERAGE(Datos!H753:H758)</f>
        <v>2113.5</v>
      </c>
    </row>
    <row r="72" customFormat="false" ht="14.25" hidden="false" customHeight="false" outlineLevel="0" collapsed="false">
      <c r="A72" s="48" t="n">
        <v>46008</v>
      </c>
      <c r="B72" s="3" t="n">
        <f aca="false">SUM(Datos!H824:H829)</f>
        <v>13650</v>
      </c>
      <c r="C72" s="21" t="n">
        <f aca="false">COUNTA(Datos!H824:H829)</f>
        <v>6</v>
      </c>
      <c r="D72" s="1" t="n">
        <v>0</v>
      </c>
      <c r="E72" s="21" t="n">
        <f aca="false">SUM(C72+D72)</f>
        <v>6</v>
      </c>
      <c r="F72" s="21" t="s">
        <v>2327</v>
      </c>
      <c r="G72" s="3" t="n">
        <f aca="false">AVERAGE(Datos!H824:H829)</f>
        <v>2275</v>
      </c>
    </row>
    <row r="73" customFormat="false" ht="14.25" hidden="true" customHeight="false" outlineLevel="0" collapsed="false">
      <c r="A73" s="48" t="n">
        <v>46009</v>
      </c>
      <c r="B73" s="3" t="n">
        <f aca="false">SUM(Datos!H830:H840)</f>
        <v>19720</v>
      </c>
      <c r="C73" s="21" t="n">
        <f aca="false">COUNTA(Datos!H830:H840)</f>
        <v>11</v>
      </c>
      <c r="D73" s="1" t="n">
        <v>3</v>
      </c>
      <c r="E73" s="21" t="n">
        <f aca="false">SUM(C73+D73)</f>
        <v>14</v>
      </c>
      <c r="F73" s="21" t="str">
        <f aca="false">TEXT(A73,"DDDD")</f>
        <v>jueves</v>
      </c>
      <c r="G73" s="3" t="n">
        <f aca="false">AVERAGE(Datos!H830:H840)</f>
        <v>1792.72727272727</v>
      </c>
    </row>
    <row r="74" customFormat="false" ht="14.25" hidden="true" customHeight="false" outlineLevel="0" collapsed="false">
      <c r="A74" s="48" t="n">
        <v>46013</v>
      </c>
      <c r="B74" s="3" t="n">
        <f aca="false">SUM(Datos!H841:H849)</f>
        <v>32170</v>
      </c>
      <c r="C74" s="21" t="n">
        <f aca="false">COUNTA(Datos!H841:H849)</f>
        <v>9</v>
      </c>
      <c r="D74" s="1" t="n">
        <v>2</v>
      </c>
      <c r="E74" s="21" t="n">
        <f aca="false">SUM(C74+D74)</f>
        <v>11</v>
      </c>
      <c r="F74" s="21" t="str">
        <f aca="false">TEXT(A74,"DDDD")</f>
        <v>lunes</v>
      </c>
      <c r="G74" s="3" t="n">
        <f aca="false">AVERAGE(Datos!H841:H849)</f>
        <v>3574.44444444444</v>
      </c>
    </row>
    <row r="75" customFormat="false" ht="14.25" hidden="true" customHeight="false" outlineLevel="0" collapsed="false">
      <c r="A75" s="48" t="n">
        <v>46014</v>
      </c>
      <c r="B75" s="3" t="n">
        <f aca="false">SUM(Datos!H850:H863)</f>
        <v>39226</v>
      </c>
      <c r="C75" s="21" t="n">
        <f aca="false">COUNTA(Datos!H850:H863)</f>
        <v>14</v>
      </c>
      <c r="D75" s="1" t="n">
        <v>3</v>
      </c>
      <c r="E75" s="21" t="n">
        <f aca="false">SUM(C75+D75)</f>
        <v>17</v>
      </c>
      <c r="F75" s="21" t="str">
        <f aca="false">TEXT(A75,"DDDD")</f>
        <v>martes</v>
      </c>
      <c r="G75" s="3" t="n">
        <f aca="false">AVERAGE(Datos!H850:H863)</f>
        <v>2801.85714285714</v>
      </c>
    </row>
    <row r="76" customFormat="false" ht="14.25" hidden="false" customHeight="false" outlineLevel="0" collapsed="false">
      <c r="A76" s="48" t="n">
        <v>46015</v>
      </c>
      <c r="B76" s="3" t="n">
        <f aca="false">SUM(Datos!H864:H880)</f>
        <v>44270</v>
      </c>
      <c r="C76" s="21" t="n">
        <f aca="false">COUNTA(Datos!H864:H880)</f>
        <v>17</v>
      </c>
      <c r="D76" s="1" t="n">
        <v>3</v>
      </c>
      <c r="E76" s="21" t="n">
        <f aca="false">SUM(C76+D76)</f>
        <v>20</v>
      </c>
      <c r="F76" s="21" t="s">
        <v>2327</v>
      </c>
      <c r="G76" s="3" t="n">
        <f aca="false">AVERAGE(Datos!H864:H880)</f>
        <v>2604.11764705882</v>
      </c>
    </row>
    <row r="77" customFormat="false" ht="14.25" hidden="true" customHeight="false" outlineLevel="0" collapsed="false">
      <c r="A77" s="48" t="n">
        <v>46016</v>
      </c>
      <c r="B77" s="3" t="n">
        <f aca="false">SUM(Datos!H881:H894)</f>
        <v>54770</v>
      </c>
      <c r="C77" s="21" t="n">
        <f aca="false">COUNTA(Datos!H881:H894)</f>
        <v>14</v>
      </c>
      <c r="D77" s="1" t="n">
        <v>5</v>
      </c>
      <c r="E77" s="21" t="n">
        <f aca="false">SUM(C77+D77)</f>
        <v>19</v>
      </c>
      <c r="F77" s="21" t="str">
        <f aca="false">TEXT(A77,"DDDD")</f>
        <v>jueves</v>
      </c>
      <c r="G77" s="3" t="n">
        <f aca="false">AVERAGE(Datos!H881:H894)</f>
        <v>3912.14285714286</v>
      </c>
    </row>
    <row r="78" customFormat="false" ht="14.25" hidden="true" customHeight="false" outlineLevel="0" collapsed="false">
      <c r="A78" s="48" t="n">
        <v>46018</v>
      </c>
      <c r="B78" s="3" t="n">
        <f aca="false">SUM(Datos!H895:H909)</f>
        <v>47517</v>
      </c>
      <c r="C78" s="21" t="n">
        <f aca="false">COUNTA(Datos!H895:H909)</f>
        <v>15</v>
      </c>
      <c r="D78" s="1" t="n">
        <v>1</v>
      </c>
      <c r="E78" s="21" t="n">
        <f aca="false">SUM(C78+D78)</f>
        <v>16</v>
      </c>
      <c r="F78" s="21" t="str">
        <f aca="false">TEXT(A78,"DDDD")</f>
        <v>sábado</v>
      </c>
      <c r="G78" s="3" t="n">
        <f aca="false">AVERAGE(Datos!H895:H909)</f>
        <v>3167.8</v>
      </c>
    </row>
    <row r="79" customFormat="false" ht="14.25" hidden="true" customHeight="false" outlineLevel="0" collapsed="false">
      <c r="A79" s="48" t="n">
        <v>46019</v>
      </c>
      <c r="B79" s="3" t="n">
        <f aca="false">SUM(Datos!H910:H921)</f>
        <v>52800</v>
      </c>
      <c r="C79" s="21" t="n">
        <f aca="false">COUNTA(Datos!H910:H921)</f>
        <v>12</v>
      </c>
      <c r="D79" s="1" t="n">
        <v>5</v>
      </c>
      <c r="E79" s="21" t="n">
        <f aca="false">SUM(C79+D79)</f>
        <v>17</v>
      </c>
      <c r="F79" s="21" t="str">
        <f aca="false">TEXT(A79,"DDDD")</f>
        <v>domingo</v>
      </c>
      <c r="G79" s="3" t="n">
        <f aca="false">AVERAGE(Datos!H910:H921)</f>
        <v>4400</v>
      </c>
    </row>
    <row r="80" customFormat="false" ht="14.25" hidden="true" customHeight="false" outlineLevel="0" collapsed="false">
      <c r="A80" s="48" t="n">
        <v>46020</v>
      </c>
      <c r="B80" s="3" t="n">
        <f aca="false">SUM(Datos!H922:H926)</f>
        <v>9377</v>
      </c>
      <c r="C80" s="21" t="n">
        <f aca="false">COUNTA(Datos!H922:H926)</f>
        <v>5</v>
      </c>
      <c r="D80" s="1" t="n">
        <v>1</v>
      </c>
      <c r="E80" s="21" t="n">
        <f aca="false">SUM(C80+D80)</f>
        <v>6</v>
      </c>
      <c r="F80" s="21" t="str">
        <f aca="false">TEXT(A80,"DDDD")</f>
        <v>lunes</v>
      </c>
      <c r="G80" s="3" t="n">
        <f aca="false">AVERAGE(Datos!H922:H926)</f>
        <v>1875.4</v>
      </c>
    </row>
    <row r="81" customFormat="false" ht="14.25" hidden="true" customHeight="false" outlineLevel="0" collapsed="false">
      <c r="A81" s="48" t="n">
        <v>46021</v>
      </c>
      <c r="B81" s="3" t="n">
        <f aca="false">SUM(Datos!H927:H929)</f>
        <v>12080</v>
      </c>
      <c r="C81" s="21" t="n">
        <f aca="false">COUNTA(Datos!H927:H929)</f>
        <v>3</v>
      </c>
      <c r="D81" s="1" t="n">
        <v>1</v>
      </c>
      <c r="E81" s="21" t="n">
        <f aca="false">SUM(C81+D81)</f>
        <v>4</v>
      </c>
      <c r="F81" s="21" t="str">
        <f aca="false">TEXT(A81,"DDDD")</f>
        <v>martes</v>
      </c>
      <c r="G81" s="3" t="n">
        <f aca="false">AVERAGE(Datos!H927:H929)</f>
        <v>4026.66666666667</v>
      </c>
    </row>
    <row r="82" customFormat="false" ht="14.25" hidden="false" customHeight="false" outlineLevel="0" collapsed="false">
      <c r="A82" s="48" t="n">
        <v>46022</v>
      </c>
      <c r="B82" s="3" t="n">
        <f aca="false">SUM(Datos!H930:H934)</f>
        <v>17080</v>
      </c>
      <c r="C82" s="21" t="n">
        <f aca="false">COUNTA(Datos!H930:H934)</f>
        <v>5</v>
      </c>
      <c r="D82" s="1" t="n">
        <v>1</v>
      </c>
      <c r="E82" s="21" t="n">
        <f aca="false">SUM(C82+D82)</f>
        <v>6</v>
      </c>
      <c r="F82" s="21" t="s">
        <v>2327</v>
      </c>
      <c r="G82" s="3" t="n">
        <f aca="false">AVERAGE(Datos!H930:H934)</f>
        <v>3416</v>
      </c>
    </row>
    <row r="83" customFormat="false" ht="14.25" hidden="true" customHeight="false" outlineLevel="0" collapsed="false">
      <c r="A83" s="48" t="n">
        <v>46023</v>
      </c>
      <c r="B83" s="3" t="n">
        <f aca="false">SUM(Datos!H935:H956)</f>
        <v>55560</v>
      </c>
      <c r="C83" s="21" t="n">
        <f aca="false">COUNTA(Datos!H935:H956)</f>
        <v>22</v>
      </c>
      <c r="D83" s="1" t="n">
        <v>2</v>
      </c>
      <c r="E83" s="21" t="n">
        <f aca="false">SUM(C83+D83)</f>
        <v>24</v>
      </c>
      <c r="F83" s="21" t="str">
        <f aca="false">TEXT(A83,"DDDD")</f>
        <v>jueves</v>
      </c>
      <c r="G83" s="3" t="n">
        <f aca="false">AVERAGE(Datos!H935:H956)</f>
        <v>2525.45454545455</v>
      </c>
    </row>
    <row r="84" customFormat="false" ht="14.25" hidden="true" customHeight="false" outlineLevel="0" collapsed="false">
      <c r="A84" s="48" t="n">
        <v>46024</v>
      </c>
      <c r="B84" s="3" t="n">
        <f aca="false">SUM(Datos!H957:H962)</f>
        <v>21710</v>
      </c>
      <c r="C84" s="21" t="n">
        <f aca="false">COUNTA(Datos!H957:H962)</f>
        <v>6</v>
      </c>
      <c r="D84" s="1" t="n">
        <v>2</v>
      </c>
      <c r="E84" s="21" t="n">
        <f aca="false">SUM(C84+D84)</f>
        <v>8</v>
      </c>
      <c r="F84" s="21" t="str">
        <f aca="false">TEXT(A84,"DDDD")</f>
        <v>viernes</v>
      </c>
      <c r="G84" s="3" t="n">
        <f aca="false">AVERAGE(Datos!H957:H962)</f>
        <v>3618.33333333333</v>
      </c>
    </row>
    <row r="85" customFormat="false" ht="14.25" hidden="true" customHeight="false" outlineLevel="0" collapsed="false">
      <c r="A85" s="48" t="n">
        <v>46025</v>
      </c>
      <c r="B85" s="3" t="n">
        <f aca="false">SUM(Datos!H963:H972)</f>
        <v>18931</v>
      </c>
      <c r="C85" s="21" t="n">
        <f aca="false">COUNTA(Datos!H963:H972)</f>
        <v>10</v>
      </c>
      <c r="D85" s="1" t="n">
        <v>2</v>
      </c>
      <c r="E85" s="21" t="n">
        <f aca="false">SUM(C85+D85)</f>
        <v>12</v>
      </c>
      <c r="F85" s="21" t="str">
        <f aca="false">TEXT(A85,"DDDD")</f>
        <v>sábado</v>
      </c>
      <c r="G85" s="3" t="n">
        <f aca="false">AVERAGE(Datos!H963:H972)</f>
        <v>1893.1</v>
      </c>
    </row>
    <row r="86" customFormat="false" ht="14.25" hidden="true" customHeight="false" outlineLevel="0" collapsed="false">
      <c r="A86" s="48" t="n">
        <v>46026</v>
      </c>
      <c r="B86" s="3" t="n">
        <f aca="false">SUM(Datos!H973:H976)</f>
        <v>14460</v>
      </c>
      <c r="C86" s="21" t="n">
        <f aca="false">COUNTA(Datos!H973:H976)</f>
        <v>4</v>
      </c>
      <c r="D86" s="1" t="n">
        <v>1</v>
      </c>
      <c r="E86" s="21" t="n">
        <f aca="false">SUM(C86+D86)</f>
        <v>5</v>
      </c>
      <c r="F86" s="21" t="str">
        <f aca="false">TEXT(A86,"DDDD")</f>
        <v>domingo</v>
      </c>
      <c r="G86" s="3" t="n">
        <f aca="false">AVERAGE(Datos!H973:H976)</f>
        <v>3615</v>
      </c>
    </row>
    <row r="87" customFormat="false" ht="14.25" hidden="true" customHeight="false" outlineLevel="0" collapsed="false">
      <c r="A87" s="48" t="n">
        <v>46027</v>
      </c>
      <c r="B87" s="3" t="n">
        <f aca="false">SUM(Datos!H977:H984)</f>
        <v>25010</v>
      </c>
      <c r="C87" s="21" t="n">
        <f aca="false">COUNTA(Datos!H977:H984)</f>
        <v>8</v>
      </c>
      <c r="D87" s="1" t="n">
        <v>2</v>
      </c>
      <c r="E87" s="21" t="n">
        <f aca="false">SUM(C87+D87)</f>
        <v>10</v>
      </c>
      <c r="F87" s="21" t="str">
        <f aca="false">TEXT(A87,"DDDD")</f>
        <v>lunes</v>
      </c>
      <c r="G87" s="3" t="n">
        <f aca="false">AVERAGE(Datos!H977:H984)</f>
        <v>3126.25</v>
      </c>
    </row>
    <row r="88" customFormat="false" ht="14.25" hidden="true" customHeight="false" outlineLevel="0" collapsed="false">
      <c r="A88" s="48" t="n">
        <v>46028</v>
      </c>
      <c r="B88" s="3" t="n">
        <f aca="false">SUM(Datos!H985:H994)</f>
        <v>25870</v>
      </c>
      <c r="C88" s="21" t="n">
        <f aca="false">COUNTA(Datos!H985:H994)</f>
        <v>10</v>
      </c>
      <c r="D88" s="1" t="n">
        <v>2</v>
      </c>
      <c r="E88" s="21" t="n">
        <f aca="false">SUM(C88+D88)</f>
        <v>12</v>
      </c>
      <c r="F88" s="21" t="str">
        <f aca="false">TEXT(A88,"DDDD")</f>
        <v>martes</v>
      </c>
      <c r="G88" s="3" t="n">
        <f aca="false">AVERAGE(Datos!H985:H994)</f>
        <v>2587</v>
      </c>
    </row>
    <row r="89" customFormat="false" ht="14.25" hidden="false" customHeight="false" outlineLevel="0" collapsed="false">
      <c r="A89" s="48" t="n">
        <v>46029</v>
      </c>
      <c r="B89" s="3" t="n">
        <f aca="false">SUM(Datos!H995:H1010)</f>
        <v>46900</v>
      </c>
      <c r="C89" s="21" t="n">
        <f aca="false">COUNTA(Datos!H995:H1010)</f>
        <v>16</v>
      </c>
      <c r="D89" s="1" t="n">
        <v>3</v>
      </c>
      <c r="E89" s="21" t="n">
        <f aca="false">SUM(C89+D89)</f>
        <v>19</v>
      </c>
      <c r="F89" s="21" t="s">
        <v>2327</v>
      </c>
      <c r="G89" s="3" t="n">
        <f aca="false">AVERAGE(Datos!H995:H1010)</f>
        <v>2931.25</v>
      </c>
    </row>
    <row r="90" customFormat="false" ht="14.25" hidden="true" customHeight="false" outlineLevel="0" collapsed="false">
      <c r="A90" s="48" t="n">
        <v>46030</v>
      </c>
      <c r="B90" s="3" t="n">
        <f aca="false">SUM(Datos!H1011:H1034)</f>
        <v>62281</v>
      </c>
      <c r="C90" s="21" t="n">
        <f aca="false">COUNTA(Datos!H1011:H1034)</f>
        <v>24</v>
      </c>
      <c r="D90" s="1" t="n">
        <v>3</v>
      </c>
      <c r="E90" s="21" t="n">
        <f aca="false">SUM(C90+D90)</f>
        <v>27</v>
      </c>
      <c r="F90" s="21" t="str">
        <f aca="false">TEXT(A90,"DDDD")</f>
        <v>jueves</v>
      </c>
      <c r="G90" s="3" t="n">
        <f aca="false">AVERAGE(Datos!H1011:H1034)</f>
        <v>2595.04166666667</v>
      </c>
    </row>
    <row r="91" customFormat="false" ht="14.25" hidden="true" customHeight="false" outlineLevel="0" collapsed="false">
      <c r="A91" s="48" t="n">
        <v>46031</v>
      </c>
      <c r="B91" s="3" t="n">
        <f aca="false">SUM(Datos!H1035:H1038)</f>
        <v>7270</v>
      </c>
      <c r="C91" s="21" t="n">
        <f aca="false">COUNTA(Datos!H1035:H1038)</f>
        <v>4</v>
      </c>
      <c r="D91" s="1" t="n">
        <v>0</v>
      </c>
      <c r="E91" s="21" t="n">
        <f aca="false">SUM(C91+D91)</f>
        <v>4</v>
      </c>
      <c r="F91" s="21" t="str">
        <f aca="false">TEXT(A91,"DDDD")</f>
        <v>viernes</v>
      </c>
      <c r="G91" s="3" t="n">
        <f aca="false">AVERAGE(Datos!H1035:H1038)</f>
        <v>1817.5</v>
      </c>
    </row>
    <row r="92" customFormat="false" ht="14.25" hidden="false" customHeight="false" outlineLevel="0" collapsed="false">
      <c r="B92" s="3"/>
    </row>
    <row r="93" customFormat="false" ht="14.25" hidden="false" customHeight="false" outlineLevel="0" collapsed="false">
      <c r="B93" s="3"/>
    </row>
    <row r="94" customFormat="false" ht="14.25" hidden="false" customHeight="false" outlineLevel="0" collapsed="false">
      <c r="B94" s="3"/>
    </row>
    <row r="95" customFormat="false" ht="14.25" hidden="false" customHeight="false" outlineLevel="0" collapsed="false">
      <c r="B95" s="3"/>
    </row>
    <row r="96" customFormat="false" ht="14.25" hidden="false" customHeight="false" outlineLevel="0" collapsed="false">
      <c r="B96" s="3"/>
    </row>
    <row r="97" customFormat="false" ht="14.25" hidden="false" customHeight="false" outlineLevel="0" collapsed="false">
      <c r="B97" s="3"/>
    </row>
    <row r="98" customFormat="false" ht="14.25" hidden="false" customHeight="false" outlineLevel="0" collapsed="false">
      <c r="B98" s="3"/>
      <c r="C98" s="21" t="n">
        <f aca="false">SUM(C8,C12,C17,C19,C26,C32,C41,C44,C50,C65,C79)</f>
        <v>172</v>
      </c>
      <c r="D98" s="21" t="n">
        <f aca="false">SUM(D8,D12,D17,D19,D26,D32,D41,D44,D50,D65,D79)</f>
        <v>37</v>
      </c>
    </row>
    <row r="99" customFormat="false" ht="14.25" hidden="false" customHeight="false" outlineLevel="0" collapsed="false">
      <c r="B99" s="3"/>
      <c r="C99" s="21" t="n">
        <f aca="false">SUM(C98:D98)</f>
        <v>209</v>
      </c>
    </row>
    <row r="100" customFormat="false" ht="14.25" hidden="false" customHeight="false" outlineLevel="0" collapsed="false">
      <c r="B100" s="3"/>
    </row>
    <row r="101" customFormat="false" ht="14.25" hidden="false" customHeight="false" outlineLevel="0" collapsed="false">
      <c r="B101" s="3"/>
      <c r="C101" s="21" t="n">
        <f aca="false">SUM(C5,C9,C15,C18,C22,C29,C35,C39,C43,C53,C57,C61,C66,C72,C76,C82,C89)</f>
        <v>181</v>
      </c>
      <c r="D101" s="21" t="n">
        <f aca="false">SUM(E5,E9,E15,E18,E29,E22,E35,E39,E43,E53,E57,E61,E66,E72,E76,E82,E84,E89)</f>
        <v>220</v>
      </c>
    </row>
  </sheetData>
  <autoFilter ref="A1:T91">
    <filterColumn colId="5">
      <filters>
        <filter val="Miercole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T1449:T1452 B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3" width="14.88"/>
  </cols>
  <sheetData>
    <row r="1" customFormat="false" ht="14.25" hidden="false" customHeight="false" outlineLevel="0" collapsed="false">
      <c r="A1" s="53" t="s">
        <v>2332</v>
      </c>
      <c r="B1" s="58" t="s">
        <v>2333</v>
      </c>
    </row>
    <row r="2" customFormat="false" ht="14.25" hidden="false" customHeight="false" outlineLevel="0" collapsed="false">
      <c r="A2" s="1" t="s">
        <v>2334</v>
      </c>
      <c r="B2" s="3" t="n">
        <f aca="false">SUM(Resumen_por_dia!B2:B90)</f>
        <v>2797924.48</v>
      </c>
    </row>
    <row r="3" customFormat="false" ht="14.25" hidden="false" customHeight="false" outlineLevel="0" collapsed="false">
      <c r="A3" s="1" t="s">
        <v>2335</v>
      </c>
      <c r="B3" s="3" t="n">
        <f aca="false">COUNTA(Datos!H2:H934)</f>
        <v>931</v>
      </c>
    </row>
    <row r="4" customFormat="false" ht="14.25" hidden="false" customHeight="false" outlineLevel="0" collapsed="false">
      <c r="A4" s="1" t="s">
        <v>2336</v>
      </c>
      <c r="B4" s="3" t="n">
        <f aca="false">AVERAGE(Datos!H2:H934)</f>
        <v>2735.59557465091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1" sqref="T1449:T1452 C8"/>
    </sheetView>
  </sheetViews>
  <sheetFormatPr defaultColWidth="10.6796875" defaultRowHeight="14.25" zeroHeight="false" outlineLevelRow="0" outlineLevelCol="0"/>
  <sheetData>
    <row r="1" customFormat="false" ht="14.25" hidden="false" customHeight="false" outlineLevel="0" collapsed="false">
      <c r="A1" s="1" t="s">
        <v>2337</v>
      </c>
      <c r="B1" s="1" t="s">
        <v>2338</v>
      </c>
      <c r="C1" s="1" t="s">
        <v>2339</v>
      </c>
    </row>
    <row r="2" customFormat="false" ht="14.25" hidden="false" customHeight="false" outlineLevel="0" collapsed="false">
      <c r="A2" s="1" t="s">
        <v>2340</v>
      </c>
      <c r="B2" s="3" t="n">
        <f aca="false">SUM(Resumen_por_dia!B2:B5)</f>
        <v>94827</v>
      </c>
      <c r="C2" s="21" t="n">
        <f aca="false">COUNTA(Resumen_por_dia!B2:B5)</f>
        <v>4</v>
      </c>
    </row>
    <row r="3" customFormat="false" ht="14.25" hidden="false" customHeight="false" outlineLevel="0" collapsed="false">
      <c r="A3" s="1" t="s">
        <v>2341</v>
      </c>
      <c r="B3" s="3" t="n">
        <f aca="false">SUM(Resumen_por_dia!B6:B19)</f>
        <v>564881.88</v>
      </c>
      <c r="C3" s="21" t="n">
        <f aca="false">COUNTA(Resumen_por_dia!B6:B19)</f>
        <v>14</v>
      </c>
    </row>
    <row r="4" customFormat="false" ht="14.25" hidden="false" customHeight="false" outlineLevel="0" collapsed="false">
      <c r="A4" s="1" t="s">
        <v>2342</v>
      </c>
      <c r="B4" s="3" t="n">
        <f aca="false">SUM(Resumen_por_dia!B20:B42)</f>
        <v>514691</v>
      </c>
      <c r="C4" s="21" t="n">
        <f aca="false">COUNTA(Resumen_por_dia!B20:B42)</f>
        <v>23</v>
      </c>
    </row>
    <row r="5" customFormat="false" ht="14.25" hidden="false" customHeight="false" outlineLevel="0" collapsed="false">
      <c r="A5" s="1" t="s">
        <v>2343</v>
      </c>
      <c r="B5" s="3" t="n">
        <f aca="false">SUM(Resumen_por_dia!B43:B54)</f>
        <v>467428</v>
      </c>
      <c r="C5" s="21" t="n">
        <f aca="false">COUNTA(Resumen_por_dia!B43:B54)</f>
        <v>12</v>
      </c>
    </row>
    <row r="6" customFormat="false" ht="14.25" hidden="false" customHeight="false" outlineLevel="0" collapsed="false">
      <c r="A6" s="1" t="s">
        <v>2344</v>
      </c>
      <c r="B6" s="3" t="n">
        <f aca="false">SUM(Resumen_por_dia!B55:B65)</f>
        <v>369253.4</v>
      </c>
      <c r="C6" s="21" t="n">
        <f aca="false">COUNTA(Resumen_por_dia!B54:B61)</f>
        <v>8</v>
      </c>
    </row>
    <row r="7" customFormat="false" ht="14.25" hidden="false" customHeight="false" outlineLevel="0" collapsed="false">
      <c r="A7" s="1" t="s">
        <v>2345</v>
      </c>
      <c r="B7" s="3" t="n">
        <f aca="false">SUM(Resumen_por_dia!B66:B82)</f>
        <v>516121.2</v>
      </c>
      <c r="C7" s="21" t="n">
        <f aca="false">COUNTA(Resumen_por_dia!B66:B82)</f>
        <v>17</v>
      </c>
    </row>
    <row r="8" customFormat="false" ht="14.25" hidden="false" customHeight="false" outlineLevel="0" collapsed="false">
      <c r="A8" s="1" t="s">
        <v>2346</v>
      </c>
      <c r="B8" s="3"/>
    </row>
    <row r="9" customFormat="false" ht="14.25" hidden="false" customHeight="false" outlineLevel="0" collapsed="false">
      <c r="A9" s="1" t="s">
        <v>2347</v>
      </c>
      <c r="B9" s="3"/>
    </row>
    <row r="10" customFormat="false" ht="14.25" hidden="false" customHeight="false" outlineLevel="0" collapsed="false">
      <c r="A10" s="1" t="s">
        <v>2348</v>
      </c>
      <c r="B10" s="3"/>
    </row>
    <row r="11" customFormat="false" ht="14.25" hidden="false" customHeight="false" outlineLevel="0" collapsed="false">
      <c r="A11" s="1" t="s">
        <v>2349</v>
      </c>
      <c r="B11" s="3"/>
    </row>
    <row r="12" customFormat="false" ht="14.25" hidden="false" customHeight="false" outlineLevel="0" collapsed="false">
      <c r="A12" s="1" t="s">
        <v>2350</v>
      </c>
      <c r="B12" s="3"/>
    </row>
    <row r="13" customFormat="false" ht="14.25" hidden="false" customHeight="false" outlineLevel="0" collapsed="false">
      <c r="A13" s="1" t="s">
        <v>2351</v>
      </c>
      <c r="B13" s="3"/>
    </row>
    <row r="14" customFormat="false" ht="14.25" hidden="false" customHeight="false" outlineLevel="0" collapsed="false">
      <c r="A14" s="1" t="s">
        <v>2340</v>
      </c>
      <c r="B14" s="3"/>
    </row>
    <row r="15" customFormat="false" ht="14.25" hidden="false" customHeight="false" outlineLevel="0" collapsed="false">
      <c r="A15" s="1" t="s">
        <v>2341</v>
      </c>
      <c r="B15" s="3"/>
    </row>
    <row r="16" customFormat="false" ht="14.25" hidden="false" customHeight="false" outlineLevel="0" collapsed="false">
      <c r="A16" s="1" t="s">
        <v>2342</v>
      </c>
      <c r="B16" s="3"/>
    </row>
    <row r="17" customFormat="false" ht="14.25" hidden="false" customHeight="false" outlineLevel="0" collapsed="false">
      <c r="A17" s="1" t="s">
        <v>2343</v>
      </c>
      <c r="B17" s="3"/>
    </row>
    <row r="18" customFormat="false" ht="14.25" hidden="false" customHeight="false" outlineLevel="0" collapsed="false">
      <c r="A18" s="1" t="s">
        <v>2344</v>
      </c>
      <c r="B18" s="3"/>
    </row>
    <row r="19" customFormat="false" ht="14.25" hidden="false" customHeight="false" outlineLevel="0" collapsed="false">
      <c r="A19" s="1" t="s">
        <v>2345</v>
      </c>
      <c r="B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0" activeCellId="1" sqref="T1449:T1452 A10"/>
    </sheetView>
  </sheetViews>
  <sheetFormatPr defaultColWidth="8.88671875" defaultRowHeight="14.25" zeroHeight="false" outlineLevelRow="0" outlineLevelCol="0"/>
  <sheetData>
    <row r="1" customFormat="false" ht="14.25" hidden="false" customHeight="false" outlineLevel="0" collapsed="false">
      <c r="A1" s="53" t="s">
        <v>11</v>
      </c>
      <c r="B1" s="53" t="s">
        <v>2352</v>
      </c>
      <c r="C1" s="53" t="s">
        <v>2307</v>
      </c>
      <c r="D1" s="53" t="s">
        <v>2308</v>
      </c>
    </row>
    <row r="2" customFormat="false" ht="14.25" hidden="false" customHeight="false" outlineLevel="0" collapsed="false">
      <c r="A2" s="1" t="s">
        <v>2353</v>
      </c>
      <c r="B2" s="1" t="s">
        <v>1112</v>
      </c>
      <c r="C2" s="1" t="n">
        <v>1980</v>
      </c>
      <c r="D2" s="1" t="n">
        <v>1</v>
      </c>
    </row>
    <row r="3" customFormat="false" ht="14.25" hidden="false" customHeight="false" outlineLevel="0" collapsed="false">
      <c r="A3" s="1" t="s">
        <v>2353</v>
      </c>
      <c r="B3" s="1" t="s">
        <v>2354</v>
      </c>
      <c r="C3" s="1" t="n">
        <v>2720</v>
      </c>
      <c r="D3" s="1" t="n">
        <v>1</v>
      </c>
    </row>
    <row r="4" customFormat="false" ht="14.25" hidden="false" customHeight="false" outlineLevel="0" collapsed="false">
      <c r="A4" s="1" t="s">
        <v>2353</v>
      </c>
      <c r="B4" s="1" t="s">
        <v>2355</v>
      </c>
      <c r="C4" s="1" t="n">
        <v>4120</v>
      </c>
      <c r="D4" s="1" t="n">
        <v>1</v>
      </c>
    </row>
    <row r="5" customFormat="false" ht="14.25" hidden="false" customHeight="false" outlineLevel="0" collapsed="false">
      <c r="A5" s="1" t="s">
        <v>2353</v>
      </c>
      <c r="B5" s="1" t="s">
        <v>2356</v>
      </c>
      <c r="C5" s="1" t="n">
        <v>1620</v>
      </c>
      <c r="D5" s="1" t="n">
        <v>1</v>
      </c>
    </row>
    <row r="6" customFormat="false" ht="14.25" hidden="false" customHeight="false" outlineLevel="0" collapsed="false">
      <c r="A6" s="1" t="s">
        <v>2353</v>
      </c>
      <c r="B6" s="1" t="s">
        <v>2357</v>
      </c>
      <c r="C6" s="1" t="n">
        <v>1260</v>
      </c>
      <c r="D6" s="1" t="n">
        <v>1</v>
      </c>
    </row>
    <row r="7" customFormat="false" ht="14.25" hidden="false" customHeight="false" outlineLevel="0" collapsed="false">
      <c r="A7" s="1" t="s">
        <v>2353</v>
      </c>
      <c r="B7" s="1" t="s">
        <v>2358</v>
      </c>
      <c r="C7" s="1" t="n">
        <v>2240</v>
      </c>
      <c r="D7" s="1" t="n">
        <v>1</v>
      </c>
    </row>
    <row r="8" customFormat="false" ht="14.25" hidden="false" customHeight="false" outlineLevel="0" collapsed="false">
      <c r="A8" s="1" t="s">
        <v>2353</v>
      </c>
      <c r="B8" s="1" t="s">
        <v>2359</v>
      </c>
      <c r="C8" s="1" t="n">
        <v>1261</v>
      </c>
      <c r="D8" s="1" t="n">
        <v>1</v>
      </c>
    </row>
    <row r="9" customFormat="false" ht="14.25" hidden="false" customHeight="false" outlineLevel="0" collapsed="false">
      <c r="A9" s="1" t="s">
        <v>2353</v>
      </c>
      <c r="B9" s="1" t="s">
        <v>2360</v>
      </c>
      <c r="C9" s="1" t="n">
        <v>2840</v>
      </c>
      <c r="D9" s="1" t="n">
        <v>1</v>
      </c>
    </row>
    <row r="10" customFormat="false" ht="14.25" hidden="false" customHeight="false" outlineLevel="0" collapsed="false">
      <c r="A10" s="1" t="s">
        <v>2353</v>
      </c>
      <c r="B10" s="1" t="s">
        <v>2361</v>
      </c>
      <c r="C10" s="1" t="n">
        <v>1260</v>
      </c>
      <c r="D10" s="1" t="n">
        <v>1</v>
      </c>
    </row>
    <row r="11" customFormat="false" ht="14.25" hidden="false" customHeight="false" outlineLevel="0" collapsed="false">
      <c r="A11" s="1" t="s">
        <v>2353</v>
      </c>
      <c r="B11" s="1" t="s">
        <v>2362</v>
      </c>
      <c r="C11" s="1" t="n">
        <v>3900</v>
      </c>
      <c r="D11" s="1" t="n">
        <v>1</v>
      </c>
    </row>
    <row r="12" customFormat="false" ht="14.25" hidden="false" customHeight="false" outlineLevel="0" collapsed="false">
      <c r="A12" s="1" t="s">
        <v>2353</v>
      </c>
      <c r="B12" s="1" t="s">
        <v>2363</v>
      </c>
      <c r="C12" s="1" t="n">
        <v>1790</v>
      </c>
      <c r="D12" s="1" t="n">
        <v>1</v>
      </c>
    </row>
    <row r="13" customFormat="false" ht="14.25" hidden="false" customHeight="false" outlineLevel="0" collapsed="false">
      <c r="A13" s="1" t="s">
        <v>2353</v>
      </c>
      <c r="B13" s="1" t="s">
        <v>2364</v>
      </c>
      <c r="C13" s="1" t="n">
        <v>3240</v>
      </c>
      <c r="D13" s="1" t="n">
        <v>1</v>
      </c>
    </row>
    <row r="14" customFormat="false" ht="14.25" hidden="false" customHeight="false" outlineLevel="0" collapsed="false">
      <c r="A14" s="1" t="s">
        <v>2353</v>
      </c>
      <c r="B14" s="1" t="s">
        <v>1320</v>
      </c>
      <c r="C14" s="1" t="n">
        <v>1800</v>
      </c>
      <c r="D14" s="1" t="n">
        <v>1</v>
      </c>
    </row>
    <row r="15" customFormat="false" ht="14.25" hidden="false" customHeight="false" outlineLevel="0" collapsed="false">
      <c r="A15" s="1" t="s">
        <v>2353</v>
      </c>
      <c r="B15" s="1" t="s">
        <v>2365</v>
      </c>
      <c r="C15" s="1" t="n">
        <v>3600</v>
      </c>
      <c r="D15" s="1" t="n">
        <v>1</v>
      </c>
    </row>
    <row r="16" customFormat="false" ht="14.25" hidden="false" customHeight="false" outlineLevel="0" collapsed="false">
      <c r="A16" s="1" t="s">
        <v>2366</v>
      </c>
      <c r="B16" s="1" t="s">
        <v>2367</v>
      </c>
      <c r="C16" s="1" t="n">
        <v>2420</v>
      </c>
      <c r="D16" s="1" t="n">
        <v>1</v>
      </c>
    </row>
    <row r="17" customFormat="false" ht="14.25" hidden="false" customHeight="false" outlineLevel="0" collapsed="false">
      <c r="A17" s="1" t="s">
        <v>2366</v>
      </c>
      <c r="B17" s="1" t="s">
        <v>2368</v>
      </c>
      <c r="C17" s="1" t="n">
        <v>2760</v>
      </c>
      <c r="D17" s="1" t="n">
        <v>1</v>
      </c>
    </row>
    <row r="18" customFormat="false" ht="14.25" hidden="false" customHeight="false" outlineLevel="0" collapsed="false">
      <c r="A18" s="1" t="s">
        <v>2366</v>
      </c>
      <c r="B18" s="1" t="s">
        <v>2369</v>
      </c>
      <c r="C18" s="1" t="n">
        <v>1260</v>
      </c>
      <c r="D18" s="1" t="n">
        <v>1</v>
      </c>
    </row>
    <row r="19" customFormat="false" ht="14.25" hidden="false" customHeight="false" outlineLevel="0" collapsed="false">
      <c r="A19" s="1" t="s">
        <v>2366</v>
      </c>
      <c r="B19" s="1" t="s">
        <v>2370</v>
      </c>
      <c r="C19" s="1" t="n">
        <v>1740</v>
      </c>
      <c r="D19" s="1" t="n">
        <v>1</v>
      </c>
    </row>
    <row r="20" customFormat="false" ht="14.25" hidden="false" customHeight="false" outlineLevel="0" collapsed="false">
      <c r="A20" s="1" t="s">
        <v>2366</v>
      </c>
      <c r="B20" s="1" t="s">
        <v>2371</v>
      </c>
      <c r="C20" s="1" t="n">
        <v>1260</v>
      </c>
      <c r="D20" s="1" t="n">
        <v>1</v>
      </c>
    </row>
    <row r="21" customFormat="false" ht="14.25" hidden="false" customHeight="false" outlineLevel="0" collapsed="false">
      <c r="A21" s="1" t="s">
        <v>2366</v>
      </c>
      <c r="B21" s="1" t="s">
        <v>2372</v>
      </c>
      <c r="C21" s="1" t="n">
        <v>2000</v>
      </c>
      <c r="D21" s="1" t="n">
        <v>1</v>
      </c>
    </row>
    <row r="22" customFormat="false" ht="14.25" hidden="false" customHeight="false" outlineLevel="0" collapsed="false">
      <c r="A22" s="1" t="s">
        <v>2366</v>
      </c>
      <c r="B22" s="1" t="s">
        <v>2373</v>
      </c>
      <c r="C22" s="1" t="n">
        <v>1520</v>
      </c>
      <c r="D22" s="1" t="n">
        <v>1</v>
      </c>
    </row>
    <row r="23" customFormat="false" ht="14.25" hidden="false" customHeight="false" outlineLevel="0" collapsed="false">
      <c r="A23" s="1" t="s">
        <v>2366</v>
      </c>
      <c r="B23" s="1" t="s">
        <v>2374</v>
      </c>
      <c r="C23" s="1" t="n">
        <v>1820</v>
      </c>
      <c r="D23" s="1" t="n">
        <v>1</v>
      </c>
    </row>
    <row r="24" customFormat="false" ht="14.25" hidden="false" customHeight="false" outlineLevel="0" collapsed="false">
      <c r="A24" s="1" t="s">
        <v>2366</v>
      </c>
      <c r="B24" s="1" t="s">
        <v>2375</v>
      </c>
      <c r="C24" s="1" t="n">
        <v>1261</v>
      </c>
      <c r="D24" s="1" t="n">
        <v>1</v>
      </c>
    </row>
    <row r="25" customFormat="false" ht="14.25" hidden="false" customHeight="false" outlineLevel="0" collapsed="false">
      <c r="A25" s="1" t="s">
        <v>2366</v>
      </c>
      <c r="B25" s="1" t="s">
        <v>2376</v>
      </c>
      <c r="C25" s="1" t="n">
        <v>2660</v>
      </c>
      <c r="D25" s="1" t="n">
        <v>1</v>
      </c>
    </row>
    <row r="26" customFormat="false" ht="14.25" hidden="false" customHeight="false" outlineLevel="0" collapsed="false">
      <c r="A26" s="1" t="s">
        <v>2366</v>
      </c>
      <c r="B26" s="1" t="s">
        <v>2377</v>
      </c>
      <c r="C26" s="1" t="n">
        <v>2380</v>
      </c>
      <c r="D26" s="1" t="n">
        <v>1</v>
      </c>
    </row>
    <row r="27" customFormat="false" ht="14.25" hidden="false" customHeight="false" outlineLevel="0" collapsed="false">
      <c r="A27" s="1" t="s">
        <v>2366</v>
      </c>
      <c r="B27" s="1" t="s">
        <v>2378</v>
      </c>
      <c r="C27" s="1" t="n">
        <v>3420</v>
      </c>
      <c r="D27" s="1" t="n">
        <v>1</v>
      </c>
    </row>
    <row r="28" customFormat="false" ht="14.25" hidden="false" customHeight="false" outlineLevel="0" collapsed="false">
      <c r="A28" s="1" t="s">
        <v>2366</v>
      </c>
      <c r="B28" s="1" t="s">
        <v>2379</v>
      </c>
      <c r="C28" s="1" t="n">
        <v>4180</v>
      </c>
      <c r="D28" s="1" t="n">
        <v>1</v>
      </c>
    </row>
    <row r="29" customFormat="false" ht="14.25" hidden="false" customHeight="false" outlineLevel="0" collapsed="false">
      <c r="A29" s="1" t="s">
        <v>2366</v>
      </c>
      <c r="B29" s="1" t="s">
        <v>1143</v>
      </c>
      <c r="C29" s="1" t="n">
        <v>2040</v>
      </c>
      <c r="D29" s="1" t="n">
        <v>1</v>
      </c>
    </row>
    <row r="30" customFormat="false" ht="14.25" hidden="false" customHeight="false" outlineLevel="0" collapsed="false">
      <c r="A30" s="1" t="s">
        <v>2366</v>
      </c>
      <c r="B30" s="1" t="s">
        <v>2380</v>
      </c>
      <c r="C30" s="1" t="n">
        <v>1310</v>
      </c>
      <c r="D30" s="1" t="n">
        <v>1</v>
      </c>
    </row>
    <row r="31" customFormat="false" ht="14.25" hidden="false" customHeight="false" outlineLevel="0" collapsed="false">
      <c r="A31" s="1" t="s">
        <v>2366</v>
      </c>
      <c r="B31" s="1" t="s">
        <v>2381</v>
      </c>
      <c r="C31" s="1" t="n">
        <v>3000</v>
      </c>
      <c r="D31" s="1" t="n">
        <v>1</v>
      </c>
    </row>
    <row r="32" customFormat="false" ht="14.25" hidden="false" customHeight="false" outlineLevel="0" collapsed="false">
      <c r="A32" s="1" t="s">
        <v>2366</v>
      </c>
      <c r="B32" s="1" t="s">
        <v>2382</v>
      </c>
      <c r="C32" s="1" t="n">
        <v>1520</v>
      </c>
      <c r="D32" s="1" t="n">
        <v>1</v>
      </c>
    </row>
    <row r="33" customFormat="false" ht="14.25" hidden="false" customHeight="false" outlineLevel="0" collapsed="false">
      <c r="A33" s="1" t="s">
        <v>2366</v>
      </c>
      <c r="B33" s="1" t="s">
        <v>2383</v>
      </c>
      <c r="C33" s="1" t="n">
        <v>2270</v>
      </c>
      <c r="D33" s="1" t="n">
        <v>1</v>
      </c>
    </row>
    <row r="34" customFormat="false" ht="14.25" hidden="false" customHeight="false" outlineLevel="0" collapsed="false">
      <c r="A34" s="1" t="s">
        <v>2366</v>
      </c>
      <c r="B34" s="1" t="s">
        <v>2384</v>
      </c>
      <c r="C34" s="1" t="n">
        <v>2280</v>
      </c>
      <c r="D34" s="1" t="n">
        <v>1</v>
      </c>
    </row>
    <row r="35" customFormat="false" ht="14.25" hidden="false" customHeight="false" outlineLevel="0" collapsed="false">
      <c r="A35" s="1" t="s">
        <v>2366</v>
      </c>
      <c r="B35" s="1" t="s">
        <v>2385</v>
      </c>
      <c r="C35" s="1" t="n">
        <v>1740</v>
      </c>
      <c r="D35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2025-08-26T02:59:54Z</dcterms:created>
  <dc:creator>openpyxl</dc:creator>
  <dc:description/>
  <dc:language>es-MX</dc:language>
  <cp:lastModifiedBy/>
  <dcterms:modified xsi:type="dcterms:W3CDTF">2026-10-12T12:59:01Z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